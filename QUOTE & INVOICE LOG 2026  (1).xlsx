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Log" sheetId="1" r:id="rId4"/>
    <sheet state="visible" name="Collective" sheetId="2" r:id="rId5"/>
    <sheet state="visible" name="VAT" sheetId="3" r:id="rId6"/>
    <sheet state="visible" name="Dashboard" sheetId="4" r:id="rId7"/>
    <sheet state="visible" name="Fix List" sheetId="5" r:id="rId8"/>
    <sheet state="visible" name="Archive 2022-2025" sheetId="6" r:id="rId9"/>
    <sheet state="visible" name="Settings" sheetId="7" r:id="rId10"/>
    <sheet state="visible" name="How To Use" sheetId="8" r:id="rId11"/>
  </sheets>
  <definedNames>
    <definedName hidden="1" localSheetId="0" name="_xlnm._FilterDatabase">'Invoice Log'!$A$2:$AT$303</definedName>
    <definedName hidden="1" localSheetId="1" name="_xlnm._FilterDatabase">Collective!$A$24:$M$325</definedName>
    <definedName hidden="1" localSheetId="4" name="_xlnm._FilterDatabase">'Fix List'!$A$4:$D$84</definedName>
    <definedName hidden="1" localSheetId="5" name="_xlnm._FilterDatabase">'Archive 2022-2025'!$A$2:$AI$572</definedName>
  </definedNames>
  <calcPr/>
  <extLst>
    <ext uri="GoogleSheetsCustomDataVersion2">
      <go:sheetsCustomData xmlns:go="http://customooxmlschemas.google.com/" r:id="rId12" roundtripDataChecksum="sLQquqzr3+vOyeWLa6nEXnjoryo0sG3CScYQhKyr80g="/>
    </ext>
  </extLst>
</workbook>
</file>

<file path=xl/sharedStrings.xml><?xml version="1.0" encoding="utf-8"?>
<sst xmlns="http://schemas.openxmlformats.org/spreadsheetml/2006/main" count="6975" uniqueCount="961">
  <si>
    <t>JOB DETAILS</t>
  </si>
  <si>
    <t>Output VAT you have charged. Grouped by INVOICE date, which is the tax point HMRC and Xero work to.</t>
  </si>
  <si>
    <t>QUOTE &amp; INVOICE</t>
  </si>
  <si>
    <t>Refundable deposits carry no VAT, so nothing here moves when a deposit is adjusted. Cancelled jobs are excluded.</t>
  </si>
  <si>
    <t>PENNI BLACK COLLECTIVE</t>
  </si>
  <si>
    <t>PAYMENTS RECEIVED</t>
  </si>
  <si>
    <t>MONTH BY MONTH</t>
  </si>
  <si>
    <t>Cross-check</t>
  </si>
  <si>
    <t>Month</t>
  </si>
  <si>
    <t>WHERE IT STANDS</t>
  </si>
  <si>
    <t>Jobs</t>
  </si>
  <si>
    <t>Net (ex VAT)</t>
  </si>
  <si>
    <t>VAT CHARGED</t>
  </si>
  <si>
    <t>REFUND - what actually goes back</t>
  </si>
  <si>
    <t>FOR THE COLLECTIVE</t>
  </si>
  <si>
    <t>Gross (inc VAT)</t>
  </si>
  <si>
    <t>VAT by event date</t>
  </si>
  <si>
    <t>NOTES</t>
  </si>
  <si>
    <t>Owner</t>
  </si>
  <si>
    <t>Our Company</t>
  </si>
  <si>
    <t>Type</t>
  </si>
  <si>
    <t>INV Number</t>
  </si>
  <si>
    <t>Client / Booking Name</t>
  </si>
  <si>
    <t>Event Start</t>
  </si>
  <si>
    <t>Event End</t>
  </si>
  <si>
    <t>Invoice Date</t>
  </si>
  <si>
    <t>New / Repeat</t>
  </si>
  <si>
    <t>STATUS</t>
  </si>
  <si>
    <t>Covers</t>
  </si>
  <si>
    <t>Quote Total (ex VAT)</t>
  </si>
  <si>
    <t>Cost per Head</t>
  </si>
  <si>
    <t>VAT Rate</t>
  </si>
  <si>
    <t>VAT</t>
  </si>
  <si>
    <t>Total (inc VAT)</t>
  </si>
  <si>
    <t>Deposit Req?</t>
  </si>
  <si>
    <t>Deposit override</t>
  </si>
  <si>
    <t>Damage Deposit</t>
  </si>
  <si>
    <t>INVOICE TOTAL (inc deposit)</t>
  </si>
  <si>
    <t>1st Invoice (50% + dep)</t>
  </si>
  <si>
    <t>Payment 1</t>
  </si>
  <si>
    <t>Method</t>
  </si>
  <si>
    <t>Date</t>
  </si>
  <si>
    <t>Payment 2</t>
  </si>
  <si>
    <t>Payment 3</t>
  </si>
  <si>
    <t>TOTAL PAID</t>
  </si>
  <si>
    <t>% Paid</t>
  </si>
  <si>
    <t>BALANCE OWED</t>
  </si>
  <si>
    <t>Days Overdue</t>
  </si>
  <si>
    <t>REFUND DUE</t>
  </si>
  <si>
    <t>Counting everything up to and including:</t>
  </si>
  <si>
    <t>Account Name</t>
  </si>
  <si>
    <t>Sort Code</t>
  </si>
  <si>
    <t>Refund Method</t>
  </si>
  <si>
    <t>Refund Paid Date</t>
  </si>
  <si>
    <t>DEPOSIT +/-</t>
  </si>
  <si>
    <t>FINAL VALUE (ex VAT)</t>
  </si>
  <si>
    <t>Comments</t>
  </si>
  <si>
    <t>Nothing with a later event date is counted.</t>
  </si>
  <si>
    <t>Event Ref</t>
  </si>
  <si>
    <t>Event Mth</t>
  </si>
  <si>
    <t>Yr</t>
  </si>
  <si>
    <t>Danelle</t>
  </si>
  <si>
    <t>Penni Black</t>
  </si>
  <si>
    <t>C</t>
  </si>
  <si>
    <t>Turnover (ex VAT)</t>
  </si>
  <si>
    <t>JUST</t>
  </si>
  <si>
    <t>Deposit taken</t>
  </si>
  <si>
    <t>Refund actually paid</t>
  </si>
  <si>
    <t>Deposit +/-</t>
  </si>
  <si>
    <t>NET TURNOVER (ex VAT)</t>
  </si>
  <si>
    <t>20% DUE TO COLLECTIVE</t>
  </si>
  <si>
    <t>Paid to collective</t>
  </si>
  <si>
    <t>Outstanding</t>
  </si>
  <si>
    <t>N</t>
  </si>
  <si>
    <t>Refunds still to do</t>
  </si>
  <si>
    <t>Pay by</t>
  </si>
  <si>
    <t>Complete</t>
  </si>
  <si>
    <t>Payment status</t>
  </si>
  <si>
    <t>owing</t>
  </si>
  <si>
    <t>Yes</t>
  </si>
  <si>
    <t>CC</t>
  </si>
  <si>
    <t>London Review of Books</t>
  </si>
  <si>
    <t>Berkeley Homes Capital</t>
  </si>
  <si>
    <t>R</t>
  </si>
  <si>
    <t>No</t>
  </si>
  <si>
    <t>BACS</t>
  </si>
  <si>
    <t>Helaba Landesbank Hessen-Thüringen</t>
  </si>
  <si>
    <t>Landesbank Hessen-Thuringen Girozentrale</t>
  </si>
  <si>
    <t>5005 0000</t>
  </si>
  <si>
    <t>096-2211-009</t>
  </si>
  <si>
    <t>AngloGold - Day 1</t>
  </si>
  <si>
    <t>AngloGold Ashanti PLC</t>
  </si>
  <si>
    <t>IBAN: GB48CHAS60924280037769</t>
  </si>
  <si>
    <t>TOTAL</t>
  </si>
  <si>
    <t>AngloGold - Day 2</t>
  </si>
  <si>
    <t>INVOICED THIS YEAR</t>
  </si>
  <si>
    <t>BY QUARTER  -  what to set aside</t>
  </si>
  <si>
    <t>RECEIVED</t>
  </si>
  <si>
    <t>Quarter</t>
  </si>
  <si>
    <t>COLOUR KEY</t>
  </si>
  <si>
    <t>Q1  Jan-Mar</t>
  </si>
  <si>
    <t>Quote Sent</t>
  </si>
  <si>
    <t>Quote out, not confirmed yet</t>
  </si>
  <si>
    <t>Confirmed - Awaiting Payment</t>
  </si>
  <si>
    <t>Booked in - they still owe us</t>
  </si>
  <si>
    <t>Part Paid</t>
  </si>
  <si>
    <t>Some money in, balance outstanding</t>
  </si>
  <si>
    <t>Q2  Apr-Jun</t>
  </si>
  <si>
    <t>Paid in Full</t>
  </si>
  <si>
    <t>All money in - deposit still held</t>
  </si>
  <si>
    <t>STILL OWED TO US</t>
  </si>
  <si>
    <t>OF WHICH OVERDUE</t>
  </si>
  <si>
    <t>Q3  Jul-Sep</t>
  </si>
  <si>
    <t>AngloGold - Day 3</t>
  </si>
  <si>
    <t>Refund Due</t>
  </si>
  <si>
    <t>ACTION: put the deposit back</t>
  </si>
  <si>
    <t>Q4  Oct-Dec</t>
  </si>
  <si>
    <t>Calendar quarters. If your VAT quarters run differently, tell me and I will reset them.</t>
  </si>
  <si>
    <t>Paid, done, deposit returned</t>
  </si>
  <si>
    <t>Cancelled</t>
  </si>
  <si>
    <t>Row greys out, nothing owed</t>
  </si>
  <si>
    <t>Red column on the log</t>
  </si>
  <si>
    <t>Past 30 day terms</t>
  </si>
  <si>
    <t>BY MONTH (by event date)</t>
  </si>
  <si>
    <t>DEPOSITS STILL TO REFUND</t>
  </si>
  <si>
    <t>JOBS WITH NO STATUS</t>
  </si>
  <si>
    <t>Aesop</t>
  </si>
  <si>
    <t>Invoiced</t>
  </si>
  <si>
    <t>The Payment Association (Emerging Payments Ventures)</t>
  </si>
  <si>
    <t>Pink rows on the log</t>
  </si>
  <si>
    <t>George Jensen Limited</t>
  </si>
  <si>
    <t>DUE TO THE COLLECTIVE</t>
  </si>
  <si>
    <t>PAID TO THE COLLECTIVE</t>
  </si>
  <si>
    <t>FIX LIST  -  what needs a human decision</t>
  </si>
  <si>
    <t>80 items. Nothing here was guessed at or auto-corrected.</t>
  </si>
  <si>
    <t>Client</t>
  </si>
  <si>
    <t>What needs sorting</t>
  </si>
  <si>
    <t>Zenith Bank Ltd - Day 1 &amp; 2</t>
  </si>
  <si>
    <t>No event date - the Collective tab works off event dates, so this job falls into the wrong month</t>
  </si>
  <si>
    <t>House of Decant</t>
  </si>
  <si>
    <t>Zenith Bank Ltd - Day 7 &amp; 8</t>
  </si>
  <si>
    <t>Orbit Design Studio Ltd</t>
  </si>
  <si>
    <t>House of Decant - June</t>
  </si>
  <si>
    <t>House of Decant - July</t>
  </si>
  <si>
    <t>Xero - Additional picnic boxes</t>
  </si>
  <si>
    <t>TGB</t>
  </si>
  <si>
    <t>No invoice date</t>
  </si>
  <si>
    <t>Europe House</t>
  </si>
  <si>
    <t>Salt Productions</t>
  </si>
  <si>
    <t>No quote total - every money column on this row is blank</t>
  </si>
  <si>
    <t>Pontoon</t>
  </si>
  <si>
    <t>Sally Smart</t>
  </si>
  <si>
    <t>SGN - Day 1</t>
  </si>
  <si>
    <t>Refund was paid but the actual amount was never recorded - enter it in 'Refund Actually Paid' so the Collective figure is right</t>
  </si>
  <si>
    <t>20% of net turnover, year to date</t>
  </si>
  <si>
    <t>Humanists</t>
  </si>
  <si>
    <t>Arini - DAY 1</t>
  </si>
  <si>
    <t>Dixon Wilson</t>
  </si>
  <si>
    <t>Mewburn Ellis</t>
  </si>
  <si>
    <t>Alison Brown</t>
  </si>
  <si>
    <t>St Williams</t>
  </si>
  <si>
    <t>Cognizant</t>
  </si>
  <si>
    <t>Health Sciences University</t>
  </si>
  <si>
    <t>Bryony Spottiswoode</t>
  </si>
  <si>
    <t>Katten</t>
  </si>
  <si>
    <t>Fred Ofori-Atta</t>
  </si>
  <si>
    <t>Canada House - Shawnigan Lake School</t>
  </si>
  <si>
    <t>Charlotte</t>
  </si>
  <si>
    <t>Alethea Tabor</t>
  </si>
  <si>
    <t>ScotiaBank</t>
  </si>
  <si>
    <t>High Commission of Canada</t>
  </si>
  <si>
    <t>Canada-UK Chamber of Commerce</t>
  </si>
  <si>
    <t>David &amp; Nigel</t>
  </si>
  <si>
    <t>Diane Hay</t>
  </si>
  <si>
    <t>Griffin University</t>
  </si>
  <si>
    <t>Phaidon International</t>
  </si>
  <si>
    <t>Canada House</t>
  </si>
  <si>
    <t>SGN - Day 2</t>
  </si>
  <si>
    <t>WSGR</t>
  </si>
  <si>
    <t>Peter Pearson</t>
  </si>
  <si>
    <t>Small Business Britain</t>
  </si>
  <si>
    <t>Trading Technology</t>
  </si>
  <si>
    <t>Zenith Bank</t>
  </si>
  <si>
    <t>Kathleen Harris</t>
  </si>
  <si>
    <t>Sarah Scarth / Resonate Communications</t>
  </si>
  <si>
    <t>Rebecca Hu</t>
  </si>
  <si>
    <t>OpenSignal</t>
  </si>
  <si>
    <t>BY COMPANY</t>
  </si>
  <si>
    <t>Bayerische Landesbank London</t>
  </si>
  <si>
    <t>Catherine Lipsedge</t>
  </si>
  <si>
    <t>Fatih Aydin</t>
  </si>
  <si>
    <t>SGN - Day 3</t>
  </si>
  <si>
    <t>Status is blank - nobody set where this job got to</t>
  </si>
  <si>
    <t>SGN (23-24 Sept)</t>
  </si>
  <si>
    <t>Hous of Decant</t>
  </si>
  <si>
    <t>Perenco Holdings</t>
  </si>
  <si>
    <t>Canada UK Chambers</t>
  </si>
  <si>
    <t>Amazon</t>
  </si>
  <si>
    <t>SGN</t>
  </si>
  <si>
    <t>Company</t>
  </si>
  <si>
    <t>DarkTrace</t>
  </si>
  <si>
    <t>Still owed</t>
  </si>
  <si>
    <t>Refunds due</t>
  </si>
  <si>
    <t>Samantha Armstrong</t>
  </si>
  <si>
    <t>Delegation european union</t>
  </si>
  <si>
    <t>Winston &amp; Strawn</t>
  </si>
  <si>
    <t>British Humanist Assocation</t>
  </si>
  <si>
    <t>0-9 90 01</t>
  </si>
  <si>
    <t>JOBS BY STATUS</t>
  </si>
  <si>
    <t>Status</t>
  </si>
  <si>
    <t>Value invoiced</t>
  </si>
  <si>
    <t>ARCHIVE - everything before 01/01/2026. Figures exactly as they were entered, nothing recalculated. Closed off as Complete unless cancelled. Add new work on the Invoice Log tab.</t>
  </si>
  <si>
    <t>Event Date</t>
  </si>
  <si>
    <t>Invoice Total</t>
  </si>
  <si>
    <t>1st Invoice</t>
  </si>
  <si>
    <t>Refund Amount</t>
  </si>
  <si>
    <t>Account Number</t>
  </si>
  <si>
    <t>House of Greenland</t>
  </si>
  <si>
    <t>BY TEAM MEMBER</t>
  </si>
  <si>
    <t>Pierre</t>
  </si>
  <si>
    <t>Laura Kellett Lunch delivery</t>
  </si>
  <si>
    <t>Maayan Keinan lunch boxes delivery</t>
  </si>
  <si>
    <t>James - IMC Experience</t>
  </si>
  <si>
    <t>Raquel</t>
  </si>
  <si>
    <t>Veronica Trentadue - Omaze</t>
  </si>
  <si>
    <t>Michaela Longo - Helaba</t>
  </si>
  <si>
    <t>waiting for bank details</t>
  </si>
  <si>
    <t>Allena Stanford -  Tottum Partners</t>
  </si>
  <si>
    <t>Arini - DAY 2</t>
  </si>
  <si>
    <t>Melanie Holroyd - The Investment Association</t>
  </si>
  <si>
    <t>Ian Scott - Humanists Uk</t>
  </si>
  <si>
    <t>Event dates: 17/04/0223.</t>
  </si>
  <si>
    <t>We Are Family</t>
  </si>
  <si>
    <t>Europe</t>
  </si>
  <si>
    <t>Birgitte Goethe</t>
  </si>
  <si>
    <t>THE ARCHIVE (2022-2025)</t>
  </si>
  <si>
    <t>Jobs on record</t>
  </si>
  <si>
    <t>Tasting Britannia - Manjeet Dhaliwal (non-refundable)</t>
  </si>
  <si>
    <t>15-99-00</t>
  </si>
  <si>
    <t>Invoiced across those years</t>
  </si>
  <si>
    <t>Cancelled jobs</t>
  </si>
  <si>
    <t>Totum Partners</t>
  </si>
  <si>
    <t>Gabriella</t>
  </si>
  <si>
    <t>Brands At Work</t>
  </si>
  <si>
    <t>Brands at Work Limited</t>
  </si>
  <si>
    <t>Sort Code: 20-69-17</t>
  </si>
  <si>
    <t>Account no: 9389 1682</t>
  </si>
  <si>
    <t>Barclays Bank plc</t>
  </si>
  <si>
    <t>Fasten Seatbelt Group</t>
  </si>
  <si>
    <t>Alston &amp; Bird</t>
  </si>
  <si>
    <t>Alston &amp; Bird (City) LLP</t>
  </si>
  <si>
    <t>P</t>
  </si>
  <si>
    <t>Kristina Sitnikaite</t>
  </si>
  <si>
    <t>Gairdner</t>
  </si>
  <si>
    <t>The Gairdner Foundation</t>
  </si>
  <si>
    <t>Bank code: #004    Transit: #12242</t>
  </si>
  <si>
    <t>5241783 (Swift: TDOMCATTTOR)</t>
  </si>
  <si>
    <t>TD Canada Trust (Bank Name)</t>
  </si>
  <si>
    <t>Andrew &amp; Jane Black</t>
  </si>
  <si>
    <t>no</t>
  </si>
  <si>
    <t>IHS Towers</t>
  </si>
  <si>
    <t>Mia Clarke</t>
  </si>
  <si>
    <t>Arini</t>
  </si>
  <si>
    <t>Britannia</t>
  </si>
  <si>
    <t>Usual details</t>
  </si>
  <si>
    <t>Viva Esprit Ltd</t>
  </si>
  <si>
    <t>No refund was charged (accidentally!)</t>
  </si>
  <si>
    <t>Peregrines</t>
  </si>
  <si>
    <t>Emma Daniels</t>
  </si>
  <si>
    <t>MGFT - Warwick (Omar Afridi)</t>
  </si>
  <si>
    <t>Adaptavist Tasting</t>
  </si>
  <si>
    <t>Wintermute Balloons</t>
  </si>
  <si>
    <t>Wintermute Catering</t>
  </si>
  <si>
    <t>ST James</t>
  </si>
  <si>
    <t>Account Holder Name: SWNWL (Barclays)</t>
  </si>
  <si>
    <t>20-92-96</t>
  </si>
  <si>
    <t>Commonwealth War Graves Commission</t>
  </si>
  <si>
    <t>J O Hambro Capital Management Limited</t>
  </si>
  <si>
    <t>W</t>
  </si>
  <si>
    <t>Clara &amp; Naren wedding tasting</t>
  </si>
  <si>
    <t>J O Hambro Capital Management Ltd</t>
  </si>
  <si>
    <t>Situs Asset Management Ltd’</t>
  </si>
  <si>
    <t>SITUS ASSET MANAGEMENT</t>
  </si>
  <si>
    <t>56-00-03</t>
  </si>
  <si>
    <t>Adaptavist</t>
  </si>
  <si>
    <t>Wilson Sonsini Goodrich &amp; Rosati (UK), LLP</t>
  </si>
  <si>
    <t>Cocktail Time - Markup payment</t>
  </si>
  <si>
    <t>SETTINGS  -  edit these lists and the dropdowns update themselves</t>
  </si>
  <si>
    <t>Karis Stander</t>
  </si>
  <si>
    <t>Payment Method</t>
  </si>
  <si>
    <t>Setting</t>
  </si>
  <si>
    <t>Xero</t>
  </si>
  <si>
    <t>Value</t>
  </si>
  <si>
    <t>Refundable damage deposit %</t>
  </si>
  <si>
    <t>Venn</t>
  </si>
  <si>
    <t>Next invoice number</t>
  </si>
  <si>
    <t>Raquel's</t>
  </si>
  <si>
    <t>Cash</t>
  </si>
  <si>
    <t>Reddit</t>
  </si>
  <si>
    <t>Payment terms (days from invoice date)</t>
  </si>
  <si>
    <t>Free Spirit</t>
  </si>
  <si>
    <t>D</t>
  </si>
  <si>
    <t>Cheque</t>
  </si>
  <si>
    <t>Reporting year on the Dashboard</t>
  </si>
  <si>
    <t>Lorraine</t>
  </si>
  <si>
    <t>Megan Hopwood</t>
  </si>
  <si>
    <t>Stripe</t>
  </si>
  <si>
    <t>Collective share of turnover</t>
  </si>
  <si>
    <t>Pay the Collective by this day of the next month</t>
  </si>
  <si>
    <t>Blue text = safe to edit. Deposit % and invoice number feed every row.</t>
  </si>
  <si>
    <t>Collective share drives the Penni Black Collective tab.</t>
  </si>
  <si>
    <t>Reporting year follows today's date. Type a year over it to look back.</t>
  </si>
  <si>
    <t>Palantir Technologies</t>
  </si>
  <si>
    <t>Mike Anderson</t>
  </si>
  <si>
    <t>Publicis Sapient</t>
  </si>
  <si>
    <t>Ashley Santimano de Souza</t>
  </si>
  <si>
    <t>Britannia afternoon Tea</t>
  </si>
  <si>
    <t>Socotec Advisory Ltd</t>
  </si>
  <si>
    <t>AET UK LTD</t>
  </si>
  <si>
    <t>Goldman Sachs International</t>
  </si>
  <si>
    <t>paid twice</t>
  </si>
  <si>
    <t>Pernod Ricard Global Travel Retail</t>
  </si>
  <si>
    <t>StWilliams Homes LLP - KRP</t>
  </si>
  <si>
    <t>205-81658</t>
  </si>
  <si>
    <t>QUOTE &amp; INVOICE LOG - how it works</t>
  </si>
  <si>
    <t>Only type into the BLUE-headed columns. Grey and purple headers work themselves out.</t>
  </si>
  <si>
    <t>THE TABS:</t>
  </si>
  <si>
    <t>Invoice Log     every live job. All new work goes here.</t>
  </si>
  <si>
    <t>Arnold &amp; Porter</t>
  </si>
  <si>
    <t>Collective      the 20% owed to Penni Black Collective, month by month.</t>
  </si>
  <si>
    <t>Dashboard       the money, by company, by status, by month.</t>
  </si>
  <si>
    <t>Chasemore Farm (Jane Black)</t>
  </si>
  <si>
    <t>Fix List        rows that need a human decision.</t>
  </si>
  <si>
    <t>Archive         2022-2025, exactly as it was entered.</t>
  </si>
  <si>
    <t>Settings        dropdown lists, deposit %, collective share, payment day.</t>
  </si>
  <si>
    <t>THE DEPOSIT, AND WHY IT MATTERS TO THE COLLECTIVE</t>
  </si>
  <si>
    <t>Deposit Req? = No for drop-off only. No deposit, no refund, and the invoice</t>
  </si>
  <si>
    <t>total is final - nothing to adjust afterwards.</t>
  </si>
  <si>
    <t>Deposit Req? = Yes takes 10% of the ex-VAT total as a refundable deposit.</t>
  </si>
  <si>
    <t>The deposit always goes back, but rarely at exactly 10%:</t>
  </si>
  <si>
    <t xml:space="preserve">  - you hold some back for breakages or staff overtime  -&gt;  you keep the difference</t>
  </si>
  <si>
    <t xml:space="preserve">  - you give back unconsumed drink on top  -&gt;  you hand back more than you took</t>
  </si>
  <si>
    <t>Alive</t>
  </si>
  <si>
    <t>So REFUND DUE is what ACTUALLY goes back. Type the real figure in as you do</t>
  </si>
  <si>
    <t>the refund. The sheet then works out:</t>
  </si>
  <si>
    <t xml:space="preserve">  DEPOSIT +/-          deposit taken minus what you actually refunded</t>
  </si>
  <si>
    <t xml:space="preserve">                       green = you kept some, red = you gave back extra</t>
  </si>
  <si>
    <t xml:space="preserve">  FINAL VALUE (ex VAT) the quote plus or minus that adjustment</t>
  </si>
  <si>
    <t>Until you enter a refund figure the adjustment reads zero, so the month's</t>
  </si>
  <si>
    <t>total is the quote value and it corrects itself the moment you finalise.</t>
  </si>
  <si>
    <t>THE COLLECTIVE TAB</t>
  </si>
  <si>
    <t>Counts by EVENT date, not invoice date. Nothing with an event date after</t>
  </si>
  <si>
    <t>today is included, so the running total is always what has actually happened.</t>
  </si>
  <si>
    <t>Cancelled jobs are left out. Unpaid jobs are still counted - the month is</t>
  </si>
  <si>
    <t>Maria Verme</t>
  </si>
  <si>
    <t>what you traded, not what has landed in the bank.</t>
  </si>
  <si>
    <t>It retallies on its own every time you finalise a deposit, correct a figure,</t>
  </si>
  <si>
    <t>add a job or an event date passes. Nothing to press.</t>
  </si>
  <si>
    <t>Dana Pacia</t>
  </si>
  <si>
    <t>Paula Wonder</t>
  </si>
  <si>
    <t>M Danson`</t>
  </si>
  <si>
    <t>Pernod Ricard Global Travel Retail (Food Invoice)</t>
  </si>
  <si>
    <t>Colart International</t>
  </si>
  <si>
    <t>Pernod Ricard Global Travel Retail (Drink Invoice)</t>
  </si>
  <si>
    <t>Mike Anderson (Overtime costs)</t>
  </si>
  <si>
    <t>The banner at the top says what is owed next and the date it has to be in by</t>
  </si>
  <si>
    <t>- the 25th of the following month, for payroll. Change that day on Settings.</t>
  </si>
  <si>
    <t>Type what you have paid into 'Paid to collective' and the row turns green.</t>
  </si>
  <si>
    <t>The JOB BY JOB list underneath shows every job behind those totals. Filter or</t>
  </si>
  <si>
    <t>sort on Month to check a single month. Greyed rows are not counted yet.</t>
  </si>
  <si>
    <t>EVENT DATES - ONE THING TO GET RIGHT</t>
  </si>
  <si>
    <t>Multi-day jobs: put the first day in Event Start and the last in Event End.</t>
  </si>
  <si>
    <t>Typing '23 &amp; 24 Sept' into one cell turns the box AMBER, and that job cannot</t>
  </si>
  <si>
    <t>be placed in a month properly. Four rows are like that right now.</t>
  </si>
  <si>
    <t>THE WORKFLOW:</t>
  </si>
  <si>
    <t>Quote Sent &gt; Confirmed - Awaiting Payment &gt; Part Paid &gt; Paid in Full &gt;</t>
  </si>
  <si>
    <t>Refund Due &gt; Complete.   Cancelled greys the row and zeroes the balance.</t>
  </si>
  <si>
    <t>Rows with no status get a faint pink wash so they cannot hide.</t>
  </si>
  <si>
    <t>Zenith Bank UK Ltd</t>
  </si>
  <si>
    <t>40-02-50</t>
  </si>
  <si>
    <t>Event dates: 12 &amp; 13th March.</t>
  </si>
  <si>
    <t>Pernod Ricard Global Travel Retail (Deposit &amp; Waste disposal charge)</t>
  </si>
  <si>
    <t>WBDF - GTR - GBP</t>
  </si>
  <si>
    <t>HSBC</t>
  </si>
  <si>
    <t>Pakistan Environment Trust</t>
  </si>
  <si>
    <t>Alive Communications</t>
  </si>
  <si>
    <t>The Investment Association</t>
  </si>
  <si>
    <t>Berkeley</t>
  </si>
  <si>
    <t>BARCLAYS BANK PLC</t>
  </si>
  <si>
    <t>Sara Render</t>
  </si>
  <si>
    <t>Netanya Clixby</t>
  </si>
  <si>
    <t>Katie Barr</t>
  </si>
  <si>
    <t>Anthemis</t>
  </si>
  <si>
    <t>Renewable Power Capital</t>
  </si>
  <si>
    <t>Nathan Lord</t>
  </si>
  <si>
    <t>Saville Row Projects</t>
  </si>
  <si>
    <t>NO EVENT DATE</t>
  </si>
  <si>
    <t>Conway Hall</t>
  </si>
  <si>
    <t>Whole year. Put a real date in Event Start - only those dated on or after the start count</t>
  </si>
  <si>
    <t>JOB BY JOB  -  every job behind the figures above. Filter or sort on Month to check a single month.</t>
  </si>
  <si>
    <t>Event date</t>
  </si>
  <si>
    <t>Deposit?</t>
  </si>
  <si>
    <t>FINAL (ex VAT)</t>
  </si>
  <si>
    <t>20% share</t>
  </si>
  <si>
    <t>Counted?</t>
  </si>
  <si>
    <t>Rob Royle</t>
  </si>
  <si>
    <t>Pamela Ribbits</t>
  </si>
  <si>
    <t>Otto Hoenig</t>
  </si>
  <si>
    <t>Nationwide</t>
  </si>
  <si>
    <t>Pre-match rugby meal - Irwin Mitchell</t>
  </si>
  <si>
    <t>Event dates: 12/08 and 26/08.</t>
  </si>
  <si>
    <t>Credit Karma (Melinda Wild)</t>
  </si>
  <si>
    <t>Wonder Events - Paula Parer</t>
  </si>
  <si>
    <t>Bank of Canada</t>
  </si>
  <si>
    <t>Picnic Berkeley</t>
  </si>
  <si>
    <t>St Willian Homes LLP</t>
  </si>
  <si>
    <t>Committed Capital - Else Thomson</t>
  </si>
  <si>
    <t>Committed Capital Limited</t>
  </si>
  <si>
    <t>4175 5768</t>
  </si>
  <si>
    <t>Postworks</t>
  </si>
  <si>
    <t>Postworks Limited</t>
  </si>
  <si>
    <t>54-10-44</t>
  </si>
  <si>
    <t>40-46-19</t>
  </si>
  <si>
    <t>Katrina Roberts</t>
  </si>
  <si>
    <t>REF:  “P/L PENN06 DEP RFND”</t>
  </si>
  <si>
    <t>Brittany Jiran</t>
  </si>
  <si>
    <t>ELLIDORE EVENTS LIMITED</t>
  </si>
  <si>
    <t>04-00-75</t>
  </si>
  <si>
    <t>IBAN: GB14REVO00996977076784
BIC: REVOGB21
Bank / Payment institution: Revolut Ltd</t>
  </si>
  <si>
    <t>Berkeley reception</t>
  </si>
  <si>
    <t>Deborah Eleazar</t>
  </si>
  <si>
    <t>IMC experience</t>
  </si>
  <si>
    <t>Lockheed Martin</t>
  </si>
  <si>
    <t>Winton Tasting box</t>
  </si>
  <si>
    <t>Brian Larter</t>
  </si>
  <si>
    <t>Larter BJ &amp; JC</t>
  </si>
  <si>
    <t>60-60-40</t>
  </si>
  <si>
    <t>Wedding George and Ranja</t>
  </si>
  <si>
    <t>Karidis Clinic</t>
  </si>
  <si>
    <t>Waiting for bank details</t>
  </si>
  <si>
    <t>Augustin Delahaut</t>
  </si>
  <si>
    <t>Jane Black</t>
  </si>
  <si>
    <t>Winton</t>
  </si>
  <si>
    <t>Raymond James</t>
  </si>
  <si>
    <t>MediaPlus UK</t>
  </si>
  <si>
    <t>Steve Bosley Herne Hill</t>
  </si>
  <si>
    <t>Usual bank details</t>
  </si>
  <si>
    <t>Hudson Sandler</t>
  </si>
  <si>
    <t>John Barrett</t>
  </si>
  <si>
    <t>Keyword Studios</t>
  </si>
  <si>
    <t>Melanie McLaren</t>
  </si>
  <si>
    <t>Colart International Holdings</t>
  </si>
  <si>
    <t>Overbury</t>
  </si>
  <si>
    <t>KfW IPEX-Bank GmbH</t>
  </si>
  <si>
    <t>KFW IPEX -  Bank Gmbh</t>
  </si>
  <si>
    <t>Design Silver Fish UK</t>
  </si>
  <si>
    <t>Music Yamaha</t>
  </si>
  <si>
    <t>InvestCorp Tasting</t>
  </si>
  <si>
    <t>Sketchevents</t>
  </si>
  <si>
    <t>National Deaf Children's Society</t>
  </si>
  <si>
    <t>60-02-08</t>
  </si>
  <si>
    <t>Canada-United Kingdom Chamber of Commerce</t>
  </si>
  <si>
    <t>McGuireWoods</t>
  </si>
  <si>
    <t>Town and country (Credit due)</t>
  </si>
  <si>
    <t>Breakfast delivery - L.E.K Consulting</t>
  </si>
  <si>
    <t>We are Jackanory - delivery</t>
  </si>
  <si>
    <t>University of Saskatchewan</t>
  </si>
  <si>
    <t>V-ZUG UK Limited</t>
  </si>
  <si>
    <t>InvestCorp</t>
  </si>
  <si>
    <t>Elena Touroni</t>
  </si>
  <si>
    <t>The Intrepide collective</t>
  </si>
  <si>
    <t>The Intrepid Collect</t>
  </si>
  <si>
    <t>50-00-00</t>
  </si>
  <si>
    <t>Medpace UK</t>
  </si>
  <si>
    <t>Jo Cowed Architects</t>
  </si>
  <si>
    <t>Outform</t>
  </si>
  <si>
    <t>Delicious agency</t>
  </si>
  <si>
    <t>Haleon</t>
  </si>
  <si>
    <t>Situs Asset Management Ltd</t>
  </si>
  <si>
    <t>Situs Asset Management</t>
  </si>
  <si>
    <t>Hannah Downing</t>
  </si>
  <si>
    <t>Pump Court Tax Chambers</t>
  </si>
  <si>
    <t>Use last year's bank details</t>
  </si>
  <si>
    <t>Tasting Natalia Kochanowicz - Wedding enquiry</t>
  </si>
  <si>
    <t>1000sHeads - Wella Event</t>
  </si>
  <si>
    <t>1000heads Limited</t>
  </si>
  <si>
    <t>Gregory &amp; Rosamond Minson</t>
  </si>
  <si>
    <t>Old status: DUPLICATE.</t>
  </si>
  <si>
    <t>Datamaran Ltd</t>
  </si>
  <si>
    <t>Quantuma</t>
  </si>
  <si>
    <t>Quantuma Advisory Limited</t>
  </si>
  <si>
    <t>20-36-47</t>
  </si>
  <si>
    <t>139 54 390</t>
  </si>
  <si>
    <t>Diligent</t>
  </si>
  <si>
    <t>Martha Howe-Douglas</t>
  </si>
  <si>
    <t>A.S Watson</t>
  </si>
  <si>
    <t>Fredua Ofori-Atta</t>
  </si>
  <si>
    <t>56-00-46</t>
  </si>
  <si>
    <t>Sunnyside Up Communications</t>
  </si>
  <si>
    <t>CBRE</t>
  </si>
  <si>
    <t>Sunny Side Up Communications Ltd</t>
  </si>
  <si>
    <t>60-00-01</t>
  </si>
  <si>
    <t>Menzies aviation</t>
  </si>
  <si>
    <t>Berkeley canapes reception</t>
  </si>
  <si>
    <t>Berkeley Homes East Thames Ltd</t>
  </si>
  <si>
    <t>Rosamond Minson</t>
  </si>
  <si>
    <t>AG Carrick Ltd / King's Foundation</t>
  </si>
  <si>
    <t>A.G Carrick Ltd</t>
  </si>
  <si>
    <t>18-00-02</t>
  </si>
  <si>
    <t>0-6497608</t>
  </si>
  <si>
    <t>Forward Institute</t>
  </si>
  <si>
    <t>Responsible Leadership Foundation Limited</t>
  </si>
  <si>
    <t>40-05-18</t>
  </si>
  <si>
    <t>Biotiful Dairy</t>
  </si>
  <si>
    <t>Nova</t>
  </si>
  <si>
    <t>RocKing</t>
  </si>
  <si>
    <t>Miriam Hill</t>
  </si>
  <si>
    <t>Credit Karma</t>
  </si>
  <si>
    <t>Nick Noise</t>
  </si>
  <si>
    <t>Boden</t>
  </si>
  <si>
    <t>Sarah Duncan</t>
  </si>
  <si>
    <t>Grant S Duncan</t>
  </si>
  <si>
    <t>60-16-10</t>
  </si>
  <si>
    <t>Miss A B Tabor</t>
  </si>
  <si>
    <t>56-00-31</t>
  </si>
  <si>
    <t>Suzie's Christmas party</t>
  </si>
  <si>
    <t>Suzanne counsell</t>
  </si>
  <si>
    <t>30-90-39</t>
  </si>
  <si>
    <t>Anna Gezhenko</t>
  </si>
  <si>
    <t>Rebecca Christmas Party</t>
  </si>
  <si>
    <t>Tasting Nishta Mechmand</t>
  </si>
  <si>
    <t>LME Chinese New Year</t>
  </si>
  <si>
    <t>The London Metal Exchange</t>
  </si>
  <si>
    <t>30-93-23</t>
  </si>
  <si>
    <t>Rowans Christmas staff party - Nikki Chandler</t>
  </si>
  <si>
    <t>Wedding Natalia and Darius</t>
  </si>
  <si>
    <t>MrsH Z MUNCHOW</t>
  </si>
  <si>
    <t>20-69-15</t>
  </si>
  <si>
    <t>Barclays Bank</t>
  </si>
  <si>
    <t>Hat Trick Productions Ltd</t>
  </si>
  <si>
    <t>Irwin Mitchell - Pre-match meal</t>
  </si>
  <si>
    <t>Irwin Mitchell LLP</t>
  </si>
  <si>
    <t>40-41-07</t>
  </si>
  <si>
    <t>Event dates: 10/02 and 09/03.</t>
  </si>
  <si>
    <t>Franck Laurans</t>
  </si>
  <si>
    <t>Virginia Doble - Reception</t>
  </si>
  <si>
    <t>Wedding Christopher and Joseph</t>
  </si>
  <si>
    <t>Event dates: 16/02024 (tasting date).</t>
  </si>
  <si>
    <t>Navisha - Precision Advisors</t>
  </si>
  <si>
    <t>Emma Stead</t>
  </si>
  <si>
    <t>Daitaku</t>
  </si>
  <si>
    <t>Canadian High Commission</t>
  </si>
  <si>
    <t>20-67-59</t>
  </si>
  <si>
    <t>REF;  IFFEd DINNER 1.4.26</t>
  </si>
  <si>
    <t>Adesuwa Rhodes</t>
  </si>
  <si>
    <t>Jericho Chambers</t>
  </si>
  <si>
    <t>Holly Fenton</t>
  </si>
  <si>
    <t>Delegation european union - Cyprus HC</t>
  </si>
  <si>
    <t>Sunny Side</t>
  </si>
  <si>
    <t>Tai ping</t>
  </si>
  <si>
    <t>Rashmita Madhvani - SoftBank</t>
  </si>
  <si>
    <t>No deposit paid  - no refund</t>
  </si>
  <si>
    <t>Aleksandra Eriksson</t>
  </si>
  <si>
    <t>D.E Shaw</t>
  </si>
  <si>
    <t>SuitSupply</t>
  </si>
  <si>
    <t>FutureVC</t>
  </si>
  <si>
    <t>Every Friday Studio</t>
  </si>
  <si>
    <t>QIC /Australian Trade and Investment Commission</t>
  </si>
  <si>
    <t>LSE</t>
  </si>
  <si>
    <t>Escape in Time</t>
  </si>
  <si>
    <t>SoftBank International</t>
  </si>
  <si>
    <t>D.E Shaw and Co. (London) LL Operating</t>
  </si>
  <si>
    <t>Canada - United Kingdom Chamber of Commerce</t>
  </si>
  <si>
    <t>Bft delivery - Paulweiss</t>
  </si>
  <si>
    <t>WSP</t>
  </si>
  <si>
    <t>Area Europe</t>
  </si>
  <si>
    <t>Alston&amp;Bird</t>
  </si>
  <si>
    <t>Symphony</t>
  </si>
  <si>
    <t>Rachel Stepanek</t>
  </si>
  <si>
    <t>Bostrum / Legal Value Network</t>
  </si>
  <si>
    <t>Area Europe Tasting</t>
  </si>
  <si>
    <t>Alix Partners</t>
  </si>
  <si>
    <t>Julian Pulman</t>
  </si>
  <si>
    <t>TaiPing Carpets</t>
  </si>
  <si>
    <t>Taiping Carpet UK Limited</t>
  </si>
  <si>
    <t>Bank is HSBC</t>
  </si>
  <si>
    <t>BANK DETAILS</t>
  </si>
  <si>
    <t>Kiran Wadhwani - Manoj Kirpalani</t>
  </si>
  <si>
    <t>Jam Jar investment - Reception</t>
  </si>
  <si>
    <t>Event dates: 14&amp;15 April 2026.</t>
  </si>
  <si>
    <t>Metrobank</t>
  </si>
  <si>
    <t>Wedding Lulu and William</t>
  </si>
  <si>
    <t>Jonathan Marilleau</t>
  </si>
  <si>
    <t>EuroNext</t>
  </si>
  <si>
    <t>Euronext London Limited</t>
  </si>
  <si>
    <t>23-63-91</t>
  </si>
  <si>
    <t>Seen Group</t>
  </si>
  <si>
    <t>Jordan Fink</t>
  </si>
  <si>
    <t>Seen Group Tasting</t>
  </si>
  <si>
    <t>Mewburn Ellis LLP</t>
  </si>
  <si>
    <t>20-13-42</t>
  </si>
  <si>
    <t>Trading Technologies Ltd</t>
  </si>
  <si>
    <t>Market Financial Solutions</t>
  </si>
  <si>
    <t>Market Financial Solutions Limited</t>
  </si>
  <si>
    <t>20-23-97</t>
  </si>
  <si>
    <t>Orbe Consultants</t>
  </si>
  <si>
    <t>The Event Book - Voltwise</t>
  </si>
  <si>
    <t>AET UK Limited</t>
  </si>
  <si>
    <t>Shona Lidstone</t>
  </si>
  <si>
    <t>S.L Lidstone</t>
  </si>
  <si>
    <t>20-42-58</t>
  </si>
  <si>
    <t>Hastens Chelsea</t>
  </si>
  <si>
    <t>Hastens Beds UK Limited (Bank is Handelsbanken plc)</t>
  </si>
  <si>
    <t>HANDBG22</t>
  </si>
  <si>
    <t>GB16238443</t>
  </si>
  <si>
    <t>Hastens Wigmore</t>
  </si>
  <si>
    <t>Hastens Notting Hill</t>
  </si>
  <si>
    <t>Usual BANK details</t>
  </si>
  <si>
    <t>Lee Harvey</t>
  </si>
  <si>
    <t>Motive Partners</t>
  </si>
  <si>
    <t>Murex</t>
  </si>
  <si>
    <t>Lauren Solash</t>
  </si>
  <si>
    <t>British Humanists Association</t>
  </si>
  <si>
    <t>Trinity Laban Conservatoire of Music and Dance</t>
  </si>
  <si>
    <t>Berkeley / St James</t>
  </si>
  <si>
    <t>Ask The Impossible - Day 1</t>
  </si>
  <si>
    <t>Zasbi</t>
  </si>
  <si>
    <t>Berkeley Homes (SOuth Quay Plaza) Limited</t>
  </si>
  <si>
    <t>Chuckle Fish</t>
  </si>
  <si>
    <t>Xero - Day 1</t>
  </si>
  <si>
    <t>Xero - Day 2</t>
  </si>
  <si>
    <t>Xero - Day 3</t>
  </si>
  <si>
    <t>Xero - Day 4</t>
  </si>
  <si>
    <t>Lenora Griffin</t>
  </si>
  <si>
    <t>BSI Lifestyle</t>
  </si>
  <si>
    <t>Business Services International (UK) Ltd</t>
  </si>
  <si>
    <t>23-14-70</t>
  </si>
  <si>
    <t>GB50TRWI23147073952877</t>
  </si>
  <si>
    <t>Wedding Jess and Ben Kirby</t>
  </si>
  <si>
    <t>Building Relations</t>
  </si>
  <si>
    <t>No credit note, client had to pay for additional costs</t>
  </si>
  <si>
    <t>D.E Shaw - Ice cream trike</t>
  </si>
  <si>
    <t>Obol Events</t>
  </si>
  <si>
    <t>RiverSafe Ltd</t>
  </si>
  <si>
    <t>51-50-03</t>
  </si>
  <si>
    <t>Tai ping carpet reception</t>
  </si>
  <si>
    <t>D.E Shaw - Barista</t>
  </si>
  <si>
    <t>Sarah Wiggins</t>
  </si>
  <si>
    <t>LME</t>
  </si>
  <si>
    <t>London Metal Exchange</t>
  </si>
  <si>
    <t>30 93 23</t>
  </si>
  <si>
    <t>0-0750664</t>
  </si>
  <si>
    <t>Andrea Panayiotou</t>
  </si>
  <si>
    <t>Canapes reception - The Fitch Group</t>
  </si>
  <si>
    <t>Beauty SEEN Ltd</t>
  </si>
  <si>
    <t>16-00-28</t>
  </si>
  <si>
    <t>0-0624692</t>
  </si>
  <si>
    <t>Pfizer</t>
  </si>
  <si>
    <t>Jim Tapper</t>
  </si>
  <si>
    <t>James Tapper / Tapper Associate Ltd</t>
  </si>
  <si>
    <t>368 323 58</t>
  </si>
  <si>
    <t>08-71-99</t>
  </si>
  <si>
    <t>Zempler</t>
  </si>
  <si>
    <t>Melissa Fogarty - Clifford Chance</t>
  </si>
  <si>
    <t>Rubrik</t>
  </si>
  <si>
    <t>Berkeley Homes (South Quai Plaza) Limited</t>
  </si>
  <si>
    <t>Barclays</t>
  </si>
  <si>
    <t>Awaiting details</t>
  </si>
  <si>
    <t>Clio Technology</t>
  </si>
  <si>
    <t>Event dates: 7 &amp; 8 May.</t>
  </si>
  <si>
    <t>David Lockie</t>
  </si>
  <si>
    <t>Allocated on INV23197</t>
  </si>
  <si>
    <t>Chew Events / Cognizant Worldwide</t>
  </si>
  <si>
    <t>Totum Partners Limited</t>
  </si>
  <si>
    <t>56-00-20</t>
  </si>
  <si>
    <t>Wallacea Living</t>
  </si>
  <si>
    <t>Wallacea Living Opco Limited</t>
  </si>
  <si>
    <t>Sam Amani</t>
  </si>
  <si>
    <t>WSP UK Ltd</t>
  </si>
  <si>
    <t>40-05-30​**</t>
  </si>
  <si>
    <t>Sarah Gower</t>
  </si>
  <si>
    <t>Market Financial Solutions Ltd</t>
  </si>
  <si>
    <t>Argentum Tasting box</t>
  </si>
  <si>
    <t>Emerging Payments Ventures Ltd</t>
  </si>
  <si>
    <t>16 00 15</t>
  </si>
  <si>
    <t>Argentum</t>
  </si>
  <si>
    <t>TigerBond</t>
  </si>
  <si>
    <t>ORBE Consultants</t>
  </si>
  <si>
    <t>Quinny Sacks</t>
  </si>
  <si>
    <t>Ya Hire Deposit refund?</t>
  </si>
  <si>
    <t>Cognizant Chew</t>
  </si>
  <si>
    <t>AutogenAI</t>
  </si>
  <si>
    <t>Ecole Francaise</t>
  </si>
  <si>
    <t>Ecole Francaise De Londres Jacques Prevert Ltd</t>
  </si>
  <si>
    <t>40-04-01</t>
  </si>
  <si>
    <t>Atomico Tasting</t>
  </si>
  <si>
    <t>Laetitia Das Wermes</t>
  </si>
  <si>
    <t>Cboe Europe BV (Trading Technologies)</t>
  </si>
  <si>
    <t>Karen Carroll</t>
  </si>
  <si>
    <t>Hammerson</t>
  </si>
  <si>
    <t>ICONE ART GALERIE SAS (Laetitia)</t>
  </si>
  <si>
    <t>Unily</t>
  </si>
  <si>
    <t>Flow Traders</t>
  </si>
  <si>
    <t>Flow Traders London Ltd</t>
  </si>
  <si>
    <t>20-00-00</t>
  </si>
  <si>
    <t>Banya</t>
  </si>
  <si>
    <t>Chloe Ngan</t>
  </si>
  <si>
    <t>Elena Tourini</t>
  </si>
  <si>
    <t>Chew Events</t>
  </si>
  <si>
    <t>KFW</t>
  </si>
  <si>
    <t>Tom and Kat Wedding</t>
  </si>
  <si>
    <t>Property Market Analysis LLP</t>
  </si>
  <si>
    <t>Vica Manos</t>
  </si>
  <si>
    <t>Kaizen</t>
  </si>
  <si>
    <t>Debevoise &amp; Plimpton</t>
  </si>
  <si>
    <t>Debevoise &amp; Plimpton Office Account</t>
  </si>
  <si>
    <t>Fasten Seatbelt</t>
  </si>
  <si>
    <t>BENEFICIARIO: FASTEN SEAT BELT S.R.L.</t>
  </si>
  <si>
    <t>Bank: CREDIT AGRICOLE</t>
  </si>
  <si>
    <t>IBAN: IT96M062300162700004457404</t>
  </si>
  <si>
    <t>WRSTBHVR</t>
  </si>
  <si>
    <t>Akelius Residential Ltd</t>
  </si>
  <si>
    <t>AKELIUS RESIDENTIAL LTD</t>
  </si>
  <si>
    <t>We are Seven Hills</t>
  </si>
  <si>
    <t>WSP - Anne</t>
  </si>
  <si>
    <t>Panattoni</t>
  </si>
  <si>
    <t>Panattoni UK Developments</t>
  </si>
  <si>
    <t>40 11 60</t>
  </si>
  <si>
    <t>True Search</t>
  </si>
  <si>
    <t>Claudia Restis</t>
  </si>
  <si>
    <t>Willkie Farr &amp; Gallagher (UK) LLP</t>
  </si>
  <si>
    <t>Ana Gomes</t>
  </si>
  <si>
    <t>ARNOLD &amp; PORTER KAYE SCHOLER (UK) L</t>
  </si>
  <si>
    <t>WSP - Sophie</t>
  </si>
  <si>
    <t>Beach point capital</t>
  </si>
  <si>
    <t>Bowers Production / Sodali</t>
  </si>
  <si>
    <t>Morrow Sodali Ltd.</t>
  </si>
  <si>
    <t>20-65-90</t>
  </si>
  <si>
    <t>powerscourt ltd</t>
  </si>
  <si>
    <t>LME - CNY</t>
  </si>
  <si>
    <t>LME (London Metal Exchange)</t>
  </si>
  <si>
    <t>AC number 00750664</t>
  </si>
  <si>
    <t>Include credit not number CN-23370
 as reference</t>
  </si>
  <si>
    <t>Michael Charles</t>
  </si>
  <si>
    <t>Walkers Europe</t>
  </si>
  <si>
    <t>Peter and Paul Catholic Primary School</t>
  </si>
  <si>
    <t>LBM RE LDN ST PETER &amp; PAUL PRIMARY SCHOOL</t>
  </si>
  <si>
    <t>30 99 66</t>
  </si>
  <si>
    <t>Sara Barranger</t>
  </si>
  <si>
    <t>CJ Tasco</t>
  </si>
  <si>
    <t>Sarah Fairbairn /Lesley Reynolds - Wake reception</t>
  </si>
  <si>
    <t>Chew events</t>
  </si>
  <si>
    <t>Berkeley / St Williams</t>
  </si>
  <si>
    <t>ST WILLIAMS HOME LLP - KRP</t>
  </si>
  <si>
    <t>AET UK Ltd</t>
  </si>
  <si>
    <t>Tsakos Shipping (London) Ltd</t>
  </si>
  <si>
    <t>INVOICE 23530</t>
  </si>
  <si>
    <t>39Essex</t>
  </si>
  <si>
    <t>Megan Quinn</t>
  </si>
  <si>
    <t>Situs AMC</t>
  </si>
  <si>
    <t>Situs Assest Management</t>
  </si>
  <si>
    <t>2163 6648</t>
  </si>
  <si>
    <t>ST James / Berkeley</t>
  </si>
  <si>
    <t>ST WILLIAM HOMES LLP - WEST</t>
  </si>
  <si>
    <t>DEDUCTED</t>
  </si>
  <si>
    <t>Deducted from invoice</t>
  </si>
  <si>
    <t>Wedding Graham and Ellie</t>
  </si>
  <si>
    <t>deducted off invoice</t>
  </si>
  <si>
    <t>Canada House -</t>
  </si>
  <si>
    <t>Canada UK - Chamber of Commerce</t>
  </si>
  <si>
    <t>18260 492</t>
  </si>
  <si>
    <t>PricewaterhouseCoopers LLP</t>
  </si>
  <si>
    <t>Dog's Trust</t>
  </si>
  <si>
    <t>Caroline &amp; Charles Weller</t>
  </si>
  <si>
    <t>Event dates: 12-14 May.</t>
  </si>
  <si>
    <t>Plus £321.24 for drinks on 06/03/25</t>
  </si>
  <si>
    <t>Blakes London</t>
  </si>
  <si>
    <t>Tabayer</t>
  </si>
  <si>
    <t>ST JAMES GROUP LTD - WEST</t>
  </si>
  <si>
    <t>20 92 96</t>
  </si>
  <si>
    <t>Jamjar Investment</t>
  </si>
  <si>
    <t>Building relations</t>
  </si>
  <si>
    <t>Cognizant - Chew Events</t>
  </si>
  <si>
    <t>Canada House - Air Canada</t>
  </si>
  <si>
    <t>MFS</t>
  </si>
  <si>
    <t>SGN - Lunch deliveries</t>
  </si>
  <si>
    <t>Event dates: 25 - 27 March.</t>
  </si>
  <si>
    <t>Nesta</t>
  </si>
  <si>
    <t>30 00 09</t>
  </si>
  <si>
    <t>0-1227801</t>
  </si>
  <si>
    <t>Canada House - Lily James</t>
  </si>
  <si>
    <t>SGN - Bowl food</t>
  </si>
  <si>
    <t>Wedding Ellie and Graham</t>
  </si>
  <si>
    <t>50th Birthday - Victoria Buxton</t>
  </si>
  <si>
    <t>Bayerische Tasting box</t>
  </si>
  <si>
    <t>Kaizen (London Reporting House)</t>
  </si>
  <si>
    <t>Bayerische</t>
  </si>
  <si>
    <t>Isabela and Anna's wedding</t>
  </si>
  <si>
    <t>NH Financial</t>
  </si>
  <si>
    <t>Julia Charles Event Management</t>
  </si>
  <si>
    <t>Julia Charles Event Management Ltd</t>
  </si>
  <si>
    <t>20-32-30</t>
  </si>
  <si>
    <t>Emma Cosgrove</t>
  </si>
  <si>
    <t>Cosgrove</t>
  </si>
  <si>
    <t>40-05-01</t>
  </si>
  <si>
    <t>Reception - Chew events / Travellers</t>
  </si>
  <si>
    <t>Reception - berkeley</t>
  </si>
  <si>
    <t>Berkeley Homes - No BACS payment as deducted</t>
  </si>
  <si>
    <t>Barclays Bank PLC taken off next invoice</t>
  </si>
  <si>
    <t>Posworks reception</t>
  </si>
  <si>
    <t>SGN Finger Buffet Lunch</t>
  </si>
  <si>
    <t>St James Finger buffet</t>
  </si>
  <si>
    <t>Katten Munchin Rosenman UK LLP</t>
  </si>
  <si>
    <t>00-155-602</t>
  </si>
  <si>
    <t>Michael Harman Birthday Party</t>
  </si>
  <si>
    <t>Paula Parer</t>
  </si>
  <si>
    <t>AET (both days)</t>
  </si>
  <si>
    <t>CitiBank - London branch (CITIGB2LXXX)</t>
  </si>
  <si>
    <t>Event dates: 11 &amp;12 June 2025.</t>
  </si>
  <si>
    <t>Maya Fabiani</t>
  </si>
  <si>
    <t>St Williams breakfast (PO number P383185)</t>
  </si>
  <si>
    <t>Event dates: TBC new date.</t>
  </si>
  <si>
    <t>St Williams reception</t>
  </si>
  <si>
    <t>St Williams Home LLP - KRP</t>
  </si>
  <si>
    <t>CBRE GWS | c/o Optum</t>
  </si>
  <si>
    <t>Winston and Strawn</t>
  </si>
  <si>
    <t>Turner &amp; Townsend</t>
  </si>
  <si>
    <t>Liam and Amy wedding</t>
  </si>
  <si>
    <t>Liam Embliss</t>
  </si>
  <si>
    <t>Berkeley reception (Sam Dance)</t>
  </si>
  <si>
    <t>Sunnyside Up</t>
  </si>
  <si>
    <t>Deborah Wald</t>
  </si>
  <si>
    <t>MaryWard House</t>
  </si>
  <si>
    <t>Opus</t>
  </si>
  <si>
    <t>Marlene Raquel Aguiluz - error payment</t>
  </si>
  <si>
    <t>Deborah Wald Tasting</t>
  </si>
  <si>
    <t>St James</t>
  </si>
  <si>
    <t>St William Homes LLP - West</t>
  </si>
  <si>
    <t>Cognizant - VIP afternoon tea</t>
  </si>
  <si>
    <t>Cognizant (Chew Events) - Summer party</t>
  </si>
  <si>
    <t>Heather Falcone</t>
  </si>
  <si>
    <t>Berkeley Group - Sam Dance</t>
  </si>
  <si>
    <t>Alex Gilmore</t>
  </si>
  <si>
    <t>Havas</t>
  </si>
  <si>
    <t>83 Rivington</t>
  </si>
  <si>
    <t>Cognizant - Cupcakes</t>
  </si>
  <si>
    <t>Lucy Peele - Food delivery</t>
  </si>
  <si>
    <t>Event dates: June.</t>
  </si>
  <si>
    <t>CN 23351</t>
  </si>
  <si>
    <t>Chris Kilborn</t>
  </si>
  <si>
    <t>Claire Bevacqua</t>
  </si>
  <si>
    <t>Chew Events Ltd</t>
  </si>
  <si>
    <t>20-19-95</t>
  </si>
  <si>
    <t>Europe House - PO NUMBER: 156/2024</t>
  </si>
  <si>
    <t>SEGA Europe Ltd</t>
  </si>
  <si>
    <t>Hayley Bay Wedding Tasting</t>
  </si>
  <si>
    <t>I SQUARED</t>
  </si>
  <si>
    <t>Amy Dullage</t>
  </si>
  <si>
    <t>Virginia Priest</t>
  </si>
  <si>
    <t>Perenco Holding</t>
  </si>
  <si>
    <t>Hayley Bay Wedding</t>
  </si>
  <si>
    <t>Will and Imme wedding drinks</t>
  </si>
  <si>
    <t>Mrs CR Lipsedge</t>
  </si>
  <si>
    <t>50-30-20</t>
  </si>
  <si>
    <t>345 48483</t>
  </si>
  <si>
    <t>Taiping Tasting</t>
  </si>
  <si>
    <t>Chew Events - Travelers, Ladies in Surety</t>
  </si>
  <si>
    <t>Phyllida Earle</t>
  </si>
  <si>
    <t>SGN - Finger food Day 1</t>
  </si>
  <si>
    <t>SGN - Finger food Day 2</t>
  </si>
  <si>
    <t>Chew events - Cognizant</t>
  </si>
  <si>
    <t>Berkeley Group - Naomi Lewis</t>
  </si>
  <si>
    <t>Jacqueline Goldenberg</t>
  </si>
  <si>
    <t>Taiping</t>
  </si>
  <si>
    <t>Sussman Corporate Security</t>
  </si>
  <si>
    <t>EVENTS - Berners ADV Ltd</t>
  </si>
  <si>
    <t>S.C SB HUB SRL</t>
  </si>
  <si>
    <t>SWIFT: PIRBROBU</t>
  </si>
  <si>
    <t>GBP: RO52PIRB2502747711006000</t>
  </si>
  <si>
    <t>FIRST BANK S.A</t>
  </si>
  <si>
    <t>Muse Communications</t>
  </si>
  <si>
    <t>OCBC</t>
  </si>
  <si>
    <t>event furniture hire deposit</t>
  </si>
  <si>
    <t>Alston &amp; Bird - DRINKS ONLY</t>
  </si>
  <si>
    <t>OTCX Trading - picnic</t>
  </si>
  <si>
    <t>We are Family</t>
  </si>
  <si>
    <t>OTCX Trading</t>
  </si>
  <si>
    <t>OTCX Trading Ltd.</t>
  </si>
  <si>
    <t>40-11-60</t>
  </si>
  <si>
    <t>Perenco Holdings - Food drop off</t>
  </si>
  <si>
    <t>Travelers - Junior Broker Connect</t>
  </si>
  <si>
    <t>Travelers - Broker Connect</t>
  </si>
  <si>
    <t>Arnold &amp; Porter - Year end lunch</t>
  </si>
  <si>
    <t>Arnold &amp; Porter - Winter wonderland</t>
  </si>
  <si>
    <t>Jeanie York</t>
  </si>
  <si>
    <t>Nicholas Armstrong</t>
  </si>
  <si>
    <t>Tiphaine Aires Tasting</t>
  </si>
  <si>
    <t>Europe Delegation</t>
  </si>
  <si>
    <t>Event dates: 17 &amp; 18 June.</t>
  </si>
  <si>
    <t>Jonathan Putsman Tasting</t>
  </si>
  <si>
    <t>Chew Events - Generator, Barista</t>
  </si>
  <si>
    <t>Banya Family Placement Agency Limited;</t>
  </si>
  <si>
    <t>08-90-81</t>
  </si>
  <si>
    <t>Tiphaine &amp; Chris wedding</t>
  </si>
  <si>
    <t>Walkers (Europe)</t>
  </si>
  <si>
    <t>40-64-45</t>
  </si>
  <si>
    <t>0-7196568</t>
  </si>
  <si>
    <t>Pump Tax</t>
  </si>
  <si>
    <t>Use existing bank details</t>
  </si>
  <si>
    <t>Chew Events - Additional guests</t>
  </si>
  <si>
    <t>Arte International</t>
  </si>
  <si>
    <t>Informa TechTarget</t>
  </si>
  <si>
    <t>Berkeley - RAR event</t>
  </si>
  <si>
    <t>Strettons</t>
  </si>
  <si>
    <t>Secret Studio</t>
  </si>
  <si>
    <t>Crosstide Consultancy</t>
  </si>
  <si>
    <t>Lucy Liu</t>
  </si>
  <si>
    <t>The Thinking Traveller</t>
  </si>
  <si>
    <t>Decorbuddi</t>
  </si>
  <si>
    <t>Dark Trace</t>
  </si>
  <si>
    <t>Darktrace Holdings Limited</t>
  </si>
  <si>
    <t>40-16-08</t>
  </si>
  <si>
    <t>Xero Day 1</t>
  </si>
  <si>
    <t>Xero Day 2</t>
  </si>
  <si>
    <t>st Williams</t>
  </si>
  <si>
    <t>RESONATE COMMUNICATIONS LTD</t>
  </si>
  <si>
    <t>Delegation European Union</t>
  </si>
  <si>
    <t>Prompt Power Solutions</t>
  </si>
  <si>
    <t>Event dates: 07 &amp; 14 July.</t>
  </si>
  <si>
    <t>Paid in full 10/08/2026 by BACS.</t>
  </si>
  <si>
    <t>Bayerische Landesbank</t>
  </si>
  <si>
    <t>30-80-12</t>
  </si>
  <si>
    <t>Diana Reed</t>
  </si>
  <si>
    <t>Event dates: 14 &amp; 15 July.</t>
  </si>
  <si>
    <t>Cheryl McDairmid</t>
  </si>
  <si>
    <t xml:space="preserve">SGN </t>
  </si>
  <si>
    <t>Event dates: 23-24 Sept.</t>
  </si>
  <si>
    <t>Tracey Hall</t>
  </si>
  <si>
    <t>Isokinetic</t>
  </si>
  <si>
    <t>TaiPing</t>
  </si>
  <si>
    <t>Obeetee Tasting box</t>
  </si>
  <si>
    <t>AET Limited</t>
  </si>
  <si>
    <t>Event dates as entered: 09 &amp; 10 Sept.</t>
  </si>
  <si>
    <t>Marsha Rose</t>
  </si>
  <si>
    <t>Obeetee</t>
  </si>
  <si>
    <t>Erin  Eisenberg</t>
  </si>
  <si>
    <t>Erin Eisenberg</t>
  </si>
  <si>
    <t>40-04-10</t>
  </si>
  <si>
    <t>Zenith Bank (Day 1 &amp; 2)</t>
  </si>
  <si>
    <t>Event dates as entered: 01 &amp; 02 Oct.</t>
  </si>
  <si>
    <t>Alive Comms</t>
  </si>
  <si>
    <t>TMB</t>
  </si>
  <si>
    <t>Rachel Chapman</t>
  </si>
  <si>
    <t>Event dates as entered: 13&amp;14 Oct.</t>
  </si>
  <si>
    <t>Event dates as entered: 23&amp; 24 Sept.</t>
  </si>
  <si>
    <t>Deposit is a one-off GBP 2,535 rather than the standard 10%. Refunded in full to the card, no adjustments. Closed.</t>
  </si>
  <si>
    <t>LiveScore</t>
  </si>
  <si>
    <t>Britney Oosthuizen</t>
  </si>
  <si>
    <t>JFS Property Services</t>
  </si>
  <si>
    <t>Brands at Work</t>
  </si>
  <si>
    <t>Stefanie Kotecha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</si>
</sst>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\ yyyy"/>
    <numFmt numFmtId="165" formatCode="dd/mm/yyyy"/>
    <numFmt numFmtId="166" formatCode="\£#,##0.00"/>
    <numFmt numFmtId="167" formatCode="\£#,##0.00;[RED]&quot;-£&quot;#,##0.00"/>
    <numFmt numFmtId="168" formatCode="yyyy\-mm\-dd"/>
    <numFmt numFmtId="169" formatCode="yyyy\-mm\-dd\ h:mm:ss"/>
  </numFmts>
  <fonts count="37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8.0"/>
      <color rgb="FF0B5C36"/>
      <name val="Arial"/>
    </font>
    <font>
      <i/>
      <sz val="10.0"/>
      <color rgb="FF7F7F7F"/>
      <name val="Arial"/>
    </font>
    <font>
      <b/>
      <sz val="18.0"/>
      <color rgb="FF7A1F5C"/>
      <name val="Arial"/>
    </font>
    <font>
      <b/>
      <sz val="12.0"/>
      <color rgb="FFFFFFFF"/>
      <name val="Arial"/>
    </font>
    <font>
      <b/>
      <sz val="9.0"/>
      <color rgb="FF7F7F7F"/>
      <name val="Arial"/>
    </font>
    <font>
      <b/>
      <sz val="9.0"/>
      <color rgb="FFFFFFFF"/>
      <name val="Arial"/>
    </font>
    <font>
      <b/>
      <sz val="13.0"/>
      <color rgb="FFFFFFFF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rgb="FF7A1F5C"/>
      <name val="Arial"/>
    </font>
    <font>
      <i/>
      <sz val="9.0"/>
      <color rgb="FF7F7F7F"/>
      <name val="Arial"/>
    </font>
    <font>
      <sz val="10.0"/>
      <color rgb="FF0000FF"/>
      <name val="Arial"/>
    </font>
    <font>
      <b/>
      <sz val="10.0"/>
      <color rgb="FF000000"/>
      <name val="Arial"/>
    </font>
    <font>
      <sz val="8.0"/>
      <color rgb="FFCCCCCC"/>
      <name val="Arial"/>
    </font>
    <font>
      <sz val="10.0"/>
      <color rgb="FF7F7F7F"/>
      <name val="Arial"/>
    </font>
    <font>
      <sz val="10.0"/>
      <color theme="1"/>
      <name val="Arial"/>
    </font>
    <font>
      <sz val="8.0"/>
      <color rgb="FFDDDDDD"/>
      <name val="Arial"/>
    </font>
    <font>
      <b/>
      <sz val="10.0"/>
      <color rgb="FF0000FF"/>
      <name val="Arial"/>
    </font>
    <font>
      <b/>
      <sz val="16.0"/>
      <color rgb="FF1F3864"/>
      <name val="Arial"/>
    </font>
    <font>
      <b/>
      <sz val="20.0"/>
      <color rgb="FFFFFFFF"/>
      <name val="Arial"/>
    </font>
    <font>
      <sz val="10.0"/>
      <color rgb="FF5F6368"/>
      <name val="Arial"/>
    </font>
    <font>
      <sz val="10.0"/>
      <color rgb="FF444444"/>
      <name val="Arial"/>
    </font>
    <font>
      <b/>
      <sz val="10.0"/>
      <color rgb="FF274E13"/>
      <name val="Arial"/>
    </font>
    <font>
      <b/>
      <sz val="10.0"/>
      <color rgb="FF7F6000"/>
      <name val="Arial"/>
    </font>
    <font>
      <b/>
      <sz val="10.0"/>
      <color rgb="FF0B5C36"/>
      <name val="Arial"/>
    </font>
    <font>
      <b/>
      <sz val="10.0"/>
      <color rgb="FFB45F06"/>
      <name val="Arial"/>
    </font>
    <font>
      <b/>
      <sz val="10.0"/>
      <color rgb="FFFFFFFF"/>
      <name val="Arial"/>
    </font>
    <font>
      <b/>
      <sz val="14.0"/>
      <color rgb="FF9C0006"/>
      <name val="Arial"/>
    </font>
    <font>
      <sz val="10.0"/>
      <color rgb="FFA50E0E"/>
      <name val="Arial"/>
    </font>
    <font>
      <sz val="10.0"/>
      <color rgb="FFB45F06"/>
      <name val="Arial"/>
    </font>
    <font>
      <b/>
      <sz val="12.0"/>
      <color rgb="FF1F3864"/>
      <name val="Arial"/>
    </font>
    <font>
      <b/>
      <sz val="11.0"/>
      <color rgb="FFB45F06"/>
      <name val="Arial"/>
    </font>
    <font>
      <b/>
      <sz val="11.0"/>
      <color rgb="FF1F3864"/>
      <name val="Arial"/>
    </font>
    <font>
      <i/>
      <sz val="9.0"/>
      <color rgb="FF7F6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E6B52"/>
        <bgColor rgb="FF1E6B52"/>
      </patternFill>
    </fill>
    <fill>
      <patternFill patternType="solid">
        <fgColor rgb="FF0B5C36"/>
        <bgColor rgb="FF0B5C36"/>
      </patternFill>
    </fill>
    <fill>
      <patternFill patternType="solid">
        <fgColor rgb="FF6A3D9A"/>
        <bgColor rgb="FF6A3D9A"/>
      </patternFill>
    </fill>
    <fill>
      <patternFill patternType="solid">
        <fgColor rgb="FF44546A"/>
        <bgColor rgb="FF44546A"/>
      </patternFill>
    </fill>
    <fill>
      <patternFill patternType="solid">
        <fgColor rgb="FF9C0006"/>
        <bgColor rgb="FF9C0006"/>
      </patternFill>
    </fill>
    <fill>
      <patternFill patternType="solid">
        <fgColor rgb="FFB45F06"/>
        <bgColor rgb="FFB45F06"/>
      </patternFill>
    </fill>
    <fill>
      <patternFill patternType="solid">
        <fgColor rgb="FF7A1F5C"/>
        <bgColor rgb="FF7A1F5C"/>
      </patternFill>
    </fill>
    <fill>
      <patternFill patternType="solid">
        <fgColor rgb="FF2E5C8A"/>
        <bgColor rgb="FF2E5C8A"/>
      </patternFill>
    </fill>
    <fill>
      <patternFill patternType="solid">
        <fgColor rgb="FF9BA3AF"/>
        <bgColor rgb="FF9BA3AF"/>
      </patternFill>
    </fill>
    <fill>
      <patternFill patternType="solid">
        <fgColor rgb="FFE4F4EB"/>
        <bgColor rgb="FFE4F4EB"/>
      </patternFill>
    </fill>
    <fill>
      <patternFill patternType="solid">
        <fgColor rgb="FFF3E5F0"/>
        <bgColor rgb="FFF3E5F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A50E0E"/>
        <bgColor rgb="FFA50E0E"/>
      </patternFill>
    </fill>
    <fill>
      <patternFill patternType="solid">
        <fgColor rgb="FF7F0000"/>
        <bgColor rgb="FF7F0000"/>
      </patternFill>
    </fill>
    <fill>
      <patternFill patternType="solid">
        <fgColor rgb="FFF9CB9C"/>
        <bgColor rgb="FFF9CB9C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AD1457"/>
        <bgColor rgb="FFAD1457"/>
      </patternFill>
    </fill>
    <fill>
      <patternFill patternType="solid">
        <fgColor rgb="FF8497B0"/>
        <bgColor rgb="FF8497B0"/>
      </patternFill>
    </fill>
    <fill>
      <patternFill patternType="solid">
        <fgColor rgb="FF4A1238"/>
        <bgColor rgb="FF4A1238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</border>
    <border>
      <right/>
      <top/>
    </border>
    <border>
      <left/>
      <right/>
      <top/>
      <bottom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3" fillId="0" fontId="2" numFmtId="0" xfId="0" applyBorder="1" applyFont="1"/>
    <xf borderId="0" fillId="0" fontId="4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horizontal="left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4" fillId="6" fontId="8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0"/>
    </xf>
    <xf borderId="1" fillId="8" fontId="1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9" fontId="9" numFmtId="0" xfId="0" applyAlignment="1" applyBorder="1" applyFill="1" applyFont="1">
      <alignment horizontal="center" shrinkToFit="0" vertical="center" wrapText="0"/>
    </xf>
    <xf borderId="4" fillId="10" fontId="8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0" fillId="0" fontId="10" numFmtId="164" xfId="0" applyAlignment="1" applyFont="1" applyNumberFormat="1">
      <alignment shrinkToFit="0" vertical="bottom" wrapText="0"/>
    </xf>
    <xf borderId="4" fillId="5" fontId="8" numFmtId="0" xfId="0" applyAlignment="1" applyBorder="1" applyFill="1" applyFont="1">
      <alignment horizontal="center" shrinkToFit="0" vertical="center" wrapText="1"/>
    </xf>
    <xf borderId="4" fillId="0" fontId="11" numFmtId="1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4" fillId="8" fontId="8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4" fillId="9" fontId="8" numFmtId="0" xfId="0" applyAlignment="1" applyBorder="1" applyFill="1" applyFon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1" fillId="9" fontId="6" numFmtId="0" xfId="0" applyAlignment="1" applyBorder="1" applyFill="1" applyFont="1">
      <alignment horizontal="left" shrinkToFit="0" vertical="center" wrapText="0"/>
    </xf>
    <xf borderId="4" fillId="0" fontId="11" numFmtId="166" xfId="0" applyAlignment="1" applyBorder="1" applyFont="1" applyNumberFormat="1">
      <alignment horizontal="right" shrinkToFit="0" vertical="bottom" wrapText="0"/>
    </xf>
    <xf borderId="4" fillId="0" fontId="14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horizontal="center" shrinkToFit="0" vertical="bottom" wrapText="0"/>
    </xf>
    <xf borderId="4" fillId="0" fontId="14" numFmtId="0" xfId="0" applyAlignment="1" applyBorder="1" applyFont="1">
      <alignment horizontal="left" shrinkToFit="0" vertical="bottom" wrapText="0"/>
    </xf>
    <xf borderId="4" fillId="0" fontId="14" numFmtId="165" xfId="0" applyAlignment="1" applyBorder="1" applyFont="1" applyNumberFormat="1">
      <alignment horizontal="center" shrinkToFit="0" vertical="bottom" wrapText="0"/>
    </xf>
    <xf borderId="4" fillId="12" fontId="15" numFmtId="166" xfId="0" applyAlignment="1" applyBorder="1" applyFill="1" applyFont="1" applyNumberForma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4" fillId="0" fontId="14" numFmtId="166" xfId="0" applyAlignment="1" applyBorder="1" applyFont="1" applyNumberFormat="1">
      <alignment horizontal="right" shrinkToFit="0" vertical="bottom" wrapText="0"/>
    </xf>
    <xf borderId="4" fillId="0" fontId="14" numFmtId="9" xfId="0" applyAlignment="1" applyBorder="1" applyFont="1" applyNumberFormat="1">
      <alignment horizontal="center" shrinkToFit="0" vertical="bottom" wrapText="0"/>
    </xf>
    <xf borderId="4" fillId="0" fontId="17" numFmtId="166" xfId="0" applyAlignment="1" applyBorder="1" applyFont="1" applyNumberFormat="1">
      <alignment horizontal="right" shrinkToFit="0" vertical="bottom" wrapText="0"/>
    </xf>
    <xf borderId="4" fillId="0" fontId="15" numFmtId="166" xfId="0" applyAlignment="1" applyBorder="1" applyFont="1" applyNumberFormat="1">
      <alignment horizontal="right" shrinkToFit="0" vertical="bottom" wrapText="0"/>
    </xf>
    <xf borderId="4" fillId="0" fontId="11" numFmtId="9" xfId="0" applyAlignment="1" applyBorder="1" applyFont="1" applyNumberFormat="1">
      <alignment horizontal="center" shrinkToFit="0" vertical="bottom" wrapText="0"/>
    </xf>
    <xf borderId="4" fillId="0" fontId="11" numFmtId="167" xfId="0" applyAlignment="1" applyBorder="1" applyFont="1" applyNumberFormat="1">
      <alignment horizontal="right" shrinkToFit="0" vertical="bottom" wrapText="0"/>
    </xf>
    <xf borderId="4" fillId="13" fontId="15" numFmtId="166" xfId="0" applyAlignment="1" applyBorder="1" applyFill="1" applyFont="1" applyNumberFormat="1">
      <alignment horizontal="right" shrinkToFit="0" vertical="bottom" wrapText="0"/>
    </xf>
    <xf borderId="4" fillId="0" fontId="14" numFmtId="167" xfId="0" applyAlignment="1" applyBorder="1" applyFont="1" applyNumberFormat="1">
      <alignment horizontal="right" shrinkToFit="0" vertical="bottom" wrapText="0"/>
    </xf>
    <xf borderId="4" fillId="0" fontId="18" numFmtId="165" xfId="0" applyAlignment="1" applyBorder="1" applyFont="1" applyNumberFormat="1">
      <alignment horizontal="center" shrinkToFit="0" vertical="bottom" wrapText="0"/>
    </xf>
    <xf borderId="4" fillId="0" fontId="10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4" fillId="0" fontId="20" numFmtId="166" xfId="0" applyAlignment="1" applyBorder="1" applyFont="1" applyNumberFormat="1">
      <alignment horizontal="right" shrinkToFit="0" vertical="bottom" wrapText="0"/>
    </xf>
    <xf borderId="4" fillId="0" fontId="11" numFmtId="165" xfId="0" applyAlignment="1" applyBorder="1" applyFont="1" applyNumberFormat="1">
      <alignment horizontal="center" shrinkToFit="0" vertical="bottom" wrapText="0"/>
    </xf>
    <xf borderId="4" fillId="4" fontId="1" numFmtId="0" xfId="0" applyAlignment="1" applyBorder="1" applyFill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4" fillId="4" fontId="1" numFmtId="1" xfId="0" applyAlignment="1" applyBorder="1" applyFill="1" applyFont="1" applyNumberFormat="1">
      <alignment horizontal="center" shrinkToFit="0" vertical="bottom" wrapText="0"/>
    </xf>
    <xf borderId="4" fillId="4" fontId="1" numFmtId="166" xfId="0" applyAlignment="1" applyBorder="1" applyFill="1" applyFont="1" applyNumberFormat="1">
      <alignment horizontal="right" shrinkToFit="0" vertical="bottom" wrapText="0"/>
    </xf>
    <xf borderId="1" fillId="2" fontId="8" numFmtId="0" xfId="0" applyAlignment="1" applyBorder="1" applyFill="1" applyFont="1">
      <alignment horizontal="left" shrinkToFit="0" vertical="center" wrapText="0"/>
    </xf>
    <xf borderId="1" fillId="4" fontId="8" numFmtId="0" xfId="0" applyAlignment="1" applyBorder="1" applyFill="1" applyFont="1">
      <alignment horizontal="left" shrinkToFit="0" vertical="center" wrapText="0"/>
    </xf>
    <xf borderId="4" fillId="6" fontId="8" numFmtId="0" xfId="0" applyAlignment="1" applyBorder="1" applyFill="1" applyFont="1">
      <alignment horizontal="center" shrinkToFit="0" vertical="bottom" wrapText="0"/>
    </xf>
    <xf borderId="1" fillId="6" fontId="6" numFmtId="0" xfId="0" applyAlignment="1" applyBorder="1" applyFill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5" fillId="2" fontId="22" numFmtId="166" xfId="0" applyAlignment="1" applyBorder="1" applyFill="1" applyFont="1" applyNumberFormat="1">
      <alignment horizontal="left" shrinkToFit="0" vertical="center" wrapText="0"/>
    </xf>
    <xf borderId="6" fillId="0" fontId="2" numFmtId="0" xfId="0" applyBorder="1" applyFont="1"/>
    <xf borderId="5" fillId="4" fontId="22" numFmtId="166" xfId="0" applyAlignment="1" applyBorder="1" applyFill="1" applyFont="1" applyNumberFormat="1">
      <alignment horizontal="left" shrinkToFit="0" vertical="center" wrapText="0"/>
    </xf>
    <xf borderId="7" fillId="14" fontId="23" numFmtId="0" xfId="0" applyAlignment="1" applyBorder="1" applyFill="1" applyFont="1">
      <alignment shrinkToFit="0" vertical="bottom" wrapText="0"/>
    </xf>
    <xf borderId="4" fillId="0" fontId="18" numFmtId="1" xfId="0" applyAlignment="1" applyBorder="1" applyFont="1" applyNumberFormat="1">
      <alignment horizontal="center" shrinkToFit="0" vertical="bottom" wrapText="0"/>
    </xf>
    <xf borderId="0" fillId="0" fontId="24" numFmtId="0" xfId="0" applyAlignment="1" applyFont="1">
      <alignment shrinkToFit="0" vertical="bottom" wrapText="0"/>
    </xf>
    <xf borderId="4" fillId="0" fontId="18" numFmtId="166" xfId="0" applyAlignment="1" applyBorder="1" applyFont="1" applyNumberFormat="1">
      <alignment horizontal="right" shrinkToFit="0" vertical="bottom" wrapText="0"/>
    </xf>
    <xf borderId="8" fillId="0" fontId="2" numFmtId="0" xfId="0" applyBorder="1" applyFont="1"/>
    <xf borderId="9" fillId="0" fontId="2" numFmtId="0" xfId="0" applyBorder="1" applyFont="1"/>
    <xf borderId="4" fillId="12" fontId="10" numFmtId="166" xfId="0" applyAlignment="1" applyBorder="1" applyFill="1" applyFont="1" applyNumberFormat="1">
      <alignment horizontal="right" shrinkToFit="0" vertical="bottom" wrapText="0"/>
    </xf>
    <xf borderId="7" fillId="15" fontId="25" numFmtId="0" xfId="0" applyAlignment="1" applyBorder="1" applyFill="1" applyFont="1">
      <alignment shrinkToFit="0" vertical="bottom" wrapText="0"/>
    </xf>
    <xf borderId="7" fillId="16" fontId="26" numFmtId="0" xfId="0" applyAlignment="1" applyBorder="1" applyFill="1" applyFont="1">
      <alignment shrinkToFit="0" vertical="bottom" wrapText="0"/>
    </xf>
    <xf borderId="7" fillId="17" fontId="27" numFmtId="0" xfId="0" applyAlignment="1" applyBorder="1" applyFill="1" applyFont="1">
      <alignment shrinkToFit="0" vertical="bottom" wrapText="0"/>
    </xf>
    <xf borderId="1" fillId="18" fontId="8" numFmtId="0" xfId="0" applyAlignment="1" applyBorder="1" applyFill="1" applyFont="1">
      <alignment horizontal="left" shrinkToFit="0" vertical="center" wrapText="0"/>
    </xf>
    <xf borderId="1" fillId="19" fontId="8" numFmtId="0" xfId="0" applyAlignment="1" applyBorder="1" applyFill="1" applyFont="1">
      <alignment horizontal="left" shrinkToFit="0" vertical="center" wrapText="0"/>
    </xf>
    <xf borderId="7" fillId="20" fontId="28" numFmtId="0" xfId="0" applyAlignment="1" applyBorder="1" applyFill="1" applyFont="1">
      <alignment shrinkToFit="0" vertical="bottom" wrapText="0"/>
    </xf>
    <xf borderId="5" fillId="18" fontId="22" numFmtId="166" xfId="0" applyAlignment="1" applyBorder="1" applyFill="1" applyFont="1" applyNumberFormat="1">
      <alignment horizontal="left" shrinkToFit="0" vertical="center" wrapText="0"/>
    </xf>
    <xf borderId="5" fillId="19" fontId="22" numFmtId="166" xfId="0" applyAlignment="1" applyBorder="1" applyFill="1" applyFont="1" applyNumberFormat="1">
      <alignment horizontal="left" shrinkToFit="0" vertical="center" wrapText="0"/>
    </xf>
    <xf borderId="7" fillId="21" fontId="29" numFmtId="0" xfId="0" applyAlignment="1" applyBorder="1" applyFill="1" applyFont="1">
      <alignment shrinkToFit="0" vertical="bottom" wrapText="0"/>
    </xf>
    <xf borderId="7" fillId="22" fontId="29" numFmtId="0" xfId="0" applyAlignment="1" applyBorder="1" applyFill="1" applyFont="1">
      <alignment shrinkToFit="0" vertical="bottom" wrapText="0"/>
    </xf>
    <xf borderId="1" fillId="8" fontId="8" numFmtId="0" xfId="0" applyAlignment="1" applyBorder="1" applyFill="1" applyFont="1">
      <alignment horizontal="left" shrinkToFit="0" vertical="center" wrapText="0"/>
    </xf>
    <xf borderId="1" fillId="23" fontId="8" numFmtId="0" xfId="0" applyAlignment="1" applyBorder="1" applyFill="1" applyFont="1">
      <alignment horizontal="left" shrinkToFit="0" vertical="center" wrapText="0"/>
    </xf>
    <xf borderId="7" fillId="24" fontId="29" numFmtId="0" xfId="0" applyAlignment="1" applyBorder="1" applyFill="1" applyFont="1">
      <alignment horizontal="center" shrinkToFit="0" vertical="bottom" wrapText="0"/>
    </xf>
    <xf borderId="5" fillId="8" fontId="22" numFmtId="166" xfId="0" applyAlignment="1" applyBorder="1" applyFill="1" applyFont="1" applyNumberFormat="1">
      <alignment horizontal="left" shrinkToFit="0" vertical="center" wrapText="0"/>
    </xf>
    <xf borderId="5" fillId="23" fontId="22" numFmtId="1" xfId="0" applyAlignment="1" applyBorder="1" applyFill="1" applyFont="1" applyNumberFormat="1">
      <alignment horizontal="left" shrinkToFit="0" vertical="center" wrapText="0"/>
    </xf>
    <xf borderId="0" fillId="0" fontId="18" numFmtId="164" xfId="0" applyAlignment="1" applyFont="1" applyNumberFormat="1">
      <alignment shrinkToFit="0" vertical="bottom" wrapText="0"/>
    </xf>
    <xf borderId="0" fillId="0" fontId="18" numFmtId="1" xfId="0" applyAlignment="1" applyFont="1" applyNumberFormat="1">
      <alignment horizontal="center" shrinkToFit="0" vertical="bottom" wrapText="0"/>
    </xf>
    <xf borderId="0" fillId="0" fontId="18" numFmtId="166" xfId="0" applyAlignment="1" applyFont="1" applyNumberFormat="1">
      <alignment shrinkToFit="0" vertical="bottom" wrapText="0"/>
    </xf>
    <xf borderId="1" fillId="9" fontId="8" numFmtId="0" xfId="0" applyAlignment="1" applyBorder="1" applyFill="1" applyFont="1">
      <alignment horizontal="left" shrinkToFit="0" vertical="center" wrapText="0"/>
    </xf>
    <xf borderId="1" fillId="25" fontId="8" numFmtId="0" xfId="0" applyAlignment="1" applyBorder="1" applyFill="1" applyFont="1">
      <alignment horizontal="left" shrinkToFit="0" vertical="center" wrapText="0"/>
    </xf>
    <xf borderId="0" fillId="0" fontId="30" numFmtId="0" xfId="0" applyAlignment="1" applyFont="1">
      <alignment shrinkToFit="0" vertical="bottom" wrapText="0"/>
    </xf>
    <xf borderId="5" fillId="9" fontId="22" numFmtId="166" xfId="0" applyAlignment="1" applyBorder="1" applyFill="1" applyFont="1" applyNumberFormat="1">
      <alignment horizontal="left" shrinkToFit="0" vertical="center" wrapText="0"/>
    </xf>
    <xf borderId="4" fillId="7" fontId="29" numFmtId="0" xfId="0" applyAlignment="1" applyBorder="1" applyFill="1" applyFont="1">
      <alignment horizontal="center" shrinkToFit="0" vertical="center" wrapText="0"/>
    </xf>
    <xf borderId="5" fillId="25" fontId="22" numFmtId="166" xfId="0" applyAlignment="1" applyBorder="1" applyFill="1" applyFont="1" applyNumberFormat="1">
      <alignment horizontal="left" shrinkToFit="0" vertical="center" wrapText="0"/>
    </xf>
    <xf borderId="4" fillId="0" fontId="18" numFmtId="0" xfId="0" applyAlignment="1" applyBorder="1" applyFont="1">
      <alignment horizontal="center" shrinkToFit="0" vertical="center" wrapText="0"/>
    </xf>
    <xf borderId="4" fillId="0" fontId="18" numFmtId="0" xfId="0" applyAlignment="1" applyBorder="1" applyFont="1">
      <alignment horizontal="left" shrinkToFit="0" vertical="center" wrapText="0"/>
    </xf>
    <xf borderId="4" fillId="0" fontId="18" numFmtId="0" xfId="0" applyAlignment="1" applyBorder="1" applyFont="1">
      <alignment horizontal="left" shrinkToFit="0" vertical="center" wrapText="1"/>
    </xf>
    <xf borderId="0" fillId="0" fontId="11" numFmtId="166" xfId="0" applyAlignment="1" applyFont="1" applyNumberFormat="1">
      <alignment shrinkToFit="0" vertical="bottom" wrapText="0"/>
    </xf>
    <xf borderId="0" fillId="0" fontId="31" numFmtId="166" xfId="0" applyAlignment="1" applyFont="1" applyNumberFormat="1">
      <alignment shrinkToFit="0" vertical="bottom" wrapText="0"/>
    </xf>
    <xf borderId="0" fillId="0" fontId="32" numFmtId="166" xfId="0" applyAlignment="1" applyFont="1" applyNumberFormat="1">
      <alignment shrinkToFit="0" vertical="bottom" wrapText="0"/>
    </xf>
    <xf borderId="1" fillId="6" fontId="1" numFmtId="0" xfId="0" applyAlignment="1" applyBorder="1" applyFill="1" applyFont="1">
      <alignment horizontal="left" shrinkToFit="0" vertical="center" wrapText="0"/>
    </xf>
    <xf borderId="4" fillId="24" fontId="8" numFmtId="0" xfId="0" applyAlignment="1" applyBorder="1" applyFill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0" fontId="18" numFmtId="9" xfId="0" applyAlignment="1" applyBorder="1" applyFont="1" applyNumberForma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10" numFmtId="1" xfId="0" applyAlignment="1" applyFont="1" applyNumberFormat="1">
      <alignment horizontal="right" shrinkToFit="0" vertical="bottom" wrapText="0"/>
    </xf>
    <xf borderId="0" fillId="0" fontId="10" numFmtId="166" xfId="0" applyAlignment="1" applyFont="1" applyNumberFormat="1">
      <alignment horizontal="right" shrinkToFit="0" vertical="bottom" wrapText="0"/>
    </xf>
    <xf borderId="0" fillId="0" fontId="33" numFmtId="0" xfId="0" applyAlignment="1" applyFont="1">
      <alignment shrinkToFit="0" vertical="bottom" wrapText="0"/>
    </xf>
    <xf borderId="7" fillId="6" fontId="29" numFmtId="0" xfId="0" applyAlignment="1" applyBorder="1" applyFill="1" applyFont="1">
      <alignment horizontal="center" shrinkToFit="0" vertical="center" wrapText="1"/>
    </xf>
    <xf borderId="7" fillId="6" fontId="29" numFmtId="0" xfId="0" applyAlignment="1" applyBorder="1" applyFill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9" xfId="0" applyAlignment="1" applyFont="1" applyNumberFormat="1">
      <alignment horizontal="center" shrinkToFit="0" vertical="bottom" wrapText="0"/>
    </xf>
    <xf borderId="0" fillId="0" fontId="20" numFmtId="9" xfId="0" applyAlignment="1" applyFont="1" applyNumberFormat="1">
      <alignment horizontal="center" shrinkToFit="0" vertical="bottom" wrapText="0"/>
    </xf>
    <xf borderId="0" fillId="0" fontId="20" numFmtId="1" xfId="0" applyAlignment="1" applyFont="1" applyNumberFormat="1">
      <alignment horizontal="center" shrinkToFit="0" vertical="bottom" wrapText="0"/>
    </xf>
    <xf borderId="0" fillId="0" fontId="20" numFmtId="165" xfId="0" applyAlignment="1" applyFont="1" applyNumberFormat="1">
      <alignment horizontal="center" shrinkToFit="0" vertical="bottom" wrapText="0"/>
    </xf>
    <xf borderId="0" fillId="0" fontId="34" numFmtId="0" xfId="0" applyAlignment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4" fillId="9" fontId="29" numFmtId="0" xfId="0" applyAlignment="1" applyBorder="1" applyFill="1" applyFont="1">
      <alignment shrinkToFit="0" vertical="bottom" wrapText="0"/>
    </xf>
    <xf borderId="4" fillId="9" fontId="29" numFmtId="1" xfId="0" applyAlignment="1" applyBorder="1" applyFill="1" applyFont="1" applyNumberFormat="1">
      <alignment horizontal="center" shrinkToFit="0" vertical="bottom" wrapText="0"/>
    </xf>
    <xf borderId="4" fillId="9" fontId="29" numFmtId="166" xfId="0" applyAlignment="1" applyBorder="1" applyFill="1" applyFont="1" applyNumberFormat="1">
      <alignment horizontal="right" shrinkToFit="0" vertical="bottom" wrapText="0"/>
    </xf>
    <xf borderId="4" fillId="9" fontId="29" numFmtId="167" xfId="0" applyAlignment="1" applyBorder="1" applyFill="1" applyFont="1" applyNumberFormat="1">
      <alignment horizontal="right" shrinkToFit="0" vertical="bottom" wrapText="0"/>
    </xf>
    <xf borderId="4" fillId="16" fontId="26" numFmtId="0" xfId="0" applyAlignment="1" applyBorder="1" applyFill="1" applyFont="1">
      <alignment shrinkToFit="0" vertical="bottom" wrapText="0"/>
    </xf>
    <xf borderId="4" fillId="16" fontId="26" numFmtId="1" xfId="0" applyAlignment="1" applyBorder="1" applyFill="1" applyFont="1" applyNumberFormat="1">
      <alignment horizontal="center" shrinkToFit="0" vertical="bottom" wrapText="0"/>
    </xf>
    <xf borderId="4" fillId="16" fontId="26" numFmtId="166" xfId="0" applyAlignment="1" applyBorder="1" applyFill="1" applyFont="1" applyNumberFormat="1">
      <alignment horizontal="right" shrinkToFit="0" vertical="bottom" wrapText="0"/>
    </xf>
    <xf borderId="0" fillId="0" fontId="36" numFmtId="0" xfId="0" applyAlignment="1" applyFont="1">
      <alignment horizontal="left" shrinkToFit="0" vertical="bottom" wrapText="0"/>
    </xf>
    <xf borderId="4" fillId="0" fontId="18" numFmtId="49" xfId="0" applyAlignment="1" applyBorder="1" applyFont="1" applyNumberFormat="1">
      <alignment horizontal="center" shrinkToFit="0" vertical="bottom" wrapText="0"/>
    </xf>
    <xf borderId="4" fillId="0" fontId="18" numFmtId="49" xfId="0" applyAlignment="1" applyBorder="1" applyFont="1" applyNumberFormat="1">
      <alignment horizontal="left" shrinkToFit="0" vertical="bottom" wrapText="0"/>
    </xf>
    <xf borderId="4" fillId="0" fontId="18" numFmtId="167" xfId="0" applyAlignment="1" applyBorder="1" applyFont="1" applyNumberFormat="1">
      <alignment horizontal="right" shrinkToFit="0" vertical="bottom" wrapText="0"/>
    </xf>
    <xf borderId="4" fillId="0" fontId="18" numFmtId="168" xfId="0" applyAlignment="1" applyBorder="1" applyFont="1" applyNumberFormat="1">
      <alignment horizontal="center" shrinkToFit="0" vertical="bottom" wrapText="0"/>
    </xf>
    <xf borderId="4" fillId="0" fontId="10" numFmtId="166" xfId="0" applyAlignment="1" applyBorder="1" applyFont="1" applyNumberFormat="1">
      <alignment horizontal="right" shrinkToFit="0" vertical="bottom" wrapText="0"/>
    </xf>
    <xf borderId="4" fillId="0" fontId="18" numFmtId="0" xfId="0" applyAlignment="1" applyBorder="1" applyFont="1">
      <alignment shrinkToFit="0" vertical="bottom" wrapText="1"/>
    </xf>
    <xf borderId="4" fillId="0" fontId="14" numFmtId="169" xfId="0" applyAlignment="1" applyBorder="1" applyFont="1" applyNumberFormat="1">
      <alignment horizontal="center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0" fontId="14" numFmtId="166" xfId="0" applyAlignment="1" applyBorder="1" applyFont="1" applyNumberFormat="1">
      <alignment horizontal="right" readingOrder="0" shrinkToFit="0" vertical="bottom" wrapText="0"/>
    </xf>
    <xf borderId="4" fillId="0" fontId="14" numFmtId="165" xfId="0" applyAlignment="1" applyBorder="1" applyFont="1" applyNumberFormat="1">
      <alignment horizontal="center" readingOrder="0" shrinkToFit="0" vertical="bottom" wrapText="0"/>
    </xf>
    <xf borderId="4" fillId="0" fontId="14" numFmtId="0" xfId="0" applyAlignment="1" applyBorder="1" applyFont="1">
      <alignment horizontal="left" readingOrder="0" shrinkToFit="0" vertical="bottom" wrapText="0"/>
    </xf>
    <xf borderId="4" fillId="0" fontId="14" numFmtId="9" xfId="0" applyAlignment="1" applyBorder="1" applyFont="1" applyNumberFormat="1">
      <alignment horizontal="center" readingOrder="0" shrinkToFit="0" vertical="bottom" wrapText="0"/>
    </xf>
    <xf borderId="4" fillId="0" fontId="15" numFmtId="166" xfId="0" applyAlignment="1" applyBorder="1" applyFont="1" applyNumberFormat="1">
      <alignment horizontal="right" readingOrder="0" shrinkToFit="0" vertical="bottom" wrapText="0"/>
    </xf>
    <xf borderId="4" fillId="0" fontId="14" numFmtId="167" xfId="0" applyAlignment="1" applyBorder="1" applyFont="1" applyNumberFormat="1">
      <alignment horizontal="right" readingOrder="0" shrinkToFit="0" vertical="bottom" wrapText="0"/>
    </xf>
    <xf borderId="4" fillId="0" fontId="11" numFmtId="166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25">
    <dxf>
      <font>
        <sz val="10.0"/>
        <color rgb="FF5F6368"/>
        <name val="Arial"/>
      </font>
      <fill>
        <patternFill patternType="solid">
          <fgColor rgb="FFEFEFEF"/>
          <bgColor rgb="FFEFEFEF"/>
        </patternFill>
      </fill>
      <border/>
    </dxf>
    <dxf>
      <font>
        <b/>
        <sz val="10.0"/>
        <color rgb="FF274E13"/>
        <name val="Arial"/>
      </font>
      <fill>
        <patternFill patternType="solid">
          <fgColor rgb="FFD9EAD3"/>
          <bgColor rgb="FFD9EAD3"/>
        </patternFill>
      </fill>
      <border/>
    </dxf>
    <dxf>
      <font>
        <b/>
        <sz val="10.0"/>
        <color rgb="FF7F6000"/>
        <name val="Arial"/>
      </font>
      <fill>
        <patternFill patternType="solid">
          <fgColor rgb="FFFFF2CC"/>
          <bgColor rgb="FFFFF2CC"/>
        </patternFill>
      </fill>
      <border/>
    </dxf>
    <dxf>
      <font>
        <b/>
        <sz val="10.0"/>
        <color rgb="FF0B5C36"/>
        <name val="Arial"/>
      </font>
      <fill>
        <patternFill patternType="solid">
          <fgColor rgb="FFB7E1CD"/>
          <bgColor rgb="FFB7E1CD"/>
        </patternFill>
      </fill>
      <border/>
    </dxf>
    <dxf>
      <font>
        <b/>
        <sz val="10.0"/>
        <color rgb="FFB45F06"/>
        <name val="Arial"/>
      </font>
      <fill>
        <patternFill patternType="solid">
          <fgColor rgb="FFF9CB9C"/>
          <bgColor rgb="FFF9CB9C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34A853"/>
          <bgColor rgb="FF34A853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EA4335"/>
          <bgColor rgb="FFEA4335"/>
        </patternFill>
      </fill>
      <border/>
    </dxf>
    <dxf>
      <font>
        <sz val="10.0"/>
        <color rgb="FF1E3A11"/>
        <name val="Arial"/>
      </font>
      <fill>
        <patternFill patternType="solid">
          <fgColor rgb="FFD9EAD3"/>
          <bgColor rgb="FFD9EAD3"/>
        </patternFill>
      </fill>
      <border/>
    </dxf>
    <dxf>
      <font>
        <sz val="10.0"/>
        <color rgb="FF6B5300"/>
        <name val="Arial"/>
      </font>
      <fill>
        <patternFill patternType="solid">
          <fgColor rgb="FFFFF2CC"/>
          <bgColor rgb="FFFFF2CC"/>
        </patternFill>
      </fill>
      <border/>
    </dxf>
    <dxf>
      <font>
        <sz val="10.0"/>
        <color rgb="FF0B5C36"/>
        <name val="Arial"/>
      </font>
      <fill>
        <patternFill patternType="solid">
          <fgColor rgb="FFCFE8DC"/>
          <bgColor rgb="FFCFE8DC"/>
        </patternFill>
      </fill>
      <border/>
    </dxf>
    <dxf>
      <font>
        <sz val="10.0"/>
        <color rgb="FF8A4A05"/>
        <name val="Arial"/>
      </font>
      <fill>
        <patternFill patternType="solid">
          <fgColor rgb="FFFBD3A8"/>
          <bgColor rgb="FFFBD3A8"/>
        </patternFill>
      </fill>
      <border/>
    </dxf>
    <dxf>
      <font>
        <sz val="10.0"/>
        <color rgb="FF13612E"/>
        <name val="Arial"/>
      </font>
      <fill>
        <patternFill patternType="solid">
          <fgColor rgb="FFDFF3E3"/>
          <bgColor rgb="FFDFF3E3"/>
        </patternFill>
      </fill>
      <border/>
    </dxf>
    <dxf>
      <font>
        <strike/>
        <sz val="10.0"/>
        <color rgb="FFAAAAAA"/>
        <name val="Arial"/>
      </font>
      <fill>
        <patternFill patternType="solid">
          <fgColor rgb="FFF3F3F3"/>
          <bgColor rgb="FFF3F3F3"/>
        </patternFill>
      </fill>
      <border/>
    </dxf>
    <dxf>
      <font>
        <sz val="10.0"/>
        <color rgb="FF880E4F"/>
        <name val="Arial"/>
      </font>
      <fill>
        <patternFill patternType="solid">
          <fgColor rgb="FFFCE4EC"/>
          <bgColor rgb="FFFCE4EC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1F3864"/>
          <bgColor rgb="FF1F3864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2A78D6"/>
          <bgColor rgb="FF2A78D6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1BAF7A"/>
          <bgColor rgb="FF1BAF7A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6A3D9A"/>
          <bgColor rgb="FF6A3D9A"/>
        </patternFill>
      </fill>
      <border/>
    </dxf>
    <dxf>
      <font>
        <i/>
        <sz val="9.0"/>
        <color rgb="FF7F6000"/>
        <name val="Arial"/>
      </font>
      <fill>
        <patternFill patternType="solid">
          <fgColor rgb="FFFFF2CC"/>
          <bgColor rgb="FFFFF2CC"/>
        </patternFill>
      </fill>
      <border/>
    </dxf>
    <dxf>
      <font>
        <b/>
        <sz val="10.0"/>
        <color rgb="FF7F6000"/>
        <name val="Arial"/>
      </font>
      <fill>
        <patternFill patternType="solid">
          <fgColor rgb="FFFFD966"/>
          <bgColor rgb="FFFFD966"/>
        </patternFill>
      </fill>
      <border/>
    </dxf>
    <dxf>
      <font>
        <b/>
        <sz val="10.0"/>
        <color rgb="FFA50E0E"/>
        <name val="Arial"/>
      </font>
      <fill>
        <patternFill patternType="solid">
          <fgColor rgb="FFFCE8E6"/>
          <bgColor rgb="FFFCE8E6"/>
        </patternFill>
      </fill>
      <border/>
    </dxf>
    <dxf>
      <font>
        <b/>
        <sz val="10.0"/>
        <color rgb="FF0B5C36"/>
        <name val="Arial"/>
      </font>
      <fill>
        <patternFill patternType="none"/>
      </fill>
      <border/>
    </dxf>
    <dxf>
      <font>
        <b/>
        <sz val="10.0"/>
        <color rgb="FFA50E0E"/>
        <name val="Arial"/>
      </font>
      <fill>
        <patternFill patternType="none"/>
      </fill>
      <border/>
    </dxf>
    <dxf>
      <font>
        <sz val="10.0"/>
        <color rgb="FFAAAAAA"/>
        <name val="Arial"/>
      </font>
      <fill>
        <patternFill patternType="solid">
          <fgColor rgb="FFF3F3F3"/>
          <bgColor rgb="FFF3F3F3"/>
        </patternFill>
      </fill>
      <border/>
    </dxf>
    <dxf>
      <font>
        <b/>
        <sz val="10.0"/>
        <color rgb="FF0B5C36"/>
        <name val="Arial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Invoiced by event month (GBP)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Invoiced</c:v>
          </c:tx>
          <c:spPr>
            <a:solidFill>
              <a:srgbClr val="2A78D6"/>
            </a:solidFill>
            <a:ln cmpd="sng">
              <a:noFill/>
            </a:ln>
          </c:spPr>
          <c:invertIfNegative val="0"/>
          <c:cat>
            <c:strRef>
              <c:f>Dashboard!$F$15:$F$26</c:f>
            </c:strRef>
          </c:cat>
          <c:val>
            <c:numRef>
              <c:f>Dashboard!$H$15:$H$26</c:f>
              <c:numCache/>
            </c:numRef>
          </c:val>
        </c:ser>
        <c:axId val="713270063"/>
        <c:axId val="857310237"/>
      </c:barChart>
      <c:catAx>
        <c:axId val="71327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7310237"/>
      </c:catAx>
      <c:valAx>
        <c:axId val="8573102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13270063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By company: invoiced vs still owed (GBP)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Invoiced</c:v>
          </c:tx>
          <c:spPr>
            <a:solidFill>
              <a:srgbClr val="2A78D6"/>
            </a:solidFill>
            <a:ln cmpd="sng">
              <a:noFill/>
            </a:ln>
          </c:spPr>
          <c:invertIfNegative val="0"/>
          <c:cat>
            <c:strRef>
              <c:f>Dashboard!$A$27:$A$32</c:f>
            </c:strRef>
          </c:cat>
          <c:val>
            <c:numRef>
              <c:f>Dashboard!$B$27:$B$32</c:f>
              <c:numCache/>
            </c:numRef>
          </c:val>
        </c:ser>
        <c:ser>
          <c:idx val="1"/>
          <c:order val="1"/>
          <c:tx>
            <c:v>Still owed</c:v>
          </c:tx>
          <c:spPr>
            <a:solidFill>
              <a:srgbClr val="E34948"/>
            </a:solidFill>
            <a:ln cmpd="sng">
              <a:noFill/>
            </a:ln>
          </c:spPr>
          <c:invertIfNegative val="0"/>
          <c:cat>
            <c:strRef>
              <c:f>Dashboard!$A$27:$A$32</c:f>
            </c:strRef>
          </c:cat>
          <c:val>
            <c:numRef>
              <c:f>Dashboard!$C$27:$C$32</c:f>
              <c:numCache/>
            </c:numRef>
          </c:val>
        </c:ser>
        <c:axId val="852053781"/>
        <c:axId val="798233062"/>
      </c:barChart>
      <c:catAx>
        <c:axId val="852053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98233062"/>
      </c:catAx>
      <c:valAx>
        <c:axId val="7982330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205378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Jobs by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Dashboard!$B$36</c:f>
            </c:strRef>
          </c:tx>
          <c:dPt>
            <c:idx val="0"/>
            <c:spPr>
              <a:solidFill>
                <a:srgbClr val="BDC1C6"/>
              </a:solidFill>
            </c:spPr>
          </c:dPt>
          <c:dPt>
            <c:idx val="1"/>
            <c:spPr>
              <a:solidFill>
                <a:srgbClr val="8FBC6E"/>
              </a:solidFill>
            </c:spPr>
          </c:dPt>
          <c:dPt>
            <c:idx val="2"/>
            <c:spPr>
              <a:solidFill>
                <a:srgbClr val="F2C744"/>
              </a:solidFill>
            </c:spPr>
          </c:dPt>
          <c:dPt>
            <c:idx val="3"/>
            <c:spPr>
              <a:solidFill>
                <a:srgbClr val="5FBF8B"/>
              </a:solidFill>
            </c:spPr>
          </c:dPt>
          <c:dPt>
            <c:idx val="4"/>
            <c:spPr>
              <a:solidFill>
                <a:srgbClr val="F09A45"/>
              </a:solidFill>
            </c:spPr>
          </c:dPt>
          <c:dPt>
            <c:idx val="5"/>
            <c:spPr>
              <a:solidFill>
                <a:srgbClr val="34A853"/>
              </a:solidFill>
            </c:spPr>
          </c:dPt>
          <c:dPt>
            <c:idx val="6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Dashboard!$A$37:$A$43</c:f>
            </c:strRef>
          </c:cat>
          <c:val>
            <c:numRef>
              <c:f>Dashboard!$B$37:$B$43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123825</xdr:rowOff>
    </xdr:from>
    <xdr:ext cx="5810250" cy="2743200"/>
    <xdr:graphicFrame>
      <xdr:nvGraphicFramePr>
        <xdr:cNvPr id="21630467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18</xdr:row>
      <xdr:rowOff>133350</xdr:rowOff>
    </xdr:from>
    <xdr:ext cx="5810250" cy="2809875"/>
    <xdr:graphicFrame>
      <xdr:nvGraphicFramePr>
        <xdr:cNvPr id="131036814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34</xdr:row>
      <xdr:rowOff>123825</xdr:rowOff>
    </xdr:from>
    <xdr:ext cx="3771900" cy="3019425"/>
    <xdr:graphicFrame>
      <xdr:nvGraphicFramePr>
        <xdr:cNvPr id="106627693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7.0"/>
    <col customWidth="1" min="4" max="4" width="12.0"/>
    <col customWidth="1" min="5" max="5" width="32.0"/>
    <col customWidth="1" min="6" max="8" width="12.0"/>
    <col customWidth="1" min="9" max="9" width="8.0"/>
    <col customWidth="1" min="10" max="10" width="24.0"/>
    <col customWidth="1" min="11" max="11" width="8.0"/>
    <col customWidth="1" min="12" max="12" width="15.0"/>
    <col customWidth="1" min="13" max="13" width="12.0"/>
    <col customWidth="1" min="14" max="14" width="9.0"/>
    <col customWidth="1" min="15" max="15" width="12.0"/>
    <col customWidth="1" min="16" max="16" width="14.0"/>
    <col customWidth="1" min="17" max="17" width="10.0"/>
    <col customWidth="1" min="18" max="18" width="11.0"/>
    <col customWidth="1" min="19" max="19" width="13.0"/>
    <col customWidth="1" min="20" max="20" width="16.0"/>
    <col customWidth="1" min="21" max="21" width="15.0"/>
    <col customWidth="1" min="22" max="22" width="12.0"/>
    <col customWidth="1" min="23" max="23" width="9.0"/>
    <col customWidth="1" min="24" max="24" width="11.0"/>
    <col customWidth="1" min="25" max="25" width="12.0"/>
    <col customWidth="1" min="26" max="26" width="9.0"/>
    <col customWidth="1" min="27" max="27" width="11.0"/>
    <col customWidth="1" min="28" max="28" width="12.0"/>
    <col customWidth="1" min="29" max="29" width="9.0"/>
    <col customWidth="1" min="30" max="30" width="11.0"/>
    <col customWidth="1" min="31" max="31" width="13.0"/>
    <col customWidth="1" min="32" max="32" width="11.0"/>
    <col customWidth="1" min="33" max="33" width="14.0"/>
    <col customWidth="1" min="34" max="34" width="10.0"/>
    <col customWidth="1" min="35" max="35" width="13.0"/>
    <col customWidth="1" min="36" max="36" width="24.0"/>
    <col customWidth="1" min="37" max="37" width="11.0"/>
    <col customWidth="1" min="38" max="38" width="14.0"/>
    <col customWidth="1" min="39" max="39" width="11.0"/>
    <col customWidth="1" min="40" max="41" width="13.0"/>
    <col customWidth="1" min="42" max="42" width="15.0"/>
    <col customWidth="1" min="43" max="43" width="40.0"/>
    <col customWidth="1" min="44" max="45" width="11.0"/>
    <col customWidth="1" min="46" max="46" width="6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4"/>
      <c r="K1" s="6" t="s">
        <v>2</v>
      </c>
      <c r="L1" s="2"/>
      <c r="M1" s="2"/>
      <c r="N1" s="2"/>
      <c r="O1" s="2"/>
      <c r="P1" s="2"/>
      <c r="Q1" s="2"/>
      <c r="R1" s="2"/>
      <c r="S1" s="2"/>
      <c r="T1" s="2"/>
      <c r="U1" s="4"/>
      <c r="V1" s="9" t="s">
        <v>5</v>
      </c>
      <c r="W1" s="2"/>
      <c r="X1" s="2"/>
      <c r="Y1" s="2"/>
      <c r="Z1" s="2"/>
      <c r="AA1" s="2"/>
      <c r="AB1" s="2"/>
      <c r="AC1" s="2"/>
      <c r="AD1" s="4"/>
      <c r="AE1" s="12" t="s">
        <v>9</v>
      </c>
      <c r="AF1" s="2"/>
      <c r="AG1" s="2"/>
      <c r="AH1" s="4"/>
      <c r="AI1" s="13" t="s">
        <v>13</v>
      </c>
      <c r="AJ1" s="2"/>
      <c r="AK1" s="2"/>
      <c r="AL1" s="2"/>
      <c r="AM1" s="2"/>
      <c r="AN1" s="4"/>
      <c r="AO1" s="15" t="s">
        <v>14</v>
      </c>
      <c r="AP1" s="4"/>
      <c r="AQ1" s="16" t="s">
        <v>17</v>
      </c>
      <c r="AR1" s="2"/>
      <c r="AS1" s="2"/>
      <c r="AT1" s="4"/>
    </row>
    <row r="2" ht="39.75" customHeight="1">
      <c r="A2" s="18" t="s">
        <v>18</v>
      </c>
      <c r="B2" s="18" t="s">
        <v>19</v>
      </c>
      <c r="C2" s="18" t="s">
        <v>20</v>
      </c>
      <c r="D2" s="19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9" t="s">
        <v>30</v>
      </c>
      <c r="N2" s="18" t="s">
        <v>31</v>
      </c>
      <c r="O2" s="19" t="s">
        <v>32</v>
      </c>
      <c r="P2" s="19" t="s">
        <v>33</v>
      </c>
      <c r="Q2" s="18" t="s">
        <v>34</v>
      </c>
      <c r="R2" s="18" t="s">
        <v>35</v>
      </c>
      <c r="S2" s="19" t="s">
        <v>36</v>
      </c>
      <c r="T2" s="19" t="s">
        <v>37</v>
      </c>
      <c r="U2" s="19" t="s">
        <v>38</v>
      </c>
      <c r="V2" s="21" t="s">
        <v>39</v>
      </c>
      <c r="W2" s="21" t="s">
        <v>40</v>
      </c>
      <c r="X2" s="21" t="s">
        <v>41</v>
      </c>
      <c r="Y2" s="21" t="s">
        <v>42</v>
      </c>
      <c r="Z2" s="21" t="s">
        <v>40</v>
      </c>
      <c r="AA2" s="21" t="s">
        <v>41</v>
      </c>
      <c r="AB2" s="21" t="s">
        <v>43</v>
      </c>
      <c r="AC2" s="21" t="s">
        <v>40</v>
      </c>
      <c r="AD2" s="21" t="s">
        <v>41</v>
      </c>
      <c r="AE2" s="19" t="s">
        <v>44</v>
      </c>
      <c r="AF2" s="19" t="s">
        <v>45</v>
      </c>
      <c r="AG2" s="19" t="s">
        <v>46</v>
      </c>
      <c r="AH2" s="19" t="s">
        <v>47</v>
      </c>
      <c r="AI2" s="24" t="s">
        <v>48</v>
      </c>
      <c r="AJ2" s="24" t="s">
        <v>50</v>
      </c>
      <c r="AK2" s="24" t="s">
        <v>51</v>
      </c>
      <c r="AL2" s="24" t="s">
        <v>51</v>
      </c>
      <c r="AM2" s="24" t="s">
        <v>52</v>
      </c>
      <c r="AN2" s="24" t="s">
        <v>53</v>
      </c>
      <c r="AO2" s="26" t="s">
        <v>54</v>
      </c>
      <c r="AP2" s="26" t="s">
        <v>55</v>
      </c>
      <c r="AQ2" s="18" t="s">
        <v>56</v>
      </c>
      <c r="AR2" s="19" t="s">
        <v>58</v>
      </c>
      <c r="AS2" s="19" t="s">
        <v>59</v>
      </c>
      <c r="AT2" s="19" t="s">
        <v>60</v>
      </c>
    </row>
    <row r="3" ht="18.0" customHeight="1">
      <c r="A3" s="31" t="s">
        <v>61</v>
      </c>
      <c r="B3" s="31" t="s">
        <v>62</v>
      </c>
      <c r="C3" s="31" t="s">
        <v>63</v>
      </c>
      <c r="D3" s="32">
        <v>2.2004198E7</v>
      </c>
      <c r="E3" s="33" t="s">
        <v>65</v>
      </c>
      <c r="F3" s="34">
        <v>46037.0</v>
      </c>
      <c r="G3" s="34"/>
      <c r="H3" s="34">
        <v>46028.0</v>
      </c>
      <c r="I3" s="31" t="s">
        <v>73</v>
      </c>
      <c r="J3" s="31" t="s">
        <v>76</v>
      </c>
      <c r="K3" s="31">
        <v>120.0</v>
      </c>
      <c r="L3" s="37">
        <v>9809.5</v>
      </c>
      <c r="M3" s="30">
        <f t="shared" ref="M3:M303" si="1">IF(OR($K3="",$L3=""),"",$L3/$K3)</f>
        <v>81.74583333</v>
      </c>
      <c r="N3" s="38">
        <v>0.2</v>
      </c>
      <c r="O3" s="30">
        <f>IF($L3="","",$L3*IF($N3="",Settings!$J$11,$N3))</f>
        <v>1961.9</v>
      </c>
      <c r="P3" s="30">
        <f t="shared" ref="P3:P153" si="2">IF($L3="","",$L3+$O3)</f>
        <v>11771.4</v>
      </c>
      <c r="Q3" s="31" t="s">
        <v>79</v>
      </c>
      <c r="R3" s="37"/>
      <c r="S3" s="30">
        <f>IF($L3="","",IF($Q3&lt;&gt;"Yes",0,IF($R3&lt;&gt;"",$R3,ROUND($L3*Settings!$J$4,2))))</f>
        <v>980.95</v>
      </c>
      <c r="T3" s="40">
        <f t="shared" ref="T3:T303" si="3">IF($L3="","",$P3+$S3)</f>
        <v>12752.35</v>
      </c>
      <c r="U3" s="30">
        <f t="shared" ref="U3:U303" si="4">IF($L3="","",ROUND($P3/2,2)+$S3)</f>
        <v>6866.65</v>
      </c>
      <c r="V3" s="37">
        <v>9468.29</v>
      </c>
      <c r="W3" s="31" t="s">
        <v>80</v>
      </c>
      <c r="X3" s="34">
        <v>46031.0</v>
      </c>
      <c r="Y3" s="37"/>
      <c r="Z3" s="31"/>
      <c r="AA3" s="34"/>
      <c r="AB3" s="37"/>
      <c r="AC3" s="31"/>
      <c r="AD3" s="34"/>
      <c r="AE3" s="30">
        <f t="shared" ref="AE3:AE303" si="5">IF($L3="","",SUM($V3,$Y3,$AB3))</f>
        <v>9468.29</v>
      </c>
      <c r="AF3" s="41">
        <f t="shared" ref="AF3:AF303" si="6">IF(OR($L3="",$T3=0),"",IF(OR($J3="Complete",$J3="Paid in Full"),1,$AE3/$T3))</f>
        <v>1</v>
      </c>
      <c r="AG3" s="40">
        <f t="shared" ref="AG3:AG150" si="7">IF($L3="","",IF(OR($J3="Cancelled",$J3="Complete",$J3="Paid in Full"),0,ROUND($T3-$AE3,2)))</f>
        <v>0</v>
      </c>
      <c r="AH3" s="32" t="str">
        <f>IF(OR($L3="",$H3="",$AG3&lt;=0),"",MAX(0,TODAY()-($H3+Settings!$J$6)))</f>
        <v/>
      </c>
      <c r="AI3" s="37">
        <v>980.95</v>
      </c>
      <c r="AJ3" s="33"/>
      <c r="AK3" s="31"/>
      <c r="AL3" s="31"/>
      <c r="AM3" s="31" t="s">
        <v>80</v>
      </c>
      <c r="AN3" s="34">
        <v>46042.0</v>
      </c>
      <c r="AO3" s="44">
        <f t="shared" ref="AO3:AO150" si="8">IF(OR($L3="",$S3=0,$AI3=""),0,ROUND($S3-$AI3,2))</f>
        <v>0</v>
      </c>
      <c r="AP3" s="48">
        <f t="shared" ref="AP3:AP303" si="9">IF($L3="","",ROUND($L3+$AO3,2))</f>
        <v>9809.5</v>
      </c>
      <c r="AQ3" s="33"/>
      <c r="AR3" s="49">
        <f t="shared" ref="AR3:AR303" si="10">IF($L3="","",IF(ISNUMBER($F3),$F3,IF(ISNUMBER($G3),$G3,"")))</f>
        <v>46037</v>
      </c>
      <c r="AS3" s="49">
        <f t="shared" ref="AS3:AS303" si="11">IF(OR($L3="",$AR3=""),"",DATE(YEAR($AR3),MONTH($AR3),1))</f>
        <v>46023</v>
      </c>
      <c r="AT3" s="32">
        <f t="shared" ref="AT3:AT303" si="12">IF($L3="","",IF($AR3&lt;&gt;"",YEAR($AR3),IF(ISNUMBER($H3),YEAR($H3),"")))</f>
        <v>2026</v>
      </c>
    </row>
    <row r="4" ht="18.0" customHeight="1">
      <c r="A4" s="31" t="s">
        <v>61</v>
      </c>
      <c r="B4" s="31" t="s">
        <v>62</v>
      </c>
      <c r="C4" s="31" t="s">
        <v>63</v>
      </c>
      <c r="D4" s="32">
        <v>2.2004199E7</v>
      </c>
      <c r="E4" s="33" t="s">
        <v>81</v>
      </c>
      <c r="F4" s="34">
        <v>46038.0</v>
      </c>
      <c r="G4" s="34"/>
      <c r="H4" s="34">
        <v>46030.0</v>
      </c>
      <c r="I4" s="31" t="s">
        <v>73</v>
      </c>
      <c r="J4" s="31" t="s">
        <v>76</v>
      </c>
      <c r="K4" s="31">
        <v>60.0</v>
      </c>
      <c r="L4" s="37">
        <v>2135.3</v>
      </c>
      <c r="M4" s="30">
        <f t="shared" si="1"/>
        <v>35.58833333</v>
      </c>
      <c r="N4" s="38">
        <v>0.2</v>
      </c>
      <c r="O4" s="30">
        <f>IF($L4="","",$L4*IF($N4="",Settings!$J$11,$N4))</f>
        <v>427.06</v>
      </c>
      <c r="P4" s="30">
        <f t="shared" si="2"/>
        <v>2562.36</v>
      </c>
      <c r="Q4" s="31" t="s">
        <v>79</v>
      </c>
      <c r="R4" s="37"/>
      <c r="S4" s="30">
        <f>IF($L4="","",IF($Q4&lt;&gt;"Yes",0,IF($R4&lt;&gt;"",$R4,ROUND($L4*Settings!$J$4,2))))</f>
        <v>213.53</v>
      </c>
      <c r="T4" s="40">
        <f t="shared" si="3"/>
        <v>2775.89</v>
      </c>
      <c r="U4" s="30">
        <f t="shared" si="4"/>
        <v>1494.71</v>
      </c>
      <c r="V4" s="37">
        <v>2775.89</v>
      </c>
      <c r="W4" s="31" t="s">
        <v>80</v>
      </c>
      <c r="X4" s="34">
        <v>46031.0</v>
      </c>
      <c r="Y4" s="37"/>
      <c r="Z4" s="31"/>
      <c r="AA4" s="34"/>
      <c r="AB4" s="37"/>
      <c r="AC4" s="31"/>
      <c r="AD4" s="34"/>
      <c r="AE4" s="30">
        <f t="shared" si="5"/>
        <v>2775.89</v>
      </c>
      <c r="AF4" s="41">
        <f t="shared" si="6"/>
        <v>1</v>
      </c>
      <c r="AG4" s="40">
        <f t="shared" si="7"/>
        <v>0</v>
      </c>
      <c r="AH4" s="32" t="str">
        <f>IF(OR($L4="",$H4="",$AG4&lt;=0),"",MAX(0,TODAY()-($H4+Settings!$J$6)))</f>
        <v/>
      </c>
      <c r="AI4" s="37">
        <v>213.53</v>
      </c>
      <c r="AJ4" s="33"/>
      <c r="AK4" s="31"/>
      <c r="AL4" s="31"/>
      <c r="AM4" s="31" t="s">
        <v>80</v>
      </c>
      <c r="AN4" s="34">
        <v>46042.0</v>
      </c>
      <c r="AO4" s="44">
        <f t="shared" si="8"/>
        <v>0</v>
      </c>
      <c r="AP4" s="48">
        <f t="shared" si="9"/>
        <v>2135.3</v>
      </c>
      <c r="AQ4" s="33"/>
      <c r="AR4" s="49">
        <f t="shared" si="10"/>
        <v>46038</v>
      </c>
      <c r="AS4" s="49">
        <f t="shared" si="11"/>
        <v>46023</v>
      </c>
      <c r="AT4" s="32">
        <f t="shared" si="12"/>
        <v>2026</v>
      </c>
    </row>
    <row r="5" ht="18.0" customHeight="1">
      <c r="A5" s="31" t="s">
        <v>61</v>
      </c>
      <c r="B5" s="31" t="s">
        <v>62</v>
      </c>
      <c r="C5" s="31" t="s">
        <v>63</v>
      </c>
      <c r="D5" s="32">
        <v>2.20042E7</v>
      </c>
      <c r="E5" s="33" t="s">
        <v>82</v>
      </c>
      <c r="F5" s="34">
        <v>46044.0</v>
      </c>
      <c r="G5" s="34"/>
      <c r="H5" s="34">
        <v>46030.0</v>
      </c>
      <c r="I5" s="31" t="s">
        <v>83</v>
      </c>
      <c r="J5" s="31" t="s">
        <v>76</v>
      </c>
      <c r="K5" s="31">
        <v>60.0</v>
      </c>
      <c r="L5" s="37">
        <v>2106.0</v>
      </c>
      <c r="M5" s="30">
        <f t="shared" si="1"/>
        <v>35.1</v>
      </c>
      <c r="N5" s="38">
        <v>0.2</v>
      </c>
      <c r="O5" s="30">
        <f>IF($L5="","",$L5*IF($N5="",Settings!$J$11,$N5))</f>
        <v>421.2</v>
      </c>
      <c r="P5" s="30">
        <f t="shared" si="2"/>
        <v>2527.2</v>
      </c>
      <c r="Q5" s="31" t="s">
        <v>84</v>
      </c>
      <c r="R5" s="37"/>
      <c r="S5" s="30">
        <f>IF($L5="","",IF($Q5&lt;&gt;"Yes",0,IF($R5&lt;&gt;"",$R5,ROUND($L5*Settings!$J$4,2))))</f>
        <v>0</v>
      </c>
      <c r="T5" s="40">
        <f t="shared" si="3"/>
        <v>2527.2</v>
      </c>
      <c r="U5" s="30">
        <f t="shared" si="4"/>
        <v>1263.6</v>
      </c>
      <c r="V5" s="37">
        <v>2527.2</v>
      </c>
      <c r="W5" s="31" t="s">
        <v>85</v>
      </c>
      <c r="X5" s="34"/>
      <c r="Y5" s="37">
        <v>572.4</v>
      </c>
      <c r="Z5" s="31" t="s">
        <v>85</v>
      </c>
      <c r="AA5" s="34">
        <v>46075.0</v>
      </c>
      <c r="AB5" s="37"/>
      <c r="AC5" s="31"/>
      <c r="AD5" s="34"/>
      <c r="AE5" s="30">
        <f t="shared" si="5"/>
        <v>3099.6</v>
      </c>
      <c r="AF5" s="41">
        <f t="shared" si="6"/>
        <v>1</v>
      </c>
      <c r="AG5" s="40">
        <f t="shared" si="7"/>
        <v>0</v>
      </c>
      <c r="AH5" s="32" t="str">
        <f>IF(OR($L5="",$H5="",$AG5&lt;=0),"",MAX(0,TODAY()-($H5+Settings!$J$6)))</f>
        <v/>
      </c>
      <c r="AI5" s="37"/>
      <c r="AJ5" s="33"/>
      <c r="AK5" s="31"/>
      <c r="AL5" s="31"/>
      <c r="AM5" s="31"/>
      <c r="AN5" s="34"/>
      <c r="AO5" s="44">
        <f t="shared" si="8"/>
        <v>0</v>
      </c>
      <c r="AP5" s="48">
        <f t="shared" si="9"/>
        <v>2106</v>
      </c>
      <c r="AQ5" s="33"/>
      <c r="AR5" s="49">
        <f t="shared" si="10"/>
        <v>46044</v>
      </c>
      <c r="AS5" s="49">
        <f t="shared" si="11"/>
        <v>46023</v>
      </c>
      <c r="AT5" s="32">
        <f t="shared" si="12"/>
        <v>2026</v>
      </c>
    </row>
    <row r="6" ht="18.0" customHeight="1">
      <c r="A6" s="31" t="s">
        <v>61</v>
      </c>
      <c r="B6" s="31" t="s">
        <v>62</v>
      </c>
      <c r="C6" s="31" t="s">
        <v>63</v>
      </c>
      <c r="D6" s="32">
        <v>2.2004201E7</v>
      </c>
      <c r="E6" s="33" t="s">
        <v>86</v>
      </c>
      <c r="F6" s="34">
        <v>46044.0</v>
      </c>
      <c r="G6" s="34"/>
      <c r="H6" s="34">
        <v>46030.0</v>
      </c>
      <c r="I6" s="31" t="s">
        <v>83</v>
      </c>
      <c r="J6" s="31" t="s">
        <v>76</v>
      </c>
      <c r="K6" s="31">
        <v>55.0</v>
      </c>
      <c r="L6" s="37">
        <v>6799.5</v>
      </c>
      <c r="M6" s="30">
        <f t="shared" si="1"/>
        <v>123.6272727</v>
      </c>
      <c r="N6" s="38">
        <v>0.2</v>
      </c>
      <c r="O6" s="30">
        <f>IF($L6="","",$L6*IF($N6="",Settings!$J$11,$N6))</f>
        <v>1359.9</v>
      </c>
      <c r="P6" s="30">
        <f t="shared" si="2"/>
        <v>8159.4</v>
      </c>
      <c r="Q6" s="31" t="s">
        <v>79</v>
      </c>
      <c r="R6" s="37"/>
      <c r="S6" s="30">
        <f>IF($L6="","",IF($Q6&lt;&gt;"Yes",0,IF($R6&lt;&gt;"",$R6,ROUND($L6*Settings!$J$4,2))))</f>
        <v>679.95</v>
      </c>
      <c r="T6" s="40">
        <f t="shared" si="3"/>
        <v>8839.35</v>
      </c>
      <c r="U6" s="30">
        <f t="shared" si="4"/>
        <v>4759.65</v>
      </c>
      <c r="V6" s="37"/>
      <c r="W6" s="31"/>
      <c r="X6" s="34"/>
      <c r="Y6" s="37"/>
      <c r="Z6" s="31"/>
      <c r="AA6" s="34"/>
      <c r="AB6" s="37"/>
      <c r="AC6" s="31"/>
      <c r="AD6" s="34"/>
      <c r="AE6" s="30">
        <f t="shared" si="5"/>
        <v>0</v>
      </c>
      <c r="AF6" s="41">
        <f t="shared" si="6"/>
        <v>1</v>
      </c>
      <c r="AG6" s="40">
        <f t="shared" si="7"/>
        <v>0</v>
      </c>
      <c r="AH6" s="32" t="str">
        <f>IF(OR($L6="",$H6="",$AG6&lt;=0),"",MAX(0,TODAY()-($H6+Settings!$J$6)))</f>
        <v/>
      </c>
      <c r="AI6" s="37">
        <v>679.95</v>
      </c>
      <c r="AJ6" s="33" t="s">
        <v>87</v>
      </c>
      <c r="AK6" s="31" t="s">
        <v>88</v>
      </c>
      <c r="AL6" s="31" t="s">
        <v>89</v>
      </c>
      <c r="AM6" s="31" t="s">
        <v>85</v>
      </c>
      <c r="AN6" s="34">
        <v>46066.0</v>
      </c>
      <c r="AO6" s="44">
        <f t="shared" si="8"/>
        <v>0</v>
      </c>
      <c r="AP6" s="48">
        <f t="shared" si="9"/>
        <v>6799.5</v>
      </c>
      <c r="AQ6" s="33"/>
      <c r="AR6" s="49">
        <f t="shared" si="10"/>
        <v>46044</v>
      </c>
      <c r="AS6" s="49">
        <f t="shared" si="11"/>
        <v>46023</v>
      </c>
      <c r="AT6" s="32">
        <f t="shared" si="12"/>
        <v>2026</v>
      </c>
    </row>
    <row r="7" ht="18.0" customHeight="1">
      <c r="A7" s="31" t="s">
        <v>61</v>
      </c>
      <c r="B7" s="31" t="s">
        <v>62</v>
      </c>
      <c r="C7" s="31" t="s">
        <v>63</v>
      </c>
      <c r="D7" s="32">
        <v>2.2004202E7</v>
      </c>
      <c r="E7" s="33" t="s">
        <v>90</v>
      </c>
      <c r="F7" s="34">
        <v>46069.0</v>
      </c>
      <c r="G7" s="34"/>
      <c r="H7" s="34">
        <v>46034.0</v>
      </c>
      <c r="I7" s="31" t="s">
        <v>73</v>
      </c>
      <c r="J7" s="31" t="s">
        <v>76</v>
      </c>
      <c r="K7" s="31">
        <v>20.0</v>
      </c>
      <c r="L7" s="37">
        <v>3288.5</v>
      </c>
      <c r="M7" s="30">
        <f t="shared" si="1"/>
        <v>164.425</v>
      </c>
      <c r="N7" s="38">
        <v>0.2</v>
      </c>
      <c r="O7" s="30">
        <f>IF($L7="","",$L7*IF($N7="",Settings!$J$11,$N7))</f>
        <v>657.7</v>
      </c>
      <c r="P7" s="30">
        <f t="shared" si="2"/>
        <v>3946.2</v>
      </c>
      <c r="Q7" s="31" t="s">
        <v>79</v>
      </c>
      <c r="R7" s="37"/>
      <c r="S7" s="30">
        <f>IF($L7="","",IF($Q7&lt;&gt;"Yes",0,IF($R7&lt;&gt;"",$R7,ROUND($L7*Settings!$J$4,2))))</f>
        <v>328.85</v>
      </c>
      <c r="T7" s="40">
        <f t="shared" si="3"/>
        <v>4275.05</v>
      </c>
      <c r="U7" s="30">
        <f t="shared" si="4"/>
        <v>2301.95</v>
      </c>
      <c r="V7" s="37">
        <v>1080.0</v>
      </c>
      <c r="W7" s="31" t="s">
        <v>80</v>
      </c>
      <c r="X7" s="34">
        <v>46037.0</v>
      </c>
      <c r="Y7" s="37">
        <v>10599.85</v>
      </c>
      <c r="Z7" s="31" t="s">
        <v>85</v>
      </c>
      <c r="AA7" s="34">
        <v>46065.0</v>
      </c>
      <c r="AB7" s="37"/>
      <c r="AC7" s="31"/>
      <c r="AD7" s="34"/>
      <c r="AE7" s="30">
        <f t="shared" si="5"/>
        <v>11679.85</v>
      </c>
      <c r="AF7" s="41">
        <f t="shared" si="6"/>
        <v>1</v>
      </c>
      <c r="AG7" s="40">
        <f t="shared" si="7"/>
        <v>0</v>
      </c>
      <c r="AH7" s="32" t="str">
        <f>IF(OR($L7="",$H7="",$AG7&lt;=0),"",MAX(0,TODAY()-($H7+Settings!$J$6)))</f>
        <v/>
      </c>
      <c r="AI7" s="37">
        <v>328.85</v>
      </c>
      <c r="AJ7" s="33" t="s">
        <v>91</v>
      </c>
      <c r="AK7" s="31" t="s">
        <v>92</v>
      </c>
      <c r="AL7" s="31">
        <v>8.0037769E7</v>
      </c>
      <c r="AM7" s="31" t="s">
        <v>85</v>
      </c>
      <c r="AN7" s="34">
        <v>46089.0</v>
      </c>
      <c r="AO7" s="44">
        <f t="shared" si="8"/>
        <v>0</v>
      </c>
      <c r="AP7" s="48">
        <f t="shared" si="9"/>
        <v>3288.5</v>
      </c>
      <c r="AQ7" s="33"/>
      <c r="AR7" s="49">
        <f t="shared" si="10"/>
        <v>46069</v>
      </c>
      <c r="AS7" s="49">
        <f t="shared" si="11"/>
        <v>46054</v>
      </c>
      <c r="AT7" s="32">
        <f t="shared" si="12"/>
        <v>2026</v>
      </c>
    </row>
    <row r="8" ht="18.0" customHeight="1">
      <c r="A8" s="31" t="s">
        <v>61</v>
      </c>
      <c r="B8" s="31" t="s">
        <v>62</v>
      </c>
      <c r="C8" s="31" t="s">
        <v>63</v>
      </c>
      <c r="D8" s="32">
        <v>2.2004203E7</v>
      </c>
      <c r="E8" s="33" t="s">
        <v>94</v>
      </c>
      <c r="F8" s="34">
        <v>46070.0</v>
      </c>
      <c r="G8" s="34"/>
      <c r="H8" s="34">
        <v>46034.0</v>
      </c>
      <c r="I8" s="31" t="s">
        <v>73</v>
      </c>
      <c r="J8" s="31" t="s">
        <v>76</v>
      </c>
      <c r="K8" s="31">
        <v>20.0</v>
      </c>
      <c r="L8" s="37">
        <v>3302.0</v>
      </c>
      <c r="M8" s="30">
        <f t="shared" si="1"/>
        <v>165.1</v>
      </c>
      <c r="N8" s="38">
        <v>0.2</v>
      </c>
      <c r="O8" s="30">
        <f>IF($L8="","",$L8*IF($N8="",Settings!$J$11,$N8))</f>
        <v>660.4</v>
      </c>
      <c r="P8" s="30">
        <f t="shared" si="2"/>
        <v>3962.4</v>
      </c>
      <c r="Q8" s="31" t="s">
        <v>79</v>
      </c>
      <c r="R8" s="37"/>
      <c r="S8" s="30">
        <f>IF($L8="","",IF($Q8&lt;&gt;"Yes",0,IF($R8&lt;&gt;"",$R8,ROUND($L8*Settings!$J$4,2))))</f>
        <v>330.2</v>
      </c>
      <c r="T8" s="40">
        <f t="shared" si="3"/>
        <v>4292.6</v>
      </c>
      <c r="U8" s="30">
        <f t="shared" si="4"/>
        <v>2311.4</v>
      </c>
      <c r="V8" s="37"/>
      <c r="W8" s="31"/>
      <c r="X8" s="34"/>
      <c r="Y8" s="37"/>
      <c r="Z8" s="31"/>
      <c r="AA8" s="34"/>
      <c r="AB8" s="37"/>
      <c r="AC8" s="31"/>
      <c r="AD8" s="34"/>
      <c r="AE8" s="30">
        <f t="shared" si="5"/>
        <v>0</v>
      </c>
      <c r="AF8" s="41">
        <f t="shared" si="6"/>
        <v>1</v>
      </c>
      <c r="AG8" s="40">
        <f t="shared" si="7"/>
        <v>0</v>
      </c>
      <c r="AH8" s="32" t="str">
        <f>IF(OR($L8="",$H8="",$AG8&lt;=0),"",MAX(0,TODAY()-($H8+Settings!$J$6)))</f>
        <v/>
      </c>
      <c r="AI8" s="37">
        <v>330.2</v>
      </c>
      <c r="AJ8" s="33"/>
      <c r="AK8" s="31"/>
      <c r="AL8" s="31"/>
      <c r="AM8" s="31"/>
      <c r="AN8" s="34"/>
      <c r="AO8" s="44">
        <f t="shared" si="8"/>
        <v>0</v>
      </c>
      <c r="AP8" s="48">
        <f t="shared" si="9"/>
        <v>3302</v>
      </c>
      <c r="AQ8" s="33"/>
      <c r="AR8" s="49">
        <f t="shared" si="10"/>
        <v>46070</v>
      </c>
      <c r="AS8" s="49">
        <f t="shared" si="11"/>
        <v>46054</v>
      </c>
      <c r="AT8" s="32">
        <f t="shared" si="12"/>
        <v>2026</v>
      </c>
    </row>
    <row r="9" ht="18.0" customHeight="1">
      <c r="A9" s="31" t="s">
        <v>61</v>
      </c>
      <c r="B9" s="31" t="s">
        <v>62</v>
      </c>
      <c r="C9" s="31" t="s">
        <v>63</v>
      </c>
      <c r="D9" s="32">
        <v>2.2004204E7</v>
      </c>
      <c r="E9" s="33" t="s">
        <v>113</v>
      </c>
      <c r="F9" s="34">
        <v>46071.0</v>
      </c>
      <c r="G9" s="34"/>
      <c r="H9" s="34">
        <v>46034.0</v>
      </c>
      <c r="I9" s="31" t="s">
        <v>73</v>
      </c>
      <c r="J9" s="31" t="s">
        <v>76</v>
      </c>
      <c r="K9" s="31">
        <v>20.0</v>
      </c>
      <c r="L9" s="37">
        <v>2394.0</v>
      </c>
      <c r="M9" s="30">
        <f t="shared" si="1"/>
        <v>119.7</v>
      </c>
      <c r="N9" s="38">
        <v>0.2</v>
      </c>
      <c r="O9" s="30">
        <f>IF($L9="","",$L9*IF($N9="",Settings!$J$11,$N9))</f>
        <v>478.8</v>
      </c>
      <c r="P9" s="30">
        <f t="shared" si="2"/>
        <v>2872.8</v>
      </c>
      <c r="Q9" s="31" t="s">
        <v>79</v>
      </c>
      <c r="R9" s="37"/>
      <c r="S9" s="30">
        <f>IF($L9="","",IF($Q9&lt;&gt;"Yes",0,IF($R9&lt;&gt;"",$R9,ROUND($L9*Settings!$J$4,2))))</f>
        <v>239.4</v>
      </c>
      <c r="T9" s="40">
        <f t="shared" si="3"/>
        <v>3112.2</v>
      </c>
      <c r="U9" s="30">
        <f t="shared" si="4"/>
        <v>1675.8</v>
      </c>
      <c r="V9" s="37"/>
      <c r="W9" s="31"/>
      <c r="X9" s="34"/>
      <c r="Y9" s="37"/>
      <c r="Z9" s="31"/>
      <c r="AA9" s="34"/>
      <c r="AB9" s="37"/>
      <c r="AC9" s="31"/>
      <c r="AD9" s="34"/>
      <c r="AE9" s="30">
        <f t="shared" si="5"/>
        <v>0</v>
      </c>
      <c r="AF9" s="41">
        <f t="shared" si="6"/>
        <v>1</v>
      </c>
      <c r="AG9" s="40">
        <f t="shared" si="7"/>
        <v>0</v>
      </c>
      <c r="AH9" s="32" t="str">
        <f>IF(OR($L9="",$H9="",$AG9&lt;=0),"",MAX(0,TODAY()-($H9+Settings!$J$6)))</f>
        <v/>
      </c>
      <c r="AI9" s="37">
        <v>239.4</v>
      </c>
      <c r="AJ9" s="33"/>
      <c r="AK9" s="31"/>
      <c r="AL9" s="31"/>
      <c r="AM9" s="31"/>
      <c r="AN9" s="34"/>
      <c r="AO9" s="44">
        <f t="shared" si="8"/>
        <v>0</v>
      </c>
      <c r="AP9" s="48">
        <f t="shared" si="9"/>
        <v>2394</v>
      </c>
      <c r="AQ9" s="33"/>
      <c r="AR9" s="49">
        <f t="shared" si="10"/>
        <v>46071</v>
      </c>
      <c r="AS9" s="49">
        <f t="shared" si="11"/>
        <v>46054</v>
      </c>
      <c r="AT9" s="32">
        <f t="shared" si="12"/>
        <v>2026</v>
      </c>
    </row>
    <row r="10" ht="18.0" customHeight="1">
      <c r="A10" s="31" t="s">
        <v>61</v>
      </c>
      <c r="B10" s="31" t="s">
        <v>62</v>
      </c>
      <c r="C10" s="31" t="s">
        <v>63</v>
      </c>
      <c r="D10" s="32">
        <v>2.2004205E7</v>
      </c>
      <c r="E10" s="33" t="s">
        <v>126</v>
      </c>
      <c r="F10" s="34">
        <v>46044.0</v>
      </c>
      <c r="G10" s="34"/>
      <c r="H10" s="34">
        <v>46036.0</v>
      </c>
      <c r="I10" s="31" t="s">
        <v>73</v>
      </c>
      <c r="J10" s="31" t="s">
        <v>76</v>
      </c>
      <c r="K10" s="31">
        <v>200.0</v>
      </c>
      <c r="L10" s="37">
        <v>7765.0</v>
      </c>
      <c r="M10" s="30">
        <f t="shared" si="1"/>
        <v>38.825</v>
      </c>
      <c r="N10" s="38">
        <v>0.2</v>
      </c>
      <c r="O10" s="30">
        <f>IF($L10="","",$L10*IF($N10="",Settings!$J$11,$N10))</f>
        <v>1553</v>
      </c>
      <c r="P10" s="30">
        <f t="shared" si="2"/>
        <v>9318</v>
      </c>
      <c r="Q10" s="31" t="s">
        <v>79</v>
      </c>
      <c r="R10" s="37"/>
      <c r="S10" s="30">
        <f>IF($L10="","",IF($Q10&lt;&gt;"Yes",0,IF($R10&lt;&gt;"",$R10,ROUND($L10*Settings!$J$4,2))))</f>
        <v>776.5</v>
      </c>
      <c r="T10" s="40">
        <f t="shared" si="3"/>
        <v>10094.5</v>
      </c>
      <c r="U10" s="30">
        <f t="shared" si="4"/>
        <v>5435.5</v>
      </c>
      <c r="V10" s="37">
        <v>10094.5</v>
      </c>
      <c r="W10" s="31" t="s">
        <v>80</v>
      </c>
      <c r="X10" s="34">
        <v>46037.0</v>
      </c>
      <c r="Y10" s="37"/>
      <c r="Z10" s="31"/>
      <c r="AA10" s="34"/>
      <c r="AB10" s="37"/>
      <c r="AC10" s="31"/>
      <c r="AD10" s="34"/>
      <c r="AE10" s="30">
        <f t="shared" si="5"/>
        <v>10094.5</v>
      </c>
      <c r="AF10" s="41">
        <f t="shared" si="6"/>
        <v>1</v>
      </c>
      <c r="AG10" s="40">
        <f t="shared" si="7"/>
        <v>0</v>
      </c>
      <c r="AH10" s="32" t="str">
        <f>IF(OR($L10="",$H10="",$AG10&lt;=0),"",MAX(0,TODAY()-($H10+Settings!$J$6)))</f>
        <v/>
      </c>
      <c r="AI10" s="37">
        <v>776.5</v>
      </c>
      <c r="AJ10" s="33"/>
      <c r="AK10" s="31"/>
      <c r="AL10" s="31"/>
      <c r="AM10" s="31" t="s">
        <v>80</v>
      </c>
      <c r="AN10" s="34">
        <v>46048.0</v>
      </c>
      <c r="AO10" s="44">
        <f t="shared" si="8"/>
        <v>0</v>
      </c>
      <c r="AP10" s="48">
        <f t="shared" si="9"/>
        <v>7765</v>
      </c>
      <c r="AQ10" s="33"/>
      <c r="AR10" s="49">
        <f t="shared" si="10"/>
        <v>46044</v>
      </c>
      <c r="AS10" s="49">
        <f t="shared" si="11"/>
        <v>46023</v>
      </c>
      <c r="AT10" s="32">
        <f t="shared" si="12"/>
        <v>2026</v>
      </c>
    </row>
    <row r="11" ht="18.0" customHeight="1">
      <c r="A11" s="31" t="s">
        <v>61</v>
      </c>
      <c r="B11" s="31" t="s">
        <v>62</v>
      </c>
      <c r="C11" s="31" t="s">
        <v>63</v>
      </c>
      <c r="D11" s="32">
        <v>2.2004206E7</v>
      </c>
      <c r="E11" s="33" t="s">
        <v>128</v>
      </c>
      <c r="F11" s="34">
        <v>46241.0</v>
      </c>
      <c r="G11" s="34"/>
      <c r="H11" s="34">
        <v>46037.0</v>
      </c>
      <c r="I11" s="31" t="s">
        <v>83</v>
      </c>
      <c r="J11" s="31" t="s">
        <v>76</v>
      </c>
      <c r="K11" s="31">
        <v>45.0</v>
      </c>
      <c r="L11" s="37">
        <v>5642.45</v>
      </c>
      <c r="M11" s="30">
        <f t="shared" si="1"/>
        <v>125.3877778</v>
      </c>
      <c r="N11" s="38">
        <v>0.2</v>
      </c>
      <c r="O11" s="30">
        <f>IF($L11="","",$L11*IF($N11="",Settings!$J$11,$N11))</f>
        <v>1128.49</v>
      </c>
      <c r="P11" s="30">
        <f t="shared" si="2"/>
        <v>6770.94</v>
      </c>
      <c r="Q11" s="31" t="s">
        <v>79</v>
      </c>
      <c r="R11" s="37"/>
      <c r="S11" s="30">
        <f>IF($L11="","",IF($Q11&lt;&gt;"Yes",0,IF($R11&lt;&gt;"",$R11,ROUND($L11*Settings!$J$4,2))))</f>
        <v>564.25</v>
      </c>
      <c r="T11" s="40">
        <f t="shared" si="3"/>
        <v>7335.19</v>
      </c>
      <c r="U11" s="30">
        <f t="shared" si="4"/>
        <v>3949.72</v>
      </c>
      <c r="V11" s="37">
        <v>2996.1</v>
      </c>
      <c r="W11" s="31" t="s">
        <v>85</v>
      </c>
      <c r="X11" s="34">
        <v>46043.0</v>
      </c>
      <c r="Y11" s="37">
        <v>4339.08</v>
      </c>
      <c r="Z11" s="31" t="s">
        <v>85</v>
      </c>
      <c r="AA11" s="34">
        <v>46241.0</v>
      </c>
      <c r="AB11" s="37"/>
      <c r="AC11" s="31"/>
      <c r="AD11" s="34"/>
      <c r="AE11" s="30">
        <f t="shared" si="5"/>
        <v>7335.18</v>
      </c>
      <c r="AF11" s="41">
        <f t="shared" si="6"/>
        <v>1</v>
      </c>
      <c r="AG11" s="40">
        <f t="shared" si="7"/>
        <v>0</v>
      </c>
      <c r="AH11" s="32" t="str">
        <f>IF(OR($L11="",$H11="",$AG11&lt;=0),"",MAX(0,TODAY()-($H11+Settings!$J$6)))</f>
        <v/>
      </c>
      <c r="AI11" s="37">
        <v>564.25</v>
      </c>
      <c r="AJ11" s="33"/>
      <c r="AK11" s="31"/>
      <c r="AL11" s="31"/>
      <c r="AM11" s="31" t="s">
        <v>85</v>
      </c>
      <c r="AN11" s="34">
        <v>46275.0</v>
      </c>
      <c r="AO11" s="44">
        <f t="shared" si="8"/>
        <v>0</v>
      </c>
      <c r="AP11" s="48">
        <f t="shared" si="9"/>
        <v>5642.45</v>
      </c>
      <c r="AQ11" s="33"/>
      <c r="AR11" s="49">
        <f t="shared" si="10"/>
        <v>46241</v>
      </c>
      <c r="AS11" s="49">
        <f t="shared" si="11"/>
        <v>46235</v>
      </c>
      <c r="AT11" s="32">
        <f t="shared" si="12"/>
        <v>2026</v>
      </c>
    </row>
    <row r="12" ht="18.0" customHeight="1">
      <c r="A12" s="31" t="s">
        <v>61</v>
      </c>
      <c r="B12" s="31" t="s">
        <v>62</v>
      </c>
      <c r="C12" s="31" t="s">
        <v>63</v>
      </c>
      <c r="D12" s="32">
        <v>2.2004207E7</v>
      </c>
      <c r="E12" s="33" t="s">
        <v>130</v>
      </c>
      <c r="F12" s="34">
        <v>46077.0</v>
      </c>
      <c r="G12" s="34"/>
      <c r="H12" s="34">
        <v>46037.0</v>
      </c>
      <c r="I12" s="31" t="s">
        <v>83</v>
      </c>
      <c r="J12" s="31" t="s">
        <v>76</v>
      </c>
      <c r="K12" s="31">
        <v>40.0</v>
      </c>
      <c r="L12" s="37">
        <v>2858.6</v>
      </c>
      <c r="M12" s="30">
        <f t="shared" si="1"/>
        <v>71.465</v>
      </c>
      <c r="N12" s="38">
        <v>0.2</v>
      </c>
      <c r="O12" s="30">
        <f>IF($L12="","",$L12*IF($N12="",Settings!$J$11,$N12))</f>
        <v>571.72</v>
      </c>
      <c r="P12" s="30">
        <f t="shared" si="2"/>
        <v>3430.32</v>
      </c>
      <c r="Q12" s="31" t="s">
        <v>79</v>
      </c>
      <c r="R12" s="37"/>
      <c r="S12" s="30">
        <f>IF($L12="","",IF($Q12&lt;&gt;"Yes",0,IF($R12&lt;&gt;"",$R12,ROUND($L12*Settings!$J$4,2))))</f>
        <v>285.86</v>
      </c>
      <c r="T12" s="40">
        <f t="shared" si="3"/>
        <v>3716.18</v>
      </c>
      <c r="U12" s="30">
        <f t="shared" si="4"/>
        <v>2001.02</v>
      </c>
      <c r="V12" s="37">
        <v>1605.08</v>
      </c>
      <c r="W12" s="31" t="s">
        <v>80</v>
      </c>
      <c r="X12" s="34">
        <v>46037.0</v>
      </c>
      <c r="Y12" s="37">
        <v>1806.89</v>
      </c>
      <c r="Z12" s="31" t="s">
        <v>80</v>
      </c>
      <c r="AA12" s="34">
        <v>46069.0</v>
      </c>
      <c r="AB12" s="37"/>
      <c r="AC12" s="31"/>
      <c r="AD12" s="34"/>
      <c r="AE12" s="30">
        <f t="shared" si="5"/>
        <v>3411.97</v>
      </c>
      <c r="AF12" s="41">
        <f t="shared" si="6"/>
        <v>1</v>
      </c>
      <c r="AG12" s="40">
        <f t="shared" si="7"/>
        <v>0</v>
      </c>
      <c r="AH12" s="32" t="str">
        <f>IF(OR($L12="",$H12="",$AG12&lt;=0),"",MAX(0,TODAY()-($H12+Settings!$J$6)))</f>
        <v/>
      </c>
      <c r="AI12" s="37">
        <v>285.86</v>
      </c>
      <c r="AJ12" s="33"/>
      <c r="AK12" s="31"/>
      <c r="AL12" s="31"/>
      <c r="AM12" s="31" t="s">
        <v>80</v>
      </c>
      <c r="AN12" s="34">
        <v>46091.0</v>
      </c>
      <c r="AO12" s="44">
        <f t="shared" si="8"/>
        <v>0</v>
      </c>
      <c r="AP12" s="48">
        <f t="shared" si="9"/>
        <v>2858.6</v>
      </c>
      <c r="AQ12" s="33"/>
      <c r="AR12" s="49">
        <f t="shared" si="10"/>
        <v>46077</v>
      </c>
      <c r="AS12" s="49">
        <f t="shared" si="11"/>
        <v>46054</v>
      </c>
      <c r="AT12" s="32">
        <f t="shared" si="12"/>
        <v>2026</v>
      </c>
    </row>
    <row r="13" ht="18.0" customHeight="1">
      <c r="A13" s="31" t="s">
        <v>61</v>
      </c>
      <c r="B13" s="31" t="s">
        <v>62</v>
      </c>
      <c r="C13" s="31" t="s">
        <v>63</v>
      </c>
      <c r="D13" s="32">
        <v>2.2004208E7</v>
      </c>
      <c r="E13" s="33" t="s">
        <v>152</v>
      </c>
      <c r="F13" s="34">
        <v>46050.0</v>
      </c>
      <c r="G13" s="34"/>
      <c r="H13" s="34">
        <v>46038.0</v>
      </c>
      <c r="I13" s="31" t="s">
        <v>83</v>
      </c>
      <c r="J13" s="31" t="s">
        <v>76</v>
      </c>
      <c r="K13" s="31">
        <v>27.0</v>
      </c>
      <c r="L13" s="37">
        <v>1381.9</v>
      </c>
      <c r="M13" s="30">
        <f t="shared" si="1"/>
        <v>51.18148148</v>
      </c>
      <c r="N13" s="38">
        <v>0.2</v>
      </c>
      <c r="O13" s="30">
        <f>IF($L13="","",$L13*IF($N13="",Settings!$J$11,$N13))</f>
        <v>276.38</v>
      </c>
      <c r="P13" s="30">
        <f t="shared" si="2"/>
        <v>1658.28</v>
      </c>
      <c r="Q13" s="31" t="s">
        <v>84</v>
      </c>
      <c r="R13" s="37"/>
      <c r="S13" s="30">
        <f>IF($L13="","",IF($Q13&lt;&gt;"Yes",0,IF($R13&lt;&gt;"",$R13,ROUND($L13*Settings!$J$4,2))))</f>
        <v>0</v>
      </c>
      <c r="T13" s="40">
        <f t="shared" si="3"/>
        <v>1658.28</v>
      </c>
      <c r="U13" s="30">
        <f t="shared" si="4"/>
        <v>829.14</v>
      </c>
      <c r="V13" s="37">
        <v>1658.28</v>
      </c>
      <c r="W13" s="31" t="s">
        <v>80</v>
      </c>
      <c r="X13" s="34">
        <v>46041.0</v>
      </c>
      <c r="Y13" s="37"/>
      <c r="Z13" s="31"/>
      <c r="AA13" s="34"/>
      <c r="AB13" s="37"/>
      <c r="AC13" s="31"/>
      <c r="AD13" s="34"/>
      <c r="AE13" s="30">
        <f t="shared" si="5"/>
        <v>1658.28</v>
      </c>
      <c r="AF13" s="41">
        <f t="shared" si="6"/>
        <v>1</v>
      </c>
      <c r="AG13" s="40">
        <f t="shared" si="7"/>
        <v>0</v>
      </c>
      <c r="AH13" s="32" t="str">
        <f>IF(OR($L13="",$H13="",$AG13&lt;=0),"",MAX(0,TODAY()-($H13+Settings!$J$6)))</f>
        <v/>
      </c>
      <c r="AI13" s="37"/>
      <c r="AJ13" s="33"/>
      <c r="AK13" s="31"/>
      <c r="AL13" s="31"/>
      <c r="AM13" s="31"/>
      <c r="AN13" s="34"/>
      <c r="AO13" s="44">
        <f t="shared" si="8"/>
        <v>0</v>
      </c>
      <c r="AP13" s="48">
        <f t="shared" si="9"/>
        <v>1381.9</v>
      </c>
      <c r="AQ13" s="33"/>
      <c r="AR13" s="49">
        <f t="shared" si="10"/>
        <v>46050</v>
      </c>
      <c r="AS13" s="49">
        <f t="shared" si="11"/>
        <v>46023</v>
      </c>
      <c r="AT13" s="32">
        <f t="shared" si="12"/>
        <v>2026</v>
      </c>
    </row>
    <row r="14" ht="18.0" customHeight="1">
      <c r="A14" s="31" t="s">
        <v>61</v>
      </c>
      <c r="B14" s="31" t="s">
        <v>62</v>
      </c>
      <c r="C14" s="31" t="s">
        <v>63</v>
      </c>
      <c r="D14" s="32">
        <v>2.2004209E7</v>
      </c>
      <c r="E14" s="33" t="s">
        <v>177</v>
      </c>
      <c r="F14" s="34">
        <v>46051.0</v>
      </c>
      <c r="G14" s="34"/>
      <c r="H14" s="34">
        <v>46038.0</v>
      </c>
      <c r="I14" s="31" t="s">
        <v>83</v>
      </c>
      <c r="J14" s="31" t="s">
        <v>76</v>
      </c>
      <c r="K14" s="31">
        <v>30.0</v>
      </c>
      <c r="L14" s="37">
        <v>1478.5</v>
      </c>
      <c r="M14" s="30">
        <f t="shared" si="1"/>
        <v>49.28333333</v>
      </c>
      <c r="N14" s="38">
        <v>0.2</v>
      </c>
      <c r="O14" s="30">
        <f>IF($L14="","",$L14*IF($N14="",Settings!$J$11,$N14))</f>
        <v>295.7</v>
      </c>
      <c r="P14" s="30">
        <f t="shared" si="2"/>
        <v>1774.2</v>
      </c>
      <c r="Q14" s="31" t="s">
        <v>84</v>
      </c>
      <c r="R14" s="37"/>
      <c r="S14" s="30">
        <f>IF($L14="","",IF($Q14&lt;&gt;"Yes",0,IF($R14&lt;&gt;"",$R14,ROUND($L14*Settings!$J$4,2))))</f>
        <v>0</v>
      </c>
      <c r="T14" s="40">
        <f t="shared" si="3"/>
        <v>1774.2</v>
      </c>
      <c r="U14" s="30">
        <f t="shared" si="4"/>
        <v>887.1</v>
      </c>
      <c r="V14" s="37">
        <v>1774.2</v>
      </c>
      <c r="W14" s="31" t="s">
        <v>80</v>
      </c>
      <c r="X14" s="34">
        <v>46041.0</v>
      </c>
      <c r="Y14" s="37"/>
      <c r="Z14" s="31"/>
      <c r="AA14" s="34"/>
      <c r="AB14" s="37"/>
      <c r="AC14" s="31"/>
      <c r="AD14" s="34"/>
      <c r="AE14" s="30">
        <f t="shared" si="5"/>
        <v>1774.2</v>
      </c>
      <c r="AF14" s="41">
        <f t="shared" si="6"/>
        <v>1</v>
      </c>
      <c r="AG14" s="40">
        <f t="shared" si="7"/>
        <v>0</v>
      </c>
      <c r="AH14" s="32" t="str">
        <f>IF(OR($L14="",$H14="",$AG14&lt;=0),"",MAX(0,TODAY()-($H14+Settings!$J$6)))</f>
        <v/>
      </c>
      <c r="AI14" s="37"/>
      <c r="AJ14" s="33"/>
      <c r="AK14" s="31"/>
      <c r="AL14" s="31"/>
      <c r="AM14" s="31"/>
      <c r="AN14" s="34"/>
      <c r="AO14" s="44">
        <f t="shared" si="8"/>
        <v>0</v>
      </c>
      <c r="AP14" s="48">
        <f t="shared" si="9"/>
        <v>1478.5</v>
      </c>
      <c r="AQ14" s="33"/>
      <c r="AR14" s="49">
        <f t="shared" si="10"/>
        <v>46051</v>
      </c>
      <c r="AS14" s="49">
        <f t="shared" si="11"/>
        <v>46023</v>
      </c>
      <c r="AT14" s="32">
        <f t="shared" si="12"/>
        <v>2026</v>
      </c>
    </row>
    <row r="15" ht="18.0" customHeight="1">
      <c r="A15" s="31" t="s">
        <v>167</v>
      </c>
      <c r="B15" s="31" t="s">
        <v>62</v>
      </c>
      <c r="C15" s="31"/>
      <c r="D15" s="32"/>
      <c r="E15" s="33" t="s">
        <v>204</v>
      </c>
      <c r="F15" s="34">
        <v>46037.0</v>
      </c>
      <c r="G15" s="34"/>
      <c r="H15" s="34">
        <v>46039.0</v>
      </c>
      <c r="I15" s="31" t="s">
        <v>83</v>
      </c>
      <c r="J15" s="31" t="s">
        <v>76</v>
      </c>
      <c r="K15" s="31">
        <v>87.0</v>
      </c>
      <c r="L15" s="37">
        <v>1827.0</v>
      </c>
      <c r="M15" s="30">
        <f t="shared" si="1"/>
        <v>21</v>
      </c>
      <c r="N15" s="38">
        <v>0.2</v>
      </c>
      <c r="O15" s="30">
        <f>IF($L15="","",$L15*IF($N15="",Settings!$J$11,$N15))</f>
        <v>365.4</v>
      </c>
      <c r="P15" s="30">
        <f t="shared" si="2"/>
        <v>2192.4</v>
      </c>
      <c r="Q15" s="31" t="s">
        <v>84</v>
      </c>
      <c r="R15" s="37"/>
      <c r="S15" s="30">
        <f>IF($L15="","",IF($Q15&lt;&gt;"Yes",0,IF($R15&lt;&gt;"",$R15,ROUND($L15*Settings!$J$4,2))))</f>
        <v>0</v>
      </c>
      <c r="T15" s="40">
        <f t="shared" si="3"/>
        <v>2192.4</v>
      </c>
      <c r="U15" s="30">
        <f t="shared" si="4"/>
        <v>1096.2</v>
      </c>
      <c r="V15" s="37">
        <v>2192.4</v>
      </c>
      <c r="W15" s="31" t="s">
        <v>85</v>
      </c>
      <c r="X15" s="34">
        <v>46084.0</v>
      </c>
      <c r="Y15" s="37"/>
      <c r="Z15" s="31"/>
      <c r="AA15" s="34"/>
      <c r="AB15" s="37"/>
      <c r="AC15" s="31"/>
      <c r="AD15" s="34"/>
      <c r="AE15" s="30">
        <f t="shared" si="5"/>
        <v>2192.4</v>
      </c>
      <c r="AF15" s="41">
        <f t="shared" si="6"/>
        <v>1</v>
      </c>
      <c r="AG15" s="40">
        <f t="shared" si="7"/>
        <v>0</v>
      </c>
      <c r="AH15" s="32" t="str">
        <f>IF(OR($L15="",$H15="",$AG15&lt;=0),"",MAX(0,TODAY()-($H15+Settings!$J$6)))</f>
        <v/>
      </c>
      <c r="AI15" s="37"/>
      <c r="AJ15" s="33"/>
      <c r="AK15" s="31"/>
      <c r="AL15" s="31"/>
      <c r="AM15" s="31"/>
      <c r="AN15" s="34"/>
      <c r="AO15" s="44">
        <f t="shared" si="8"/>
        <v>0</v>
      </c>
      <c r="AP15" s="48">
        <f t="shared" si="9"/>
        <v>1827</v>
      </c>
      <c r="AQ15" s="33"/>
      <c r="AR15" s="49">
        <f t="shared" si="10"/>
        <v>46037</v>
      </c>
      <c r="AS15" s="49">
        <f t="shared" si="11"/>
        <v>46023</v>
      </c>
      <c r="AT15" s="32">
        <f t="shared" si="12"/>
        <v>2026</v>
      </c>
    </row>
    <row r="16" ht="18.0" customHeight="1">
      <c r="A16" s="31" t="s">
        <v>61</v>
      </c>
      <c r="B16" s="31" t="s">
        <v>62</v>
      </c>
      <c r="C16" s="31" t="s">
        <v>63</v>
      </c>
      <c r="D16" s="32">
        <v>2.200421E7</v>
      </c>
      <c r="E16" s="33" t="s">
        <v>205</v>
      </c>
      <c r="F16" s="34">
        <v>46043.0</v>
      </c>
      <c r="G16" s="34"/>
      <c r="H16" s="34">
        <v>46040.0</v>
      </c>
      <c r="I16" s="31" t="s">
        <v>83</v>
      </c>
      <c r="J16" s="31" t="s">
        <v>76</v>
      </c>
      <c r="K16" s="31">
        <v>40.0</v>
      </c>
      <c r="L16" s="37">
        <v>1092.0</v>
      </c>
      <c r="M16" s="30">
        <f t="shared" si="1"/>
        <v>27.3</v>
      </c>
      <c r="N16" s="38">
        <v>0.2</v>
      </c>
      <c r="O16" s="30">
        <f>IF($L16="","",$L16*IF($N16="",Settings!$J$11,$N16))</f>
        <v>218.4</v>
      </c>
      <c r="P16" s="30">
        <f t="shared" si="2"/>
        <v>1310.4</v>
      </c>
      <c r="Q16" s="31" t="s">
        <v>84</v>
      </c>
      <c r="R16" s="37"/>
      <c r="S16" s="30">
        <f>IF($L16="","",IF($Q16&lt;&gt;"Yes",0,IF($R16&lt;&gt;"",$R16,ROUND($L16*Settings!$J$4,2))))</f>
        <v>0</v>
      </c>
      <c r="T16" s="40">
        <f t="shared" si="3"/>
        <v>1310.4</v>
      </c>
      <c r="U16" s="30">
        <f t="shared" si="4"/>
        <v>655.2</v>
      </c>
      <c r="V16" s="37">
        <v>1310.4</v>
      </c>
      <c r="W16" s="31" t="s">
        <v>80</v>
      </c>
      <c r="X16" s="34">
        <v>46041.0</v>
      </c>
      <c r="Y16" s="37"/>
      <c r="Z16" s="31"/>
      <c r="AA16" s="34"/>
      <c r="AB16" s="37"/>
      <c r="AC16" s="31"/>
      <c r="AD16" s="34"/>
      <c r="AE16" s="30">
        <f t="shared" si="5"/>
        <v>1310.4</v>
      </c>
      <c r="AF16" s="41">
        <f t="shared" si="6"/>
        <v>1</v>
      </c>
      <c r="AG16" s="40">
        <f t="shared" si="7"/>
        <v>0</v>
      </c>
      <c r="AH16" s="32" t="str">
        <f>IF(OR($L16="",$H16="",$AG16&lt;=0),"",MAX(0,TODAY()-($H16+Settings!$J$6)))</f>
        <v/>
      </c>
      <c r="AI16" s="37"/>
      <c r="AJ16" s="33"/>
      <c r="AK16" s="31"/>
      <c r="AL16" s="31"/>
      <c r="AM16" s="31"/>
      <c r="AN16" s="34"/>
      <c r="AO16" s="44">
        <f t="shared" si="8"/>
        <v>0</v>
      </c>
      <c r="AP16" s="48">
        <f t="shared" si="9"/>
        <v>1092</v>
      </c>
      <c r="AQ16" s="33"/>
      <c r="AR16" s="49">
        <f t="shared" si="10"/>
        <v>46043</v>
      </c>
      <c r="AS16" s="49">
        <f t="shared" si="11"/>
        <v>46023</v>
      </c>
      <c r="AT16" s="32">
        <f t="shared" si="12"/>
        <v>2026</v>
      </c>
    </row>
    <row r="17" ht="18.0" customHeight="1">
      <c r="A17" s="31" t="s">
        <v>61</v>
      </c>
      <c r="B17" s="31" t="s">
        <v>62</v>
      </c>
      <c r="C17" s="31" t="s">
        <v>63</v>
      </c>
      <c r="D17" s="32">
        <v>2.2004211E7</v>
      </c>
      <c r="E17" s="33" t="s">
        <v>155</v>
      </c>
      <c r="F17" s="34">
        <v>46065.0</v>
      </c>
      <c r="G17" s="34"/>
      <c r="H17" s="34">
        <v>46043.0</v>
      </c>
      <c r="I17" s="31" t="s">
        <v>83</v>
      </c>
      <c r="J17" s="31" t="s">
        <v>76</v>
      </c>
      <c r="K17" s="31">
        <v>70.0</v>
      </c>
      <c r="L17" s="37">
        <v>3908.43</v>
      </c>
      <c r="M17" s="30">
        <f t="shared" si="1"/>
        <v>55.83471429</v>
      </c>
      <c r="N17" s="38">
        <v>0.2</v>
      </c>
      <c r="O17" s="30">
        <f>IF($L17="","",$L17*IF($N17="",Settings!$J$11,$N17))</f>
        <v>781.686</v>
      </c>
      <c r="P17" s="30">
        <f t="shared" si="2"/>
        <v>4690.116</v>
      </c>
      <c r="Q17" s="31" t="s">
        <v>79</v>
      </c>
      <c r="R17" s="37"/>
      <c r="S17" s="30">
        <f>IF($L17="","",IF($Q17&lt;&gt;"Yes",0,IF($R17&lt;&gt;"",$R17,ROUND($L17*Settings!$J$4,2))))</f>
        <v>390.84</v>
      </c>
      <c r="T17" s="40">
        <f t="shared" si="3"/>
        <v>5080.956</v>
      </c>
      <c r="U17" s="30">
        <f t="shared" si="4"/>
        <v>2735.9</v>
      </c>
      <c r="V17" s="37">
        <v>5080.96</v>
      </c>
      <c r="W17" s="31" t="s">
        <v>85</v>
      </c>
      <c r="X17" s="34">
        <v>46062.0</v>
      </c>
      <c r="Y17" s="37"/>
      <c r="Z17" s="31"/>
      <c r="AA17" s="34"/>
      <c r="AB17" s="37"/>
      <c r="AC17" s="31"/>
      <c r="AD17" s="34"/>
      <c r="AE17" s="30">
        <f t="shared" si="5"/>
        <v>5080.96</v>
      </c>
      <c r="AF17" s="41">
        <f t="shared" si="6"/>
        <v>1</v>
      </c>
      <c r="AG17" s="40">
        <f t="shared" si="7"/>
        <v>0</v>
      </c>
      <c r="AH17" s="32" t="str">
        <f>IF(OR($L17="",$H17="",$AG17&lt;=0),"",MAX(0,TODAY()-($H17+Settings!$J$6)))</f>
        <v/>
      </c>
      <c r="AI17" s="37">
        <v>390.84</v>
      </c>
      <c r="AJ17" s="33" t="s">
        <v>206</v>
      </c>
      <c r="AK17" s="31" t="s">
        <v>207</v>
      </c>
      <c r="AL17" s="31">
        <v>6.5005749E7</v>
      </c>
      <c r="AM17" s="31" t="s">
        <v>85</v>
      </c>
      <c r="AN17" s="34">
        <v>46089.0</v>
      </c>
      <c r="AO17" s="44">
        <f t="shared" si="8"/>
        <v>0</v>
      </c>
      <c r="AP17" s="48">
        <f t="shared" si="9"/>
        <v>3908.43</v>
      </c>
      <c r="AQ17" s="33"/>
      <c r="AR17" s="49">
        <f t="shared" si="10"/>
        <v>46065</v>
      </c>
      <c r="AS17" s="49">
        <f t="shared" si="11"/>
        <v>46054</v>
      </c>
      <c r="AT17" s="32">
        <f t="shared" si="12"/>
        <v>2026</v>
      </c>
    </row>
    <row r="18" ht="18.0" customHeight="1">
      <c r="A18" s="31" t="s">
        <v>61</v>
      </c>
      <c r="B18" s="31" t="s">
        <v>62</v>
      </c>
      <c r="C18" s="31" t="s">
        <v>63</v>
      </c>
      <c r="D18" s="32">
        <v>2.2004212E7</v>
      </c>
      <c r="E18" s="33" t="s">
        <v>155</v>
      </c>
      <c r="F18" s="34">
        <v>46086.0</v>
      </c>
      <c r="G18" s="34"/>
      <c r="H18" s="34">
        <v>46043.0</v>
      </c>
      <c r="I18" s="31" t="s">
        <v>83</v>
      </c>
      <c r="J18" s="31" t="s">
        <v>76</v>
      </c>
      <c r="K18" s="31">
        <v>70.0</v>
      </c>
      <c r="L18" s="37">
        <v>3908.43</v>
      </c>
      <c r="M18" s="30">
        <f t="shared" si="1"/>
        <v>55.83471429</v>
      </c>
      <c r="N18" s="38">
        <v>0.2</v>
      </c>
      <c r="O18" s="30">
        <f>IF($L18="","",$L18*IF($N18="",Settings!$J$11,$N18))</f>
        <v>781.686</v>
      </c>
      <c r="P18" s="30">
        <f t="shared" si="2"/>
        <v>4690.116</v>
      </c>
      <c r="Q18" s="31" t="s">
        <v>79</v>
      </c>
      <c r="R18" s="37"/>
      <c r="S18" s="30">
        <f>IF($L18="","",IF($Q18&lt;&gt;"Yes",0,IF($R18&lt;&gt;"",$R18,ROUND($L18*Settings!$J$4,2))))</f>
        <v>390.84</v>
      </c>
      <c r="T18" s="40">
        <f t="shared" si="3"/>
        <v>5080.956</v>
      </c>
      <c r="U18" s="30">
        <f t="shared" si="4"/>
        <v>2735.9</v>
      </c>
      <c r="V18" s="37">
        <v>5080.96</v>
      </c>
      <c r="W18" s="31" t="s">
        <v>85</v>
      </c>
      <c r="X18" s="34">
        <v>46062.0</v>
      </c>
      <c r="Y18" s="37"/>
      <c r="Z18" s="31"/>
      <c r="AA18" s="34"/>
      <c r="AB18" s="37"/>
      <c r="AC18" s="31"/>
      <c r="AD18" s="34"/>
      <c r="AE18" s="30">
        <f t="shared" si="5"/>
        <v>5080.96</v>
      </c>
      <c r="AF18" s="41">
        <f t="shared" si="6"/>
        <v>1</v>
      </c>
      <c r="AG18" s="40">
        <f t="shared" si="7"/>
        <v>0</v>
      </c>
      <c r="AH18" s="32" t="str">
        <f>IF(OR($L18="",$H18="",$AG18&lt;=0),"",MAX(0,TODAY()-($H18+Settings!$J$6)))</f>
        <v/>
      </c>
      <c r="AI18" s="37">
        <v>390.84</v>
      </c>
      <c r="AJ18" s="33" t="s">
        <v>206</v>
      </c>
      <c r="AK18" s="31" t="s">
        <v>207</v>
      </c>
      <c r="AL18" s="31">
        <v>6.5005749E7</v>
      </c>
      <c r="AM18" s="31" t="s">
        <v>85</v>
      </c>
      <c r="AN18" s="34">
        <v>46092.0</v>
      </c>
      <c r="AO18" s="44">
        <f t="shared" si="8"/>
        <v>0</v>
      </c>
      <c r="AP18" s="48">
        <f t="shared" si="9"/>
        <v>3908.43</v>
      </c>
      <c r="AQ18" s="33"/>
      <c r="AR18" s="49">
        <f t="shared" si="10"/>
        <v>46086</v>
      </c>
      <c r="AS18" s="49">
        <f t="shared" si="11"/>
        <v>46082</v>
      </c>
      <c r="AT18" s="32">
        <f t="shared" si="12"/>
        <v>2026</v>
      </c>
    </row>
    <row r="19" ht="18.0" customHeight="1">
      <c r="A19" s="31" t="s">
        <v>61</v>
      </c>
      <c r="B19" s="31" t="s">
        <v>62</v>
      </c>
      <c r="C19" s="31" t="s">
        <v>63</v>
      </c>
      <c r="D19" s="32">
        <v>2.2004213E7</v>
      </c>
      <c r="E19" s="33" t="s">
        <v>156</v>
      </c>
      <c r="F19" s="34">
        <v>46048.0</v>
      </c>
      <c r="G19" s="34"/>
      <c r="H19" s="34">
        <v>46044.0</v>
      </c>
      <c r="I19" s="31" t="s">
        <v>83</v>
      </c>
      <c r="J19" s="31" t="s">
        <v>76</v>
      </c>
      <c r="K19" s="31">
        <v>35.0</v>
      </c>
      <c r="L19" s="37">
        <v>2397.65</v>
      </c>
      <c r="M19" s="30">
        <f t="shared" si="1"/>
        <v>68.50428571</v>
      </c>
      <c r="N19" s="38">
        <v>0.2</v>
      </c>
      <c r="O19" s="30">
        <f>IF($L19="","",$L19*IF($N19="",Settings!$J$11,$N19))</f>
        <v>479.53</v>
      </c>
      <c r="P19" s="30">
        <f t="shared" si="2"/>
        <v>2877.18</v>
      </c>
      <c r="Q19" s="31" t="s">
        <v>79</v>
      </c>
      <c r="R19" s="37"/>
      <c r="S19" s="30">
        <f>IF($L19="","",IF($Q19&lt;&gt;"Yes",0,IF($R19&lt;&gt;"",$R19,ROUND($L19*Settings!$J$4,2))))</f>
        <v>239.77</v>
      </c>
      <c r="T19" s="40">
        <f t="shared" si="3"/>
        <v>3116.95</v>
      </c>
      <c r="U19" s="30">
        <f t="shared" si="4"/>
        <v>1678.36</v>
      </c>
      <c r="V19" s="37">
        <v>3116.95</v>
      </c>
      <c r="W19" s="31" t="s">
        <v>80</v>
      </c>
      <c r="X19" s="34">
        <v>46044.0</v>
      </c>
      <c r="Y19" s="37"/>
      <c r="Z19" s="31"/>
      <c r="AA19" s="34"/>
      <c r="AB19" s="37"/>
      <c r="AC19" s="31"/>
      <c r="AD19" s="34"/>
      <c r="AE19" s="30">
        <f t="shared" si="5"/>
        <v>3116.95</v>
      </c>
      <c r="AF19" s="41">
        <f t="shared" si="6"/>
        <v>1</v>
      </c>
      <c r="AG19" s="40">
        <f t="shared" si="7"/>
        <v>0</v>
      </c>
      <c r="AH19" s="32" t="str">
        <f>IF(OR($L19="",$H19="",$AG19&lt;=0),"",MAX(0,TODAY()-($H19+Settings!$J$6)))</f>
        <v/>
      </c>
      <c r="AI19" s="37">
        <v>239.77</v>
      </c>
      <c r="AJ19" s="33"/>
      <c r="AK19" s="31"/>
      <c r="AL19" s="31"/>
      <c r="AM19" s="31" t="s">
        <v>80</v>
      </c>
      <c r="AN19" s="34">
        <v>46057.0</v>
      </c>
      <c r="AO19" s="44">
        <f t="shared" si="8"/>
        <v>0</v>
      </c>
      <c r="AP19" s="48">
        <f t="shared" si="9"/>
        <v>2397.65</v>
      </c>
      <c r="AQ19" s="33"/>
      <c r="AR19" s="49">
        <f t="shared" si="10"/>
        <v>46048</v>
      </c>
      <c r="AS19" s="49">
        <f t="shared" si="11"/>
        <v>46023</v>
      </c>
      <c r="AT19" s="32">
        <f t="shared" si="12"/>
        <v>2026</v>
      </c>
    </row>
    <row r="20" ht="18.0" customHeight="1">
      <c r="A20" s="31" t="s">
        <v>61</v>
      </c>
      <c r="B20" s="31" t="s">
        <v>62</v>
      </c>
      <c r="C20" s="31" t="s">
        <v>63</v>
      </c>
      <c r="D20" s="32">
        <v>2.2004214E7</v>
      </c>
      <c r="E20" s="33" t="s">
        <v>228</v>
      </c>
      <c r="F20" s="34">
        <v>46051.0</v>
      </c>
      <c r="G20" s="34"/>
      <c r="H20" s="34">
        <v>46044.0</v>
      </c>
      <c r="I20" s="31" t="s">
        <v>83</v>
      </c>
      <c r="J20" s="31" t="s">
        <v>76</v>
      </c>
      <c r="K20" s="31">
        <v>25.0</v>
      </c>
      <c r="L20" s="37">
        <v>2018.85</v>
      </c>
      <c r="M20" s="30">
        <f t="shared" si="1"/>
        <v>80.754</v>
      </c>
      <c r="N20" s="38">
        <v>0.2</v>
      </c>
      <c r="O20" s="30">
        <f>IF($L20="","",$L20*IF($N20="",Settings!$J$11,$N20))</f>
        <v>403.77</v>
      </c>
      <c r="P20" s="30">
        <f t="shared" si="2"/>
        <v>2422.62</v>
      </c>
      <c r="Q20" s="31" t="s">
        <v>79</v>
      </c>
      <c r="R20" s="37"/>
      <c r="S20" s="30">
        <f>IF($L20="","",IF($Q20&lt;&gt;"Yes",0,IF($R20&lt;&gt;"",$R20,ROUND($L20*Settings!$J$4,2))))</f>
        <v>201.89</v>
      </c>
      <c r="T20" s="40">
        <f t="shared" si="3"/>
        <v>2624.51</v>
      </c>
      <c r="U20" s="30">
        <f t="shared" si="4"/>
        <v>1413.2</v>
      </c>
      <c r="V20" s="37">
        <v>2624.52</v>
      </c>
      <c r="W20" s="31" t="s">
        <v>80</v>
      </c>
      <c r="X20" s="34">
        <v>46044.0</v>
      </c>
      <c r="Y20" s="37"/>
      <c r="Z20" s="31"/>
      <c r="AA20" s="34"/>
      <c r="AB20" s="37"/>
      <c r="AC20" s="31"/>
      <c r="AD20" s="34"/>
      <c r="AE20" s="30">
        <f t="shared" si="5"/>
        <v>2624.52</v>
      </c>
      <c r="AF20" s="41">
        <f t="shared" si="6"/>
        <v>1</v>
      </c>
      <c r="AG20" s="40">
        <f t="shared" si="7"/>
        <v>0</v>
      </c>
      <c r="AH20" s="32" t="str">
        <f>IF(OR($L20="",$H20="",$AG20&lt;=0),"",MAX(0,TODAY()-($H20+Settings!$J$6)))</f>
        <v/>
      </c>
      <c r="AI20" s="37">
        <v>201.89</v>
      </c>
      <c r="AJ20" s="33"/>
      <c r="AK20" s="31"/>
      <c r="AL20" s="31"/>
      <c r="AM20" s="31" t="s">
        <v>80</v>
      </c>
      <c r="AN20" s="34"/>
      <c r="AO20" s="44">
        <f t="shared" si="8"/>
        <v>0</v>
      </c>
      <c r="AP20" s="48">
        <f t="shared" si="9"/>
        <v>2018.85</v>
      </c>
      <c r="AQ20" s="33"/>
      <c r="AR20" s="49">
        <f t="shared" si="10"/>
        <v>46051</v>
      </c>
      <c r="AS20" s="49">
        <f t="shared" si="11"/>
        <v>46023</v>
      </c>
      <c r="AT20" s="32">
        <f t="shared" si="12"/>
        <v>2026</v>
      </c>
    </row>
    <row r="21" ht="18.0" customHeight="1">
      <c r="A21" s="31" t="s">
        <v>61</v>
      </c>
      <c r="B21" s="31" t="s">
        <v>62</v>
      </c>
      <c r="C21" s="31" t="s">
        <v>63</v>
      </c>
      <c r="D21" s="32">
        <v>2.2004215E7</v>
      </c>
      <c r="E21" s="33" t="s">
        <v>157</v>
      </c>
      <c r="F21" s="34">
        <v>46093.0</v>
      </c>
      <c r="G21" s="34"/>
      <c r="H21" s="34">
        <v>46044.0</v>
      </c>
      <c r="I21" s="31" t="s">
        <v>83</v>
      </c>
      <c r="J21" s="31" t="s">
        <v>76</v>
      </c>
      <c r="K21" s="31">
        <v>40.0</v>
      </c>
      <c r="L21" s="37">
        <v>1853.5</v>
      </c>
      <c r="M21" s="30">
        <f t="shared" si="1"/>
        <v>46.3375</v>
      </c>
      <c r="N21" s="38">
        <v>0.2</v>
      </c>
      <c r="O21" s="30">
        <f>IF($L21="","",$L21*IF($N21="",Settings!$J$11,$N21))</f>
        <v>370.7</v>
      </c>
      <c r="P21" s="30">
        <f t="shared" si="2"/>
        <v>2224.2</v>
      </c>
      <c r="Q21" s="31" t="s">
        <v>79</v>
      </c>
      <c r="R21" s="37"/>
      <c r="S21" s="30">
        <f>IF($L21="","",IF($Q21&lt;&gt;"Yes",0,IF($R21&lt;&gt;"",$R21,ROUND($L21*Settings!$J$4,2))))</f>
        <v>185.35</v>
      </c>
      <c r="T21" s="40">
        <f t="shared" si="3"/>
        <v>2409.55</v>
      </c>
      <c r="U21" s="30">
        <f t="shared" si="4"/>
        <v>1297.45</v>
      </c>
      <c r="V21" s="37">
        <v>1112.1</v>
      </c>
      <c r="W21" s="31" t="s">
        <v>85</v>
      </c>
      <c r="X21" s="34">
        <v>46066.0</v>
      </c>
      <c r="Y21" s="37">
        <v>1297.45</v>
      </c>
      <c r="Z21" s="31" t="s">
        <v>85</v>
      </c>
      <c r="AA21" s="34">
        <v>46084.0</v>
      </c>
      <c r="AB21" s="37"/>
      <c r="AC21" s="31"/>
      <c r="AD21" s="34"/>
      <c r="AE21" s="30">
        <f t="shared" si="5"/>
        <v>2409.55</v>
      </c>
      <c r="AF21" s="41">
        <f t="shared" si="6"/>
        <v>1</v>
      </c>
      <c r="AG21" s="40">
        <f t="shared" si="7"/>
        <v>0</v>
      </c>
      <c r="AH21" s="32" t="str">
        <f>IF(OR($L21="",$H21="",$AG21&lt;=0),"",MAX(0,TODAY()-($H21+Settings!$J$6)))</f>
        <v/>
      </c>
      <c r="AI21" s="37">
        <v>185.35</v>
      </c>
      <c r="AJ21" s="33" t="s">
        <v>157</v>
      </c>
      <c r="AK21" s="31" t="s">
        <v>238</v>
      </c>
      <c r="AL21" s="31">
        <v>1.933213E7</v>
      </c>
      <c r="AM21" s="31" t="s">
        <v>85</v>
      </c>
      <c r="AN21" s="34">
        <v>46095.0</v>
      </c>
      <c r="AO21" s="44">
        <f t="shared" si="8"/>
        <v>0</v>
      </c>
      <c r="AP21" s="48">
        <f t="shared" si="9"/>
        <v>1853.5</v>
      </c>
      <c r="AQ21" s="33"/>
      <c r="AR21" s="49">
        <f t="shared" si="10"/>
        <v>46093</v>
      </c>
      <c r="AS21" s="49">
        <f t="shared" si="11"/>
        <v>46082</v>
      </c>
      <c r="AT21" s="32">
        <f t="shared" si="12"/>
        <v>2026</v>
      </c>
    </row>
    <row r="22" ht="18.0" customHeight="1">
      <c r="A22" s="31" t="s">
        <v>61</v>
      </c>
      <c r="B22" s="31" t="s">
        <v>62</v>
      </c>
      <c r="C22" s="31" t="s">
        <v>63</v>
      </c>
      <c r="D22" s="32">
        <v>2.2004216E7</v>
      </c>
      <c r="E22" s="33" t="s">
        <v>158</v>
      </c>
      <c r="F22" s="34">
        <v>46078.0</v>
      </c>
      <c r="G22" s="34"/>
      <c r="H22" s="34">
        <v>46048.0</v>
      </c>
      <c r="I22" s="31" t="s">
        <v>83</v>
      </c>
      <c r="J22" s="31" t="s">
        <v>76</v>
      </c>
      <c r="K22" s="31">
        <v>40.0</v>
      </c>
      <c r="L22" s="37">
        <v>3466.6</v>
      </c>
      <c r="M22" s="30">
        <f t="shared" si="1"/>
        <v>86.665</v>
      </c>
      <c r="N22" s="38">
        <v>0.2</v>
      </c>
      <c r="O22" s="30">
        <f>IF($L22="","",$L22*IF($N22="",Settings!$J$11,$N22))</f>
        <v>693.32</v>
      </c>
      <c r="P22" s="30">
        <f t="shared" si="2"/>
        <v>4159.92</v>
      </c>
      <c r="Q22" s="31" t="s">
        <v>79</v>
      </c>
      <c r="R22" s="37"/>
      <c r="S22" s="30">
        <f>IF($L22="","",IF($Q22&lt;&gt;"Yes",0,IF($R22&lt;&gt;"",$R22,ROUND($L22*Settings!$J$4,2))))</f>
        <v>346.66</v>
      </c>
      <c r="T22" s="40">
        <f t="shared" si="3"/>
        <v>4506.58</v>
      </c>
      <c r="U22" s="30">
        <f t="shared" si="4"/>
        <v>2426.62</v>
      </c>
      <c r="V22" s="37">
        <v>4506.58</v>
      </c>
      <c r="W22" s="31" t="s">
        <v>80</v>
      </c>
      <c r="X22" s="34">
        <v>46049.0</v>
      </c>
      <c r="Y22" s="37"/>
      <c r="Z22" s="31"/>
      <c r="AA22" s="34"/>
      <c r="AB22" s="37"/>
      <c r="AC22" s="31"/>
      <c r="AD22" s="34"/>
      <c r="AE22" s="30">
        <f t="shared" si="5"/>
        <v>4506.58</v>
      </c>
      <c r="AF22" s="41">
        <f t="shared" si="6"/>
        <v>1</v>
      </c>
      <c r="AG22" s="40">
        <f t="shared" si="7"/>
        <v>0</v>
      </c>
      <c r="AH22" s="32" t="str">
        <f>IF(OR($L22="",$H22="",$AG22&lt;=0),"",MAX(0,TODAY()-($H22+Settings!$J$6)))</f>
        <v/>
      </c>
      <c r="AI22" s="37">
        <v>346.66</v>
      </c>
      <c r="AJ22" s="33"/>
      <c r="AK22" s="31"/>
      <c r="AL22" s="31"/>
      <c r="AM22" s="31" t="s">
        <v>80</v>
      </c>
      <c r="AN22" s="34">
        <v>46057.0</v>
      </c>
      <c r="AO22" s="44">
        <f t="shared" si="8"/>
        <v>0</v>
      </c>
      <c r="AP22" s="48">
        <f t="shared" si="9"/>
        <v>3466.6</v>
      </c>
      <c r="AQ22" s="33"/>
      <c r="AR22" s="49">
        <f t="shared" si="10"/>
        <v>46078</v>
      </c>
      <c r="AS22" s="49">
        <f t="shared" si="11"/>
        <v>46054</v>
      </c>
      <c r="AT22" s="32">
        <f t="shared" si="12"/>
        <v>2026</v>
      </c>
    </row>
    <row r="23" ht="18.0" customHeight="1">
      <c r="A23" s="31" t="s">
        <v>61</v>
      </c>
      <c r="B23" s="31" t="s">
        <v>62</v>
      </c>
      <c r="C23" s="31" t="s">
        <v>63</v>
      </c>
      <c r="D23" s="32">
        <v>2.2004217E7</v>
      </c>
      <c r="E23" s="33" t="s">
        <v>195</v>
      </c>
      <c r="F23" s="34">
        <v>46056.0</v>
      </c>
      <c r="G23" s="34"/>
      <c r="H23" s="34">
        <v>46048.0</v>
      </c>
      <c r="I23" s="31" t="s">
        <v>83</v>
      </c>
      <c r="J23" s="31" t="s">
        <v>76</v>
      </c>
      <c r="K23" s="31">
        <v>120.0</v>
      </c>
      <c r="L23" s="37">
        <v>7161.0</v>
      </c>
      <c r="M23" s="30">
        <f t="shared" si="1"/>
        <v>59.675</v>
      </c>
      <c r="N23" s="38">
        <v>0.2</v>
      </c>
      <c r="O23" s="30">
        <f>IF($L23="","",$L23*IF($N23="",Settings!$J$11,$N23))</f>
        <v>1432.2</v>
      </c>
      <c r="P23" s="30">
        <f t="shared" si="2"/>
        <v>8593.2</v>
      </c>
      <c r="Q23" s="31" t="s">
        <v>79</v>
      </c>
      <c r="R23" s="37"/>
      <c r="S23" s="30">
        <f>IF($L23="","",IF($Q23&lt;&gt;"Yes",0,IF($R23&lt;&gt;"",$R23,ROUND($L23*Settings!$J$4,2))))</f>
        <v>716.1</v>
      </c>
      <c r="T23" s="40">
        <f t="shared" si="3"/>
        <v>9309.3</v>
      </c>
      <c r="U23" s="30">
        <f t="shared" si="4"/>
        <v>5012.7</v>
      </c>
      <c r="V23" s="37">
        <v>8593.2</v>
      </c>
      <c r="W23" s="31" t="s">
        <v>85</v>
      </c>
      <c r="X23" s="34">
        <v>46049.0</v>
      </c>
      <c r="Y23" s="37">
        <v>62.4</v>
      </c>
      <c r="Z23" s="31" t="s">
        <v>80</v>
      </c>
      <c r="AA23" s="34">
        <v>46058.0</v>
      </c>
      <c r="AB23" s="37"/>
      <c r="AC23" s="31"/>
      <c r="AD23" s="34"/>
      <c r="AE23" s="30">
        <f t="shared" si="5"/>
        <v>8655.6</v>
      </c>
      <c r="AF23" s="41">
        <f t="shared" si="6"/>
        <v>1</v>
      </c>
      <c r="AG23" s="40">
        <f t="shared" si="7"/>
        <v>0</v>
      </c>
      <c r="AH23" s="32" t="str">
        <f>IF(OR($L23="",$H23="",$AG23&lt;=0),"",MAX(0,TODAY()-($H23+Settings!$J$6)))</f>
        <v/>
      </c>
      <c r="AI23" s="37">
        <v>716.1</v>
      </c>
      <c r="AJ23" s="33"/>
      <c r="AK23" s="31"/>
      <c r="AL23" s="31"/>
      <c r="AM23" s="31"/>
      <c r="AN23" s="34"/>
      <c r="AO23" s="44">
        <f t="shared" si="8"/>
        <v>0</v>
      </c>
      <c r="AP23" s="48">
        <f t="shared" si="9"/>
        <v>7161</v>
      </c>
      <c r="AQ23" s="33"/>
      <c r="AR23" s="49">
        <f t="shared" si="10"/>
        <v>46056</v>
      </c>
      <c r="AS23" s="49">
        <f t="shared" si="11"/>
        <v>46054</v>
      </c>
      <c r="AT23" s="32">
        <f t="shared" si="12"/>
        <v>2026</v>
      </c>
    </row>
    <row r="24" ht="18.0" customHeight="1">
      <c r="A24" s="31" t="s">
        <v>61</v>
      </c>
      <c r="B24" s="31" t="s">
        <v>62</v>
      </c>
      <c r="C24" s="31" t="s">
        <v>63</v>
      </c>
      <c r="D24" s="32">
        <v>2.2004218E7</v>
      </c>
      <c r="E24" s="33" t="s">
        <v>268</v>
      </c>
      <c r="F24" s="34">
        <v>46061.0</v>
      </c>
      <c r="G24" s="34"/>
      <c r="H24" s="34">
        <v>46055.0</v>
      </c>
      <c r="I24" s="31" t="s">
        <v>83</v>
      </c>
      <c r="J24" s="31" t="s">
        <v>76</v>
      </c>
      <c r="K24" s="31">
        <v>15.0</v>
      </c>
      <c r="L24" s="37">
        <v>2303.5</v>
      </c>
      <c r="M24" s="30">
        <f t="shared" si="1"/>
        <v>153.5666667</v>
      </c>
      <c r="N24" s="38">
        <v>0.2</v>
      </c>
      <c r="O24" s="30">
        <f>IF($L24="","",$L24*IF($N24="",Settings!$J$11,$N24))</f>
        <v>460.7</v>
      </c>
      <c r="P24" s="30">
        <f t="shared" si="2"/>
        <v>2764.2</v>
      </c>
      <c r="Q24" s="31" t="s">
        <v>79</v>
      </c>
      <c r="R24" s="37"/>
      <c r="S24" s="30">
        <f>IF($L24="","",IF($Q24&lt;&gt;"Yes",0,IF($R24&lt;&gt;"",$R24,ROUND($L24*Settings!$J$4,2))))</f>
        <v>230.35</v>
      </c>
      <c r="T24" s="40">
        <f t="shared" si="3"/>
        <v>2994.55</v>
      </c>
      <c r="U24" s="30">
        <f t="shared" si="4"/>
        <v>1612.45</v>
      </c>
      <c r="V24" s="37"/>
      <c r="W24" s="31"/>
      <c r="X24" s="34"/>
      <c r="Y24" s="37"/>
      <c r="Z24" s="31"/>
      <c r="AA24" s="34"/>
      <c r="AB24" s="37"/>
      <c r="AC24" s="31"/>
      <c r="AD24" s="34"/>
      <c r="AE24" s="30">
        <f t="shared" si="5"/>
        <v>0</v>
      </c>
      <c r="AF24" s="41">
        <f t="shared" si="6"/>
        <v>1</v>
      </c>
      <c r="AG24" s="40">
        <f t="shared" si="7"/>
        <v>0</v>
      </c>
      <c r="AH24" s="32" t="str">
        <f>IF(OR($L24="",$H24="",$AG24&lt;=0),"",MAX(0,TODAY()-($H24+Settings!$J$6)))</f>
        <v/>
      </c>
      <c r="AI24" s="37">
        <v>230.35</v>
      </c>
      <c r="AJ24" s="33"/>
      <c r="AK24" s="31"/>
      <c r="AL24" s="31"/>
      <c r="AM24" s="31"/>
      <c r="AN24" s="34"/>
      <c r="AO24" s="44">
        <f t="shared" si="8"/>
        <v>0</v>
      </c>
      <c r="AP24" s="48">
        <f t="shared" si="9"/>
        <v>2303.5</v>
      </c>
      <c r="AQ24" s="33"/>
      <c r="AR24" s="49">
        <f t="shared" si="10"/>
        <v>46061</v>
      </c>
      <c r="AS24" s="49">
        <f t="shared" si="11"/>
        <v>46054</v>
      </c>
      <c r="AT24" s="32">
        <f t="shared" si="12"/>
        <v>2026</v>
      </c>
    </row>
    <row r="25" ht="18.0" customHeight="1">
      <c r="A25" s="31" t="s">
        <v>61</v>
      </c>
      <c r="B25" s="31" t="s">
        <v>62</v>
      </c>
      <c r="C25" s="31" t="s">
        <v>278</v>
      </c>
      <c r="D25" s="32">
        <v>2.2004219E7</v>
      </c>
      <c r="E25" s="33" t="s">
        <v>279</v>
      </c>
      <c r="F25" s="34">
        <v>46068.0</v>
      </c>
      <c r="G25" s="34"/>
      <c r="H25" s="34">
        <v>46056.0</v>
      </c>
      <c r="I25" s="31" t="s">
        <v>73</v>
      </c>
      <c r="J25" s="31" t="s">
        <v>119</v>
      </c>
      <c r="K25" s="31">
        <v>2.0</v>
      </c>
      <c r="L25" s="37">
        <v>500.0</v>
      </c>
      <c r="M25" s="30">
        <f t="shared" si="1"/>
        <v>250</v>
      </c>
      <c r="N25" s="38">
        <v>0.0</v>
      </c>
      <c r="O25" s="30">
        <f>IF($L25="","",$L25*IF($N25="",Settings!$J$11,$N25))</f>
        <v>0</v>
      </c>
      <c r="P25" s="30">
        <f t="shared" si="2"/>
        <v>500</v>
      </c>
      <c r="Q25" s="31" t="s">
        <v>84</v>
      </c>
      <c r="R25" s="37"/>
      <c r="S25" s="30">
        <f>IF($L25="","",IF($Q25&lt;&gt;"Yes",0,IF($R25&lt;&gt;"",$R25,ROUND($L25*Settings!$J$4,2))))</f>
        <v>0</v>
      </c>
      <c r="T25" s="40">
        <f t="shared" si="3"/>
        <v>500</v>
      </c>
      <c r="U25" s="30">
        <f t="shared" si="4"/>
        <v>250</v>
      </c>
      <c r="V25" s="37"/>
      <c r="W25" s="31"/>
      <c r="X25" s="34"/>
      <c r="Y25" s="37"/>
      <c r="Z25" s="31"/>
      <c r="AA25" s="34"/>
      <c r="AB25" s="37"/>
      <c r="AC25" s="31"/>
      <c r="AD25" s="34"/>
      <c r="AE25" s="30">
        <f t="shared" si="5"/>
        <v>0</v>
      </c>
      <c r="AF25" s="41">
        <f t="shared" si="6"/>
        <v>0</v>
      </c>
      <c r="AG25" s="40">
        <f t="shared" si="7"/>
        <v>0</v>
      </c>
      <c r="AH25" s="32" t="str">
        <f>IF(OR($L25="",$H25="",$AG25&lt;=0),"",MAX(0,TODAY()-($H25+Settings!$J$6)))</f>
        <v/>
      </c>
      <c r="AI25" s="37"/>
      <c r="AJ25" s="33"/>
      <c r="AK25" s="31"/>
      <c r="AL25" s="31"/>
      <c r="AM25" s="31"/>
      <c r="AN25" s="34"/>
      <c r="AO25" s="44">
        <f t="shared" si="8"/>
        <v>0</v>
      </c>
      <c r="AP25" s="48">
        <f t="shared" si="9"/>
        <v>500</v>
      </c>
      <c r="AQ25" s="33"/>
      <c r="AR25" s="49">
        <f t="shared" si="10"/>
        <v>46068</v>
      </c>
      <c r="AS25" s="49">
        <f t="shared" si="11"/>
        <v>46054</v>
      </c>
      <c r="AT25" s="32">
        <f t="shared" si="12"/>
        <v>2026</v>
      </c>
    </row>
    <row r="26" ht="18.0" customHeight="1">
      <c r="A26" s="31" t="s">
        <v>61</v>
      </c>
      <c r="B26" s="31" t="s">
        <v>62</v>
      </c>
      <c r="C26" s="31" t="s">
        <v>251</v>
      </c>
      <c r="D26" s="32">
        <v>2.200422E7</v>
      </c>
      <c r="E26" s="33" t="s">
        <v>159</v>
      </c>
      <c r="F26" s="34">
        <v>46186.0</v>
      </c>
      <c r="G26" s="34"/>
      <c r="H26" s="34">
        <v>46057.0</v>
      </c>
      <c r="I26" s="31" t="s">
        <v>73</v>
      </c>
      <c r="J26" s="31" t="s">
        <v>76</v>
      </c>
      <c r="K26" s="31">
        <v>60.0</v>
      </c>
      <c r="L26" s="37">
        <v>5096.5</v>
      </c>
      <c r="M26" s="30">
        <f t="shared" si="1"/>
        <v>84.94166667</v>
      </c>
      <c r="N26" s="38">
        <v>0.2</v>
      </c>
      <c r="O26" s="30">
        <f>IF($L26="","",$L26*IF($N26="",Settings!$J$11,$N26))</f>
        <v>1019.3</v>
      </c>
      <c r="P26" s="30">
        <f t="shared" si="2"/>
        <v>6115.8</v>
      </c>
      <c r="Q26" s="31" t="s">
        <v>79</v>
      </c>
      <c r="R26" s="37"/>
      <c r="S26" s="30">
        <f>IF($L26="","",IF($Q26&lt;&gt;"Yes",0,IF($R26&lt;&gt;"",$R26,ROUND($L26*Settings!$J$4,2))))</f>
        <v>509.65</v>
      </c>
      <c r="T26" s="40">
        <f t="shared" si="3"/>
        <v>6625.45</v>
      </c>
      <c r="U26" s="30">
        <f t="shared" si="4"/>
        <v>3567.55</v>
      </c>
      <c r="V26" s="37">
        <v>3057.9</v>
      </c>
      <c r="W26" s="31" t="s">
        <v>80</v>
      </c>
      <c r="X26" s="34">
        <v>46057.0</v>
      </c>
      <c r="Y26" s="37">
        <v>3168.25</v>
      </c>
      <c r="Z26" s="31" t="s">
        <v>80</v>
      </c>
      <c r="AA26" s="34">
        <v>46175.0</v>
      </c>
      <c r="AB26" s="37"/>
      <c r="AC26" s="31"/>
      <c r="AD26" s="34"/>
      <c r="AE26" s="30">
        <f t="shared" si="5"/>
        <v>6226.15</v>
      </c>
      <c r="AF26" s="41">
        <f t="shared" si="6"/>
        <v>1</v>
      </c>
      <c r="AG26" s="40">
        <f t="shared" si="7"/>
        <v>0</v>
      </c>
      <c r="AH26" s="32" t="str">
        <f>IF(OR($L26="",$H26="",$AG26&lt;=0),"",MAX(0,TODAY()-($H26+Settings!$J$6)))</f>
        <v/>
      </c>
      <c r="AI26" s="37">
        <v>509.65</v>
      </c>
      <c r="AJ26" s="33"/>
      <c r="AK26" s="31"/>
      <c r="AL26" s="31"/>
      <c r="AM26" s="31" t="s">
        <v>80</v>
      </c>
      <c r="AN26" s="34">
        <v>46198.0</v>
      </c>
      <c r="AO26" s="44">
        <f t="shared" si="8"/>
        <v>0</v>
      </c>
      <c r="AP26" s="48">
        <f t="shared" si="9"/>
        <v>5096.5</v>
      </c>
      <c r="AQ26" s="33"/>
      <c r="AR26" s="49">
        <f t="shared" si="10"/>
        <v>46186</v>
      </c>
      <c r="AS26" s="49">
        <f t="shared" si="11"/>
        <v>46174</v>
      </c>
      <c r="AT26" s="32">
        <f t="shared" si="12"/>
        <v>2026</v>
      </c>
    </row>
    <row r="27" ht="18.0" customHeight="1">
      <c r="A27" s="31" t="s">
        <v>61</v>
      </c>
      <c r="B27" s="31" t="s">
        <v>62</v>
      </c>
      <c r="C27" s="31" t="s">
        <v>63</v>
      </c>
      <c r="D27" s="32">
        <v>2.2004221E7</v>
      </c>
      <c r="E27" s="33" t="s">
        <v>130</v>
      </c>
      <c r="F27" s="34">
        <v>46065.0</v>
      </c>
      <c r="G27" s="34"/>
      <c r="H27" s="34">
        <v>46058.0</v>
      </c>
      <c r="I27" s="31" t="s">
        <v>83</v>
      </c>
      <c r="J27" s="31" t="s">
        <v>76</v>
      </c>
      <c r="K27" s="31">
        <v>50.0</v>
      </c>
      <c r="L27" s="37">
        <v>1408.15</v>
      </c>
      <c r="M27" s="30">
        <f t="shared" si="1"/>
        <v>28.163</v>
      </c>
      <c r="N27" s="38">
        <v>0.2</v>
      </c>
      <c r="O27" s="30">
        <f>IF($L27="","",$L27*IF($N27="",Settings!$J$11,$N27))</f>
        <v>281.63</v>
      </c>
      <c r="P27" s="30">
        <f t="shared" si="2"/>
        <v>1689.78</v>
      </c>
      <c r="Q27" s="31" t="s">
        <v>79</v>
      </c>
      <c r="R27" s="37"/>
      <c r="S27" s="30">
        <f>IF($L27="","",IF($Q27&lt;&gt;"Yes",0,IF($R27&lt;&gt;"",$R27,ROUND($L27*Settings!$J$4,2))))</f>
        <v>140.82</v>
      </c>
      <c r="T27" s="40">
        <f t="shared" si="3"/>
        <v>1830.6</v>
      </c>
      <c r="U27" s="30">
        <f t="shared" si="4"/>
        <v>985.71</v>
      </c>
      <c r="V27" s="37">
        <v>1831.05</v>
      </c>
      <c r="W27" s="31" t="s">
        <v>80</v>
      </c>
      <c r="X27" s="34">
        <v>46062.0</v>
      </c>
      <c r="Y27" s="37"/>
      <c r="Z27" s="31"/>
      <c r="AA27" s="34"/>
      <c r="AB27" s="37"/>
      <c r="AC27" s="31"/>
      <c r="AD27" s="34"/>
      <c r="AE27" s="30">
        <f t="shared" si="5"/>
        <v>1831.05</v>
      </c>
      <c r="AF27" s="41">
        <f t="shared" si="6"/>
        <v>1</v>
      </c>
      <c r="AG27" s="40">
        <f t="shared" si="7"/>
        <v>0</v>
      </c>
      <c r="AH27" s="32" t="str">
        <f>IF(OR($L27="",$H27="",$AG27&lt;=0),"",MAX(0,TODAY()-($H27+Settings!$J$6)))</f>
        <v/>
      </c>
      <c r="AI27" s="37">
        <v>140.82</v>
      </c>
      <c r="AJ27" s="33"/>
      <c r="AK27" s="31"/>
      <c r="AL27" s="31"/>
      <c r="AM27" s="31" t="s">
        <v>80</v>
      </c>
      <c r="AN27" s="34">
        <v>46068.0</v>
      </c>
      <c r="AO27" s="44">
        <f t="shared" si="8"/>
        <v>0</v>
      </c>
      <c r="AP27" s="48">
        <f t="shared" si="9"/>
        <v>1408.15</v>
      </c>
      <c r="AQ27" s="33"/>
      <c r="AR27" s="49">
        <f t="shared" si="10"/>
        <v>46065</v>
      </c>
      <c r="AS27" s="49">
        <f t="shared" si="11"/>
        <v>46054</v>
      </c>
      <c r="AT27" s="32">
        <f t="shared" si="12"/>
        <v>2026</v>
      </c>
    </row>
    <row r="28" ht="18.0" customHeight="1">
      <c r="A28" s="31" t="s">
        <v>61</v>
      </c>
      <c r="B28" s="31" t="s">
        <v>62</v>
      </c>
      <c r="C28" s="31" t="s">
        <v>63</v>
      </c>
      <c r="D28" s="32">
        <v>2.2004222E7</v>
      </c>
      <c r="E28" s="33" t="s">
        <v>160</v>
      </c>
      <c r="F28" s="34">
        <v>46079.0</v>
      </c>
      <c r="G28" s="34"/>
      <c r="H28" s="34">
        <v>46063.0</v>
      </c>
      <c r="I28" s="31" t="s">
        <v>83</v>
      </c>
      <c r="J28" s="31" t="s">
        <v>76</v>
      </c>
      <c r="K28" s="31">
        <v>40.0</v>
      </c>
      <c r="L28" s="37">
        <v>1956.4</v>
      </c>
      <c r="M28" s="30">
        <f t="shared" si="1"/>
        <v>48.91</v>
      </c>
      <c r="N28" s="38">
        <v>0.2</v>
      </c>
      <c r="O28" s="30">
        <f>IF($L28="","",$L28*IF($N28="",Settings!$J$11,$N28))</f>
        <v>391.28</v>
      </c>
      <c r="P28" s="30">
        <f t="shared" si="2"/>
        <v>2347.68</v>
      </c>
      <c r="Q28" s="31" t="s">
        <v>79</v>
      </c>
      <c r="R28" s="37"/>
      <c r="S28" s="30">
        <f>IF($L28="","",IF($Q28&lt;&gt;"Yes",0,IF($R28&lt;&gt;"",$R28,ROUND($L28*Settings!$J$4,2))))</f>
        <v>195.64</v>
      </c>
      <c r="T28" s="40">
        <f t="shared" si="3"/>
        <v>2543.32</v>
      </c>
      <c r="U28" s="30">
        <f t="shared" si="4"/>
        <v>1369.48</v>
      </c>
      <c r="V28" s="37">
        <v>2543.32</v>
      </c>
      <c r="W28" s="31" t="s">
        <v>85</v>
      </c>
      <c r="X28" s="34">
        <v>46071.0</v>
      </c>
      <c r="Y28" s="37"/>
      <c r="Z28" s="31"/>
      <c r="AA28" s="34"/>
      <c r="AB28" s="37"/>
      <c r="AC28" s="31"/>
      <c r="AD28" s="34"/>
      <c r="AE28" s="30">
        <f t="shared" si="5"/>
        <v>2543.32</v>
      </c>
      <c r="AF28" s="41">
        <f t="shared" si="6"/>
        <v>1</v>
      </c>
      <c r="AG28" s="40">
        <f t="shared" si="7"/>
        <v>0</v>
      </c>
      <c r="AH28" s="32" t="str">
        <f>IF(OR($L28="",$H28="",$AG28&lt;=0),"",MAX(0,TODAY()-($H28+Settings!$J$6)))</f>
        <v/>
      </c>
      <c r="AI28" s="37">
        <v>195.64</v>
      </c>
      <c r="AJ28" s="33" t="s">
        <v>322</v>
      </c>
      <c r="AK28" s="31" t="s">
        <v>275</v>
      </c>
      <c r="AL28" s="31" t="s">
        <v>323</v>
      </c>
      <c r="AM28" s="31" t="s">
        <v>85</v>
      </c>
      <c r="AN28" s="34">
        <v>46089.0</v>
      </c>
      <c r="AO28" s="44">
        <f t="shared" si="8"/>
        <v>0</v>
      </c>
      <c r="AP28" s="48">
        <f t="shared" si="9"/>
        <v>1956.4</v>
      </c>
      <c r="AQ28" s="33"/>
      <c r="AR28" s="49">
        <f t="shared" si="10"/>
        <v>46079</v>
      </c>
      <c r="AS28" s="49">
        <f t="shared" si="11"/>
        <v>46054</v>
      </c>
      <c r="AT28" s="32">
        <f t="shared" si="12"/>
        <v>2026</v>
      </c>
    </row>
    <row r="29" ht="18.0" customHeight="1">
      <c r="A29" s="31" t="s">
        <v>61</v>
      </c>
      <c r="B29" s="31" t="s">
        <v>62</v>
      </c>
      <c r="C29" s="31" t="s">
        <v>63</v>
      </c>
      <c r="D29" s="32">
        <v>2.2004223E7</v>
      </c>
      <c r="E29" s="33" t="s">
        <v>328</v>
      </c>
      <c r="F29" s="34">
        <v>46071.0</v>
      </c>
      <c r="G29" s="34"/>
      <c r="H29" s="34">
        <v>46066.0</v>
      </c>
      <c r="I29" s="31" t="s">
        <v>83</v>
      </c>
      <c r="J29" s="31" t="s">
        <v>76</v>
      </c>
      <c r="K29" s="31">
        <v>70.0</v>
      </c>
      <c r="L29" s="37">
        <v>2017.0</v>
      </c>
      <c r="M29" s="30">
        <f t="shared" si="1"/>
        <v>28.81428571</v>
      </c>
      <c r="N29" s="38">
        <v>0.2</v>
      </c>
      <c r="O29" s="30">
        <f>IF($L29="","",$L29*IF($N29="",Settings!$J$11,$N29))</f>
        <v>403.4</v>
      </c>
      <c r="P29" s="30">
        <f t="shared" si="2"/>
        <v>2420.4</v>
      </c>
      <c r="Q29" s="31" t="s">
        <v>84</v>
      </c>
      <c r="R29" s="37"/>
      <c r="S29" s="30">
        <f>IF($L29="","",IF($Q29&lt;&gt;"Yes",0,IF($R29&lt;&gt;"",$R29,ROUND($L29*Settings!$J$4,2))))</f>
        <v>0</v>
      </c>
      <c r="T29" s="40">
        <f t="shared" si="3"/>
        <v>2420.4</v>
      </c>
      <c r="U29" s="30">
        <f t="shared" si="4"/>
        <v>1210.2</v>
      </c>
      <c r="V29" s="37">
        <v>2420.4</v>
      </c>
      <c r="W29" s="31" t="s">
        <v>85</v>
      </c>
      <c r="X29" s="34"/>
      <c r="Y29" s="37"/>
      <c r="Z29" s="31"/>
      <c r="AA29" s="34"/>
      <c r="AB29" s="37"/>
      <c r="AC29" s="31"/>
      <c r="AD29" s="34"/>
      <c r="AE29" s="30">
        <f t="shared" si="5"/>
        <v>2420.4</v>
      </c>
      <c r="AF29" s="41">
        <f t="shared" si="6"/>
        <v>1</v>
      </c>
      <c r="AG29" s="40">
        <f t="shared" si="7"/>
        <v>0</v>
      </c>
      <c r="AH29" s="32" t="str">
        <f>IF(OR($L29="",$H29="",$AG29&lt;=0),"",MAX(0,TODAY()-($H29+Settings!$J$6)))</f>
        <v/>
      </c>
      <c r="AI29" s="37"/>
      <c r="AJ29" s="33"/>
      <c r="AK29" s="31"/>
      <c r="AL29" s="31"/>
      <c r="AM29" s="31"/>
      <c r="AN29" s="34"/>
      <c r="AO29" s="44">
        <f t="shared" si="8"/>
        <v>0</v>
      </c>
      <c r="AP29" s="48">
        <f t="shared" si="9"/>
        <v>2017</v>
      </c>
      <c r="AQ29" s="33"/>
      <c r="AR29" s="49">
        <f t="shared" si="10"/>
        <v>46071</v>
      </c>
      <c r="AS29" s="49">
        <f t="shared" si="11"/>
        <v>46054</v>
      </c>
      <c r="AT29" s="32">
        <f t="shared" si="12"/>
        <v>2026</v>
      </c>
    </row>
    <row r="30" ht="18.0" customHeight="1">
      <c r="A30" s="31" t="s">
        <v>61</v>
      </c>
      <c r="B30" s="31" t="s">
        <v>62</v>
      </c>
      <c r="C30" s="31" t="s">
        <v>63</v>
      </c>
      <c r="D30" s="32">
        <v>2.2004224E7</v>
      </c>
      <c r="E30" s="33" t="s">
        <v>362</v>
      </c>
      <c r="F30" s="34">
        <v>46106.0</v>
      </c>
      <c r="G30" s="34"/>
      <c r="H30" s="34">
        <v>46075.0</v>
      </c>
      <c r="I30" s="31" t="s">
        <v>83</v>
      </c>
      <c r="J30" s="31" t="s">
        <v>76</v>
      </c>
      <c r="K30" s="31">
        <v>50.0</v>
      </c>
      <c r="L30" s="37">
        <v>1377.3</v>
      </c>
      <c r="M30" s="30">
        <f t="shared" si="1"/>
        <v>27.546</v>
      </c>
      <c r="N30" s="38">
        <v>0.2</v>
      </c>
      <c r="O30" s="30">
        <f>IF($L30="","",$L30*IF($N30="",Settings!$J$11,$N30))</f>
        <v>275.46</v>
      </c>
      <c r="P30" s="30">
        <f t="shared" si="2"/>
        <v>1652.76</v>
      </c>
      <c r="Q30" s="31" t="s">
        <v>84</v>
      </c>
      <c r="R30" s="37"/>
      <c r="S30" s="30">
        <f>IF($L30="","",IF($Q30&lt;&gt;"Yes",0,IF($R30&lt;&gt;"",$R30,ROUND($L30*Settings!$J$4,2))))</f>
        <v>0</v>
      </c>
      <c r="T30" s="40">
        <f t="shared" si="3"/>
        <v>1652.76</v>
      </c>
      <c r="U30" s="30">
        <f t="shared" si="4"/>
        <v>826.38</v>
      </c>
      <c r="V30" s="37">
        <v>1652.76</v>
      </c>
      <c r="W30" s="31" t="s">
        <v>85</v>
      </c>
      <c r="X30" s="34">
        <v>46079.0</v>
      </c>
      <c r="Y30" s="37"/>
      <c r="Z30" s="31"/>
      <c r="AA30" s="34"/>
      <c r="AB30" s="37"/>
      <c r="AC30" s="31"/>
      <c r="AD30" s="34"/>
      <c r="AE30" s="30">
        <f t="shared" si="5"/>
        <v>1652.76</v>
      </c>
      <c r="AF30" s="41">
        <f t="shared" si="6"/>
        <v>1</v>
      </c>
      <c r="AG30" s="40">
        <f t="shared" si="7"/>
        <v>0</v>
      </c>
      <c r="AH30" s="32" t="str">
        <f>IF(OR($L30="",$H30="",$AG30&lt;=0),"",MAX(0,TODAY()-($H30+Settings!$J$6)))</f>
        <v/>
      </c>
      <c r="AI30" s="37"/>
      <c r="AJ30" s="33"/>
      <c r="AK30" s="31"/>
      <c r="AL30" s="31"/>
      <c r="AM30" s="31"/>
      <c r="AN30" s="34"/>
      <c r="AO30" s="44">
        <f t="shared" si="8"/>
        <v>0</v>
      </c>
      <c r="AP30" s="48">
        <f t="shared" si="9"/>
        <v>1377.3</v>
      </c>
      <c r="AQ30" s="33"/>
      <c r="AR30" s="49">
        <f t="shared" si="10"/>
        <v>46106</v>
      </c>
      <c r="AS30" s="49">
        <f t="shared" si="11"/>
        <v>46082</v>
      </c>
      <c r="AT30" s="32">
        <f t="shared" si="12"/>
        <v>2026</v>
      </c>
    </row>
    <row r="31" ht="18.0" customHeight="1">
      <c r="A31" s="31" t="s">
        <v>61</v>
      </c>
      <c r="B31" s="31" t="s">
        <v>62</v>
      </c>
      <c r="C31" s="31" t="s">
        <v>63</v>
      </c>
      <c r="D31" s="32">
        <v>2.2004225E7</v>
      </c>
      <c r="E31" s="33" t="s">
        <v>137</v>
      </c>
      <c r="F31" s="34"/>
      <c r="G31" s="34"/>
      <c r="H31" s="34">
        <v>46075.0</v>
      </c>
      <c r="I31" s="31" t="s">
        <v>83</v>
      </c>
      <c r="J31" s="31" t="s">
        <v>76</v>
      </c>
      <c r="K31" s="31">
        <v>37.0</v>
      </c>
      <c r="L31" s="37">
        <v>4135.6</v>
      </c>
      <c r="M31" s="30">
        <f t="shared" si="1"/>
        <v>111.772973</v>
      </c>
      <c r="N31" s="38">
        <v>0.2</v>
      </c>
      <c r="O31" s="30">
        <f>IF($L31="","",$L31*IF($N31="",Settings!$J$11,$N31))</f>
        <v>827.12</v>
      </c>
      <c r="P31" s="30">
        <f t="shared" si="2"/>
        <v>4962.72</v>
      </c>
      <c r="Q31" s="31" t="s">
        <v>79</v>
      </c>
      <c r="R31" s="37"/>
      <c r="S31" s="30">
        <f>IF($L31="","",IF($Q31&lt;&gt;"Yes",0,IF($R31&lt;&gt;"",$R31,ROUND($L31*Settings!$J$4,2))))</f>
        <v>413.56</v>
      </c>
      <c r="T31" s="40">
        <f t="shared" si="3"/>
        <v>5376.28</v>
      </c>
      <c r="U31" s="30">
        <f t="shared" si="4"/>
        <v>2894.92</v>
      </c>
      <c r="V31" s="37">
        <v>5376.28</v>
      </c>
      <c r="W31" s="31" t="s">
        <v>85</v>
      </c>
      <c r="X31" s="34">
        <v>46080.0</v>
      </c>
      <c r="Y31" s="37"/>
      <c r="Z31" s="31"/>
      <c r="AA31" s="34"/>
      <c r="AB31" s="37"/>
      <c r="AC31" s="31"/>
      <c r="AD31" s="34"/>
      <c r="AE31" s="30">
        <f t="shared" si="5"/>
        <v>5376.28</v>
      </c>
      <c r="AF31" s="41">
        <f t="shared" si="6"/>
        <v>1</v>
      </c>
      <c r="AG31" s="40">
        <f t="shared" si="7"/>
        <v>0</v>
      </c>
      <c r="AH31" s="32" t="str">
        <f>IF(OR($L31="",$H31="",$AG31&lt;=0),"",MAX(0,TODAY()-($H31+Settings!$J$6)))</f>
        <v/>
      </c>
      <c r="AI31" s="37">
        <v>413.56</v>
      </c>
      <c r="AJ31" s="33" t="s">
        <v>378</v>
      </c>
      <c r="AK31" s="31" t="s">
        <v>379</v>
      </c>
      <c r="AL31" s="31">
        <v>8.1253972E7</v>
      </c>
      <c r="AM31" s="31" t="s">
        <v>85</v>
      </c>
      <c r="AN31" s="34">
        <v>46095.0</v>
      </c>
      <c r="AO31" s="44">
        <f t="shared" si="8"/>
        <v>0</v>
      </c>
      <c r="AP31" s="48">
        <f t="shared" si="9"/>
        <v>4135.6</v>
      </c>
      <c r="AQ31" s="33" t="s">
        <v>380</v>
      </c>
      <c r="AR31" s="49" t="str">
        <f t="shared" si="10"/>
        <v/>
      </c>
      <c r="AS31" s="49" t="str">
        <f t="shared" si="11"/>
        <v/>
      </c>
      <c r="AT31" s="32">
        <f t="shared" si="12"/>
        <v>2026</v>
      </c>
    </row>
    <row r="32" ht="18.0" customHeight="1">
      <c r="A32" s="31" t="s">
        <v>61</v>
      </c>
      <c r="B32" s="31" t="s">
        <v>62</v>
      </c>
      <c r="C32" s="31" t="s">
        <v>63</v>
      </c>
      <c r="D32" s="32">
        <v>2.2004226E7</v>
      </c>
      <c r="E32" s="33" t="s">
        <v>195</v>
      </c>
      <c r="F32" s="34">
        <v>46093.0</v>
      </c>
      <c r="G32" s="34"/>
      <c r="H32" s="34">
        <v>46075.0</v>
      </c>
      <c r="I32" s="31" t="s">
        <v>83</v>
      </c>
      <c r="J32" s="31" t="s">
        <v>76</v>
      </c>
      <c r="K32" s="31">
        <v>13.0</v>
      </c>
      <c r="L32" s="37">
        <v>847.0</v>
      </c>
      <c r="M32" s="30">
        <f t="shared" si="1"/>
        <v>65.15384615</v>
      </c>
      <c r="N32" s="38">
        <v>0.2</v>
      </c>
      <c r="O32" s="30">
        <f>IF($L32="","",$L32*IF($N32="",Settings!$J$11,$N32))</f>
        <v>169.4</v>
      </c>
      <c r="P32" s="30">
        <f t="shared" si="2"/>
        <v>1016.4</v>
      </c>
      <c r="Q32" s="31" t="s">
        <v>84</v>
      </c>
      <c r="R32" s="37"/>
      <c r="S32" s="30">
        <f>IF($L32="","",IF($Q32&lt;&gt;"Yes",0,IF($R32&lt;&gt;"",$R32,ROUND($L32*Settings!$J$4,2))))</f>
        <v>0</v>
      </c>
      <c r="T32" s="40">
        <f t="shared" si="3"/>
        <v>1016.4</v>
      </c>
      <c r="U32" s="30">
        <f t="shared" si="4"/>
        <v>508.2</v>
      </c>
      <c r="V32" s="37"/>
      <c r="W32" s="31"/>
      <c r="X32" s="34"/>
      <c r="Y32" s="37"/>
      <c r="Z32" s="31"/>
      <c r="AA32" s="34"/>
      <c r="AB32" s="37"/>
      <c r="AC32" s="31"/>
      <c r="AD32" s="34"/>
      <c r="AE32" s="30">
        <f t="shared" si="5"/>
        <v>0</v>
      </c>
      <c r="AF32" s="41">
        <f t="shared" si="6"/>
        <v>1</v>
      </c>
      <c r="AG32" s="40">
        <f t="shared" si="7"/>
        <v>0</v>
      </c>
      <c r="AH32" s="32" t="str">
        <f>IF(OR($L32="",$H32="",$AG32&lt;=0),"",MAX(0,TODAY()-($H32+Settings!$J$6)))</f>
        <v/>
      </c>
      <c r="AI32" s="37"/>
      <c r="AJ32" s="33"/>
      <c r="AK32" s="31"/>
      <c r="AL32" s="31"/>
      <c r="AM32" s="31"/>
      <c r="AN32" s="34"/>
      <c r="AO32" s="44">
        <f t="shared" si="8"/>
        <v>0</v>
      </c>
      <c r="AP32" s="48">
        <f t="shared" si="9"/>
        <v>847</v>
      </c>
      <c r="AQ32" s="33"/>
      <c r="AR32" s="49">
        <f t="shared" si="10"/>
        <v>46093</v>
      </c>
      <c r="AS32" s="49">
        <f t="shared" si="11"/>
        <v>46082</v>
      </c>
      <c r="AT32" s="32">
        <f t="shared" si="12"/>
        <v>2026</v>
      </c>
    </row>
    <row r="33" ht="18.0" customHeight="1">
      <c r="A33" s="31" t="s">
        <v>61</v>
      </c>
      <c r="B33" s="31" t="s">
        <v>62</v>
      </c>
      <c r="C33" s="31" t="s">
        <v>63</v>
      </c>
      <c r="D33" s="32">
        <v>2.2004227E7</v>
      </c>
      <c r="E33" s="33" t="s">
        <v>161</v>
      </c>
      <c r="F33" s="34">
        <v>46085.0</v>
      </c>
      <c r="G33" s="34"/>
      <c r="H33" s="34">
        <v>46077.0</v>
      </c>
      <c r="I33" s="31" t="s">
        <v>83</v>
      </c>
      <c r="J33" s="31" t="s">
        <v>76</v>
      </c>
      <c r="K33" s="31">
        <v>100.0</v>
      </c>
      <c r="L33" s="37">
        <v>7390.4</v>
      </c>
      <c r="M33" s="30">
        <f t="shared" si="1"/>
        <v>73.904</v>
      </c>
      <c r="N33" s="38">
        <v>0.2</v>
      </c>
      <c r="O33" s="30">
        <f>IF($L33="","",$L33*IF($N33="",Settings!$J$11,$N33))</f>
        <v>1478.08</v>
      </c>
      <c r="P33" s="30">
        <f t="shared" si="2"/>
        <v>8868.48</v>
      </c>
      <c r="Q33" s="31" t="s">
        <v>79</v>
      </c>
      <c r="R33" s="37"/>
      <c r="S33" s="30">
        <f>IF($L33="","",IF($Q33&lt;&gt;"Yes",0,IF($R33&lt;&gt;"",$R33,ROUND($L33*Settings!$J$4,2))))</f>
        <v>739.04</v>
      </c>
      <c r="T33" s="40">
        <f t="shared" si="3"/>
        <v>9607.52</v>
      </c>
      <c r="U33" s="30">
        <f t="shared" si="4"/>
        <v>5173.28</v>
      </c>
      <c r="V33" s="37">
        <v>6709.68</v>
      </c>
      <c r="W33" s="31" t="s">
        <v>80</v>
      </c>
      <c r="X33" s="34">
        <v>46079.0</v>
      </c>
      <c r="Y33" s="37">
        <v>2897.84</v>
      </c>
      <c r="Z33" s="31" t="s">
        <v>80</v>
      </c>
      <c r="AA33" s="34">
        <v>46079.0</v>
      </c>
      <c r="AB33" s="37"/>
      <c r="AC33" s="31"/>
      <c r="AD33" s="34"/>
      <c r="AE33" s="30">
        <f t="shared" si="5"/>
        <v>9607.52</v>
      </c>
      <c r="AF33" s="41">
        <f t="shared" si="6"/>
        <v>1</v>
      </c>
      <c r="AG33" s="40">
        <f t="shared" si="7"/>
        <v>0</v>
      </c>
      <c r="AH33" s="32" t="str">
        <f>IF(OR($L33="",$H33="",$AG33&lt;=0),"",MAX(0,TODAY()-($H33+Settings!$J$6)))</f>
        <v/>
      </c>
      <c r="AI33" s="37">
        <v>739.04</v>
      </c>
      <c r="AJ33" s="33"/>
      <c r="AK33" s="31"/>
      <c r="AL33" s="31"/>
      <c r="AM33" s="31" t="s">
        <v>80</v>
      </c>
      <c r="AN33" s="34">
        <v>46089.0</v>
      </c>
      <c r="AO33" s="44">
        <f t="shared" si="8"/>
        <v>0</v>
      </c>
      <c r="AP33" s="48">
        <f t="shared" si="9"/>
        <v>7390.4</v>
      </c>
      <c r="AQ33" s="33"/>
      <c r="AR33" s="49">
        <f t="shared" si="10"/>
        <v>46085</v>
      </c>
      <c r="AS33" s="49">
        <f t="shared" si="11"/>
        <v>46082</v>
      </c>
      <c r="AT33" s="32">
        <f t="shared" si="12"/>
        <v>2026</v>
      </c>
    </row>
    <row r="34" ht="18.0" customHeight="1">
      <c r="A34" s="31" t="s">
        <v>61</v>
      </c>
      <c r="B34" s="31" t="s">
        <v>62</v>
      </c>
      <c r="C34" s="31" t="s">
        <v>63</v>
      </c>
      <c r="D34" s="32">
        <v>2.2004228E7</v>
      </c>
      <c r="E34" s="33" t="s">
        <v>139</v>
      </c>
      <c r="F34" s="34">
        <v>46084.0</v>
      </c>
      <c r="G34" s="34"/>
      <c r="H34" s="34">
        <v>46077.0</v>
      </c>
      <c r="I34" s="31" t="s">
        <v>73</v>
      </c>
      <c r="J34" s="31" t="s">
        <v>76</v>
      </c>
      <c r="K34" s="31">
        <v>25.0</v>
      </c>
      <c r="L34" s="37">
        <v>514.0</v>
      </c>
      <c r="M34" s="30">
        <f t="shared" si="1"/>
        <v>20.56</v>
      </c>
      <c r="N34" s="38">
        <v>0.2</v>
      </c>
      <c r="O34" s="30">
        <f>IF($L34="","",$L34*IF($N34="",Settings!$J$11,$N34))</f>
        <v>102.8</v>
      </c>
      <c r="P34" s="30">
        <f t="shared" si="2"/>
        <v>616.8</v>
      </c>
      <c r="Q34" s="31" t="s">
        <v>84</v>
      </c>
      <c r="R34" s="37"/>
      <c r="S34" s="30">
        <f>IF($L34="","",IF($Q34&lt;&gt;"Yes",0,IF($R34&lt;&gt;"",$R34,ROUND($L34*Settings!$J$4,2))))</f>
        <v>0</v>
      </c>
      <c r="T34" s="40">
        <f t="shared" si="3"/>
        <v>616.8</v>
      </c>
      <c r="U34" s="30">
        <f t="shared" si="4"/>
        <v>308.4</v>
      </c>
      <c r="V34" s="37"/>
      <c r="W34" s="31"/>
      <c r="X34" s="34"/>
      <c r="Y34" s="37"/>
      <c r="Z34" s="31"/>
      <c r="AA34" s="34"/>
      <c r="AB34" s="37"/>
      <c r="AC34" s="31"/>
      <c r="AD34" s="34"/>
      <c r="AE34" s="30">
        <f t="shared" si="5"/>
        <v>0</v>
      </c>
      <c r="AF34" s="41">
        <f t="shared" si="6"/>
        <v>1</v>
      </c>
      <c r="AG34" s="40">
        <f t="shared" si="7"/>
        <v>0</v>
      </c>
      <c r="AH34" s="32" t="str">
        <f>IF(OR($L34="",$H34="",$AG34&lt;=0),"",MAX(0,TODAY()-($H34+Settings!$J$6)))</f>
        <v/>
      </c>
      <c r="AI34" s="37"/>
      <c r="AJ34" s="33"/>
      <c r="AK34" s="31"/>
      <c r="AL34" s="31"/>
      <c r="AM34" s="31"/>
      <c r="AN34" s="34"/>
      <c r="AO34" s="44">
        <f t="shared" si="8"/>
        <v>0</v>
      </c>
      <c r="AP34" s="48">
        <f t="shared" si="9"/>
        <v>514</v>
      </c>
      <c r="AQ34" s="33"/>
      <c r="AR34" s="49">
        <f t="shared" si="10"/>
        <v>46084</v>
      </c>
      <c r="AS34" s="49">
        <f t="shared" si="11"/>
        <v>46082</v>
      </c>
      <c r="AT34" s="32">
        <f t="shared" si="12"/>
        <v>2026</v>
      </c>
    </row>
    <row r="35" ht="18.0" customHeight="1">
      <c r="A35" s="31" t="s">
        <v>61</v>
      </c>
      <c r="B35" s="31" t="s">
        <v>62</v>
      </c>
      <c r="C35" s="31" t="s">
        <v>63</v>
      </c>
      <c r="D35" s="32">
        <v>2.2004229E7</v>
      </c>
      <c r="E35" s="33" t="s">
        <v>397</v>
      </c>
      <c r="F35" s="34">
        <v>46084.0</v>
      </c>
      <c r="G35" s="34"/>
      <c r="H35" s="34">
        <v>46077.0</v>
      </c>
      <c r="I35" s="31" t="s">
        <v>83</v>
      </c>
      <c r="J35" s="31" t="s">
        <v>76</v>
      </c>
      <c r="K35" s="31">
        <v>60.0</v>
      </c>
      <c r="L35" s="37">
        <v>176.0</v>
      </c>
      <c r="M35" s="30">
        <f t="shared" si="1"/>
        <v>2.933333333</v>
      </c>
      <c r="N35" s="38">
        <v>0.2</v>
      </c>
      <c r="O35" s="30">
        <f>IF($L35="","",$L35*IF($N35="",Settings!$J$11,$N35))</f>
        <v>35.2</v>
      </c>
      <c r="P35" s="30">
        <f t="shared" si="2"/>
        <v>211.2</v>
      </c>
      <c r="Q35" s="31" t="s">
        <v>84</v>
      </c>
      <c r="R35" s="37"/>
      <c r="S35" s="30">
        <f>IF($L35="","",IF($Q35&lt;&gt;"Yes",0,IF($R35&lt;&gt;"",$R35,ROUND($L35*Settings!$J$4,2))))</f>
        <v>0</v>
      </c>
      <c r="T35" s="40">
        <f t="shared" si="3"/>
        <v>211.2</v>
      </c>
      <c r="U35" s="30">
        <f t="shared" si="4"/>
        <v>105.6</v>
      </c>
      <c r="V35" s="37">
        <v>211.2</v>
      </c>
      <c r="W35" s="31" t="s">
        <v>80</v>
      </c>
      <c r="X35" s="34">
        <v>46080.0</v>
      </c>
      <c r="Y35" s="37"/>
      <c r="Z35" s="31"/>
      <c r="AA35" s="34"/>
      <c r="AB35" s="37"/>
      <c r="AC35" s="31"/>
      <c r="AD35" s="34"/>
      <c r="AE35" s="30">
        <f t="shared" si="5"/>
        <v>211.2</v>
      </c>
      <c r="AF35" s="41">
        <f t="shared" si="6"/>
        <v>1</v>
      </c>
      <c r="AG35" s="40">
        <f t="shared" si="7"/>
        <v>0</v>
      </c>
      <c r="AH35" s="32" t="str">
        <f>IF(OR($L35="",$H35="",$AG35&lt;=0),"",MAX(0,TODAY()-($H35+Settings!$J$6)))</f>
        <v/>
      </c>
      <c r="AI35" s="37"/>
      <c r="AJ35" s="33"/>
      <c r="AK35" s="31"/>
      <c r="AL35" s="31"/>
      <c r="AM35" s="31"/>
      <c r="AN35" s="34"/>
      <c r="AO35" s="44">
        <f t="shared" si="8"/>
        <v>0</v>
      </c>
      <c r="AP35" s="48">
        <f t="shared" si="9"/>
        <v>176</v>
      </c>
      <c r="AQ35" s="33"/>
      <c r="AR35" s="49">
        <f t="shared" si="10"/>
        <v>46084</v>
      </c>
      <c r="AS35" s="49">
        <f t="shared" si="11"/>
        <v>46082</v>
      </c>
      <c r="AT35" s="32">
        <f t="shared" si="12"/>
        <v>2026</v>
      </c>
    </row>
    <row r="36" ht="18.0" customHeight="1">
      <c r="A36" s="31" t="s">
        <v>61</v>
      </c>
      <c r="B36" s="31" t="s">
        <v>62</v>
      </c>
      <c r="C36" s="31" t="s">
        <v>63</v>
      </c>
      <c r="D36" s="32">
        <v>2.200423E7</v>
      </c>
      <c r="E36" s="33" t="s">
        <v>162</v>
      </c>
      <c r="F36" s="34">
        <v>46098.0</v>
      </c>
      <c r="G36" s="34"/>
      <c r="H36" s="34">
        <v>46080.0</v>
      </c>
      <c r="I36" s="31" t="s">
        <v>73</v>
      </c>
      <c r="J36" s="31" t="s">
        <v>76</v>
      </c>
      <c r="K36" s="31">
        <v>100.0</v>
      </c>
      <c r="L36" s="37">
        <v>5061.25</v>
      </c>
      <c r="M36" s="30">
        <f t="shared" si="1"/>
        <v>50.6125</v>
      </c>
      <c r="N36" s="38">
        <v>0.2</v>
      </c>
      <c r="O36" s="30">
        <f>IF($L36="","",$L36*IF($N36="",Settings!$J$11,$N36))</f>
        <v>1012.25</v>
      </c>
      <c r="P36" s="30">
        <f t="shared" si="2"/>
        <v>6073.5</v>
      </c>
      <c r="Q36" s="31" t="s">
        <v>79</v>
      </c>
      <c r="R36" s="37"/>
      <c r="S36" s="30">
        <f>IF($L36="","",IF($Q36&lt;&gt;"Yes",0,IF($R36&lt;&gt;"",$R36,ROUND($L36*Settings!$J$4,2))))</f>
        <v>506.13</v>
      </c>
      <c r="T36" s="40">
        <f t="shared" si="3"/>
        <v>6579.63</v>
      </c>
      <c r="U36" s="30">
        <f t="shared" si="4"/>
        <v>3542.88</v>
      </c>
      <c r="V36" s="37">
        <v>6579.62</v>
      </c>
      <c r="W36" s="31" t="s">
        <v>85</v>
      </c>
      <c r="X36" s="34">
        <v>46089.0</v>
      </c>
      <c r="Y36" s="37"/>
      <c r="Z36" s="31"/>
      <c r="AA36" s="34"/>
      <c r="AB36" s="37"/>
      <c r="AC36" s="31"/>
      <c r="AD36" s="34"/>
      <c r="AE36" s="30">
        <f t="shared" si="5"/>
        <v>6579.62</v>
      </c>
      <c r="AF36" s="41">
        <f t="shared" si="6"/>
        <v>1</v>
      </c>
      <c r="AG36" s="40">
        <f t="shared" si="7"/>
        <v>0</v>
      </c>
      <c r="AH36" s="32" t="str">
        <f>IF(OR($L36="",$H36="",$AG36&lt;=0),"",MAX(0,TODAY()-($H36+Settings!$J$6)))</f>
        <v/>
      </c>
      <c r="AI36" s="37">
        <v>506.13</v>
      </c>
      <c r="AJ36" s="33" t="s">
        <v>162</v>
      </c>
      <c r="AK36" s="31">
        <v>5.1073796E7</v>
      </c>
      <c r="AL36" s="31" t="s">
        <v>422</v>
      </c>
      <c r="AM36" s="31" t="s">
        <v>85</v>
      </c>
      <c r="AN36" s="34">
        <v>46125.0</v>
      </c>
      <c r="AO36" s="44">
        <f t="shared" si="8"/>
        <v>0</v>
      </c>
      <c r="AP36" s="48">
        <f t="shared" si="9"/>
        <v>5061.25</v>
      </c>
      <c r="AQ36" s="33" t="s">
        <v>424</v>
      </c>
      <c r="AR36" s="49">
        <f t="shared" si="10"/>
        <v>46098</v>
      </c>
      <c r="AS36" s="49">
        <f t="shared" si="11"/>
        <v>46082</v>
      </c>
      <c r="AT36" s="32">
        <f t="shared" si="12"/>
        <v>2026</v>
      </c>
    </row>
    <row r="37" ht="18.0" customHeight="1">
      <c r="A37" s="31" t="s">
        <v>167</v>
      </c>
      <c r="B37" s="31" t="s">
        <v>62</v>
      </c>
      <c r="C37" s="31" t="s">
        <v>63</v>
      </c>
      <c r="D37" s="32">
        <v>2.2004231E7</v>
      </c>
      <c r="E37" s="33" t="s">
        <v>204</v>
      </c>
      <c r="F37" s="34">
        <v>46079.0</v>
      </c>
      <c r="G37" s="34"/>
      <c r="H37" s="34">
        <v>46079.0</v>
      </c>
      <c r="I37" s="31" t="s">
        <v>83</v>
      </c>
      <c r="J37" s="31" t="s">
        <v>76</v>
      </c>
      <c r="K37" s="31">
        <v>70.0</v>
      </c>
      <c r="L37" s="37">
        <v>1470.0</v>
      </c>
      <c r="M37" s="30">
        <f t="shared" si="1"/>
        <v>21</v>
      </c>
      <c r="N37" s="38">
        <v>0.2</v>
      </c>
      <c r="O37" s="30">
        <f>IF($L37="","",$L37*IF($N37="",Settings!$J$11,$N37))</f>
        <v>294</v>
      </c>
      <c r="P37" s="30">
        <f t="shared" si="2"/>
        <v>1764</v>
      </c>
      <c r="Q37" s="31" t="s">
        <v>84</v>
      </c>
      <c r="R37" s="37"/>
      <c r="S37" s="30">
        <f>IF($L37="","",IF($Q37&lt;&gt;"Yes",0,IF($R37&lt;&gt;"",$R37,ROUND($L37*Settings!$J$4,2))))</f>
        <v>0</v>
      </c>
      <c r="T37" s="40">
        <f t="shared" si="3"/>
        <v>1764</v>
      </c>
      <c r="U37" s="30">
        <f t="shared" si="4"/>
        <v>882</v>
      </c>
      <c r="V37" s="37">
        <v>1764.0</v>
      </c>
      <c r="W37" s="31" t="s">
        <v>85</v>
      </c>
      <c r="X37" s="34">
        <v>46125.0</v>
      </c>
      <c r="Y37" s="37"/>
      <c r="Z37" s="31"/>
      <c r="AA37" s="34"/>
      <c r="AB37" s="37"/>
      <c r="AC37" s="31"/>
      <c r="AD37" s="34"/>
      <c r="AE37" s="30">
        <f t="shared" si="5"/>
        <v>1764</v>
      </c>
      <c r="AF37" s="41">
        <f t="shared" si="6"/>
        <v>1</v>
      </c>
      <c r="AG37" s="40">
        <f t="shared" si="7"/>
        <v>0</v>
      </c>
      <c r="AH37" s="32" t="str">
        <f>IF(OR($L37="",$H37="",$AG37&lt;=0),"",MAX(0,TODAY()-($H37+Settings!$J$6)))</f>
        <v/>
      </c>
      <c r="AI37" s="37"/>
      <c r="AJ37" s="33"/>
      <c r="AK37" s="31"/>
      <c r="AL37" s="31"/>
      <c r="AM37" s="31"/>
      <c r="AN37" s="34"/>
      <c r="AO37" s="44">
        <f t="shared" si="8"/>
        <v>0</v>
      </c>
      <c r="AP37" s="48">
        <f t="shared" si="9"/>
        <v>1470</v>
      </c>
      <c r="AQ37" s="33"/>
      <c r="AR37" s="49">
        <f t="shared" si="10"/>
        <v>46079</v>
      </c>
      <c r="AS37" s="49">
        <f t="shared" si="11"/>
        <v>46054</v>
      </c>
      <c r="AT37" s="32">
        <f t="shared" si="12"/>
        <v>2026</v>
      </c>
    </row>
    <row r="38" ht="18.0" customHeight="1">
      <c r="A38" s="31" t="s">
        <v>61</v>
      </c>
      <c r="B38" s="31" t="s">
        <v>62</v>
      </c>
      <c r="C38" s="31" t="s">
        <v>63</v>
      </c>
      <c r="D38" s="32">
        <v>2.2004232E7</v>
      </c>
      <c r="E38" s="33" t="s">
        <v>444</v>
      </c>
      <c r="F38" s="34">
        <v>46086.0</v>
      </c>
      <c r="G38" s="34"/>
      <c r="H38" s="34">
        <v>46082.0</v>
      </c>
      <c r="I38" s="31" t="s">
        <v>73</v>
      </c>
      <c r="J38" s="31" t="s">
        <v>76</v>
      </c>
      <c r="K38" s="31">
        <v>50.0</v>
      </c>
      <c r="L38" s="37">
        <v>910.0</v>
      </c>
      <c r="M38" s="30">
        <f t="shared" si="1"/>
        <v>18.2</v>
      </c>
      <c r="N38" s="38">
        <v>0.2</v>
      </c>
      <c r="O38" s="30">
        <f>IF($L38="","",$L38*IF($N38="",Settings!$J$11,$N38))</f>
        <v>182</v>
      </c>
      <c r="P38" s="30">
        <f t="shared" si="2"/>
        <v>1092</v>
      </c>
      <c r="Q38" s="31" t="s">
        <v>84</v>
      </c>
      <c r="R38" s="37"/>
      <c r="S38" s="30">
        <f>IF($L38="","",IF($Q38&lt;&gt;"Yes",0,IF($R38&lt;&gt;"",$R38,ROUND($L38*Settings!$J$4,2))))</f>
        <v>0</v>
      </c>
      <c r="T38" s="40">
        <f t="shared" si="3"/>
        <v>1092</v>
      </c>
      <c r="U38" s="30">
        <f t="shared" si="4"/>
        <v>546</v>
      </c>
      <c r="V38" s="37">
        <v>1092.0</v>
      </c>
      <c r="W38" s="31" t="s">
        <v>85</v>
      </c>
      <c r="X38" s="34">
        <v>46084.0</v>
      </c>
      <c r="Y38" s="37"/>
      <c r="Z38" s="31"/>
      <c r="AA38" s="34"/>
      <c r="AB38" s="37"/>
      <c r="AC38" s="31"/>
      <c r="AD38" s="34"/>
      <c r="AE38" s="30">
        <f t="shared" si="5"/>
        <v>1092</v>
      </c>
      <c r="AF38" s="41">
        <f t="shared" si="6"/>
        <v>1</v>
      </c>
      <c r="AG38" s="40">
        <f t="shared" si="7"/>
        <v>0</v>
      </c>
      <c r="AH38" s="32" t="str">
        <f>IF(OR($L38="",$H38="",$AG38&lt;=0),"",MAX(0,TODAY()-($H38+Settings!$J$6)))</f>
        <v/>
      </c>
      <c r="AI38" s="37"/>
      <c r="AJ38" s="33"/>
      <c r="AK38" s="31"/>
      <c r="AL38" s="31"/>
      <c r="AM38" s="31"/>
      <c r="AN38" s="34"/>
      <c r="AO38" s="44">
        <f t="shared" si="8"/>
        <v>0</v>
      </c>
      <c r="AP38" s="48">
        <f t="shared" si="9"/>
        <v>910</v>
      </c>
      <c r="AQ38" s="33"/>
      <c r="AR38" s="49">
        <f t="shared" si="10"/>
        <v>46086</v>
      </c>
      <c r="AS38" s="49">
        <f t="shared" si="11"/>
        <v>46082</v>
      </c>
      <c r="AT38" s="32">
        <f t="shared" si="12"/>
        <v>2026</v>
      </c>
    </row>
    <row r="39" ht="18.0" customHeight="1">
      <c r="A39" s="31" t="s">
        <v>167</v>
      </c>
      <c r="B39" s="31" t="s">
        <v>62</v>
      </c>
      <c r="C39" s="31" t="s">
        <v>63</v>
      </c>
      <c r="D39" s="32">
        <v>2.2004233E7</v>
      </c>
      <c r="E39" s="33" t="s">
        <v>445</v>
      </c>
      <c r="F39" s="34">
        <v>46081.0</v>
      </c>
      <c r="G39" s="34"/>
      <c r="H39" s="34">
        <v>46083.0</v>
      </c>
      <c r="I39" s="31" t="s">
        <v>83</v>
      </c>
      <c r="J39" s="31" t="s">
        <v>76</v>
      </c>
      <c r="K39" s="31">
        <v>130.0</v>
      </c>
      <c r="L39" s="37">
        <v>1430.0</v>
      </c>
      <c r="M39" s="30">
        <f t="shared" si="1"/>
        <v>11</v>
      </c>
      <c r="N39" s="38">
        <v>0.0</v>
      </c>
      <c r="O39" s="30">
        <f>IF($L39="","",$L39*IF($N39="",Settings!$J$11,$N39))</f>
        <v>0</v>
      </c>
      <c r="P39" s="30">
        <f t="shared" si="2"/>
        <v>1430</v>
      </c>
      <c r="Q39" s="31" t="s">
        <v>84</v>
      </c>
      <c r="R39" s="37"/>
      <c r="S39" s="30">
        <f>IF($L39="","",IF($Q39&lt;&gt;"Yes",0,IF($R39&lt;&gt;"",$R39,ROUND($L39*Settings!$J$4,2))))</f>
        <v>0</v>
      </c>
      <c r="T39" s="40">
        <f t="shared" si="3"/>
        <v>1430</v>
      </c>
      <c r="U39" s="30">
        <f t="shared" si="4"/>
        <v>715</v>
      </c>
      <c r="V39" s="37"/>
      <c r="W39" s="31"/>
      <c r="X39" s="34"/>
      <c r="Y39" s="37"/>
      <c r="Z39" s="31"/>
      <c r="AA39" s="34"/>
      <c r="AB39" s="37"/>
      <c r="AC39" s="31"/>
      <c r="AD39" s="34"/>
      <c r="AE39" s="30">
        <f t="shared" si="5"/>
        <v>0</v>
      </c>
      <c r="AF39" s="41">
        <f t="shared" si="6"/>
        <v>1</v>
      </c>
      <c r="AG39" s="40">
        <f t="shared" si="7"/>
        <v>0</v>
      </c>
      <c r="AH39" s="32" t="str">
        <f>IF(OR($L39="",$H39="",$AG39&lt;=0),"",MAX(0,TODAY()-($H39+Settings!$J$6)))</f>
        <v/>
      </c>
      <c r="AI39" s="37"/>
      <c r="AJ39" s="33"/>
      <c r="AK39" s="31"/>
      <c r="AL39" s="31"/>
      <c r="AM39" s="31"/>
      <c r="AN39" s="34"/>
      <c r="AO39" s="44">
        <f t="shared" si="8"/>
        <v>0</v>
      </c>
      <c r="AP39" s="48">
        <f t="shared" si="9"/>
        <v>1430</v>
      </c>
      <c r="AQ39" s="33"/>
      <c r="AR39" s="49">
        <f t="shared" si="10"/>
        <v>46081</v>
      </c>
      <c r="AS39" s="49">
        <f t="shared" si="11"/>
        <v>46054</v>
      </c>
      <c r="AT39" s="32">
        <f t="shared" si="12"/>
        <v>2026</v>
      </c>
    </row>
    <row r="40" ht="18.0" customHeight="1">
      <c r="A40" s="31" t="s">
        <v>61</v>
      </c>
      <c r="B40" s="31" t="s">
        <v>62</v>
      </c>
      <c r="C40" s="31" t="s">
        <v>63</v>
      </c>
      <c r="D40" s="32">
        <v>2.2004234E7</v>
      </c>
      <c r="E40" s="33" t="s">
        <v>152</v>
      </c>
      <c r="F40" s="34">
        <v>46106.0</v>
      </c>
      <c r="G40" s="34"/>
      <c r="H40" s="34">
        <v>46084.0</v>
      </c>
      <c r="I40" s="31" t="s">
        <v>83</v>
      </c>
      <c r="J40" s="31" t="s">
        <v>76</v>
      </c>
      <c r="K40" s="31">
        <v>30.0</v>
      </c>
      <c r="L40" s="37">
        <v>1465.0</v>
      </c>
      <c r="M40" s="30">
        <f t="shared" si="1"/>
        <v>48.83333333</v>
      </c>
      <c r="N40" s="38">
        <v>0.2</v>
      </c>
      <c r="O40" s="30">
        <f>IF($L40="","",$L40*IF($N40="",Settings!$J$11,$N40))</f>
        <v>293</v>
      </c>
      <c r="P40" s="30">
        <f t="shared" si="2"/>
        <v>1758</v>
      </c>
      <c r="Q40" s="31" t="s">
        <v>84</v>
      </c>
      <c r="R40" s="37"/>
      <c r="S40" s="30">
        <f>IF($L40="","",IF($Q40&lt;&gt;"Yes",0,IF($R40&lt;&gt;"",$R40,ROUND($L40*Settings!$J$4,2))))</f>
        <v>0</v>
      </c>
      <c r="T40" s="40">
        <f t="shared" si="3"/>
        <v>1758</v>
      </c>
      <c r="U40" s="30">
        <f t="shared" si="4"/>
        <v>879</v>
      </c>
      <c r="V40" s="37">
        <v>1758.0</v>
      </c>
      <c r="W40" s="31" t="s">
        <v>80</v>
      </c>
      <c r="X40" s="34">
        <v>46087.0</v>
      </c>
      <c r="Y40" s="37"/>
      <c r="Z40" s="31"/>
      <c r="AA40" s="34"/>
      <c r="AB40" s="37"/>
      <c r="AC40" s="31"/>
      <c r="AD40" s="34"/>
      <c r="AE40" s="30">
        <f t="shared" si="5"/>
        <v>1758</v>
      </c>
      <c r="AF40" s="41">
        <f t="shared" si="6"/>
        <v>1</v>
      </c>
      <c r="AG40" s="40">
        <f t="shared" si="7"/>
        <v>0</v>
      </c>
      <c r="AH40" s="32" t="str">
        <f>IF(OR($L40="",$H40="",$AG40&lt;=0),"",MAX(0,TODAY()-($H40+Settings!$J$6)))</f>
        <v/>
      </c>
      <c r="AI40" s="37"/>
      <c r="AJ40" s="33"/>
      <c r="AK40" s="31"/>
      <c r="AL40" s="31"/>
      <c r="AM40" s="31"/>
      <c r="AN40" s="34"/>
      <c r="AO40" s="44">
        <f t="shared" si="8"/>
        <v>0</v>
      </c>
      <c r="AP40" s="48">
        <f t="shared" si="9"/>
        <v>1465</v>
      </c>
      <c r="AQ40" s="33"/>
      <c r="AR40" s="49">
        <f t="shared" si="10"/>
        <v>46106</v>
      </c>
      <c r="AS40" s="49">
        <f t="shared" si="11"/>
        <v>46082</v>
      </c>
      <c r="AT40" s="32">
        <f t="shared" si="12"/>
        <v>2026</v>
      </c>
    </row>
    <row r="41" ht="18.0" customHeight="1">
      <c r="A41" s="31" t="s">
        <v>61</v>
      </c>
      <c r="B41" s="31" t="s">
        <v>62</v>
      </c>
      <c r="C41" s="31" t="s">
        <v>63</v>
      </c>
      <c r="D41" s="32">
        <v>2.2004235E7</v>
      </c>
      <c r="E41" s="33" t="s">
        <v>177</v>
      </c>
      <c r="F41" s="34">
        <v>46107.0</v>
      </c>
      <c r="G41" s="34"/>
      <c r="H41" s="34">
        <v>46084.0</v>
      </c>
      <c r="I41" s="31" t="s">
        <v>83</v>
      </c>
      <c r="J41" s="31" t="s">
        <v>76</v>
      </c>
      <c r="K41" s="31">
        <v>30.0</v>
      </c>
      <c r="L41" s="37">
        <v>1478.5</v>
      </c>
      <c r="M41" s="30">
        <f t="shared" si="1"/>
        <v>49.28333333</v>
      </c>
      <c r="N41" s="38">
        <v>0.2</v>
      </c>
      <c r="O41" s="30">
        <f>IF($L41="","",$L41*IF($N41="",Settings!$J$11,$N41))</f>
        <v>295.7</v>
      </c>
      <c r="P41" s="30">
        <f t="shared" si="2"/>
        <v>1774.2</v>
      </c>
      <c r="Q41" s="31" t="s">
        <v>84</v>
      </c>
      <c r="R41" s="37"/>
      <c r="S41" s="30">
        <f>IF($L41="","",IF($Q41&lt;&gt;"Yes",0,IF($R41&lt;&gt;"",$R41,ROUND($L41*Settings!$J$4,2))))</f>
        <v>0</v>
      </c>
      <c r="T41" s="40">
        <f t="shared" si="3"/>
        <v>1774.2</v>
      </c>
      <c r="U41" s="30">
        <f t="shared" si="4"/>
        <v>887.1</v>
      </c>
      <c r="V41" s="37">
        <v>1774.2</v>
      </c>
      <c r="W41" s="31" t="s">
        <v>80</v>
      </c>
      <c r="X41" s="34">
        <v>46087.0</v>
      </c>
      <c r="Y41" s="37"/>
      <c r="Z41" s="31"/>
      <c r="AA41" s="34"/>
      <c r="AB41" s="37"/>
      <c r="AC41" s="31"/>
      <c r="AD41" s="34"/>
      <c r="AE41" s="30">
        <f t="shared" si="5"/>
        <v>1774.2</v>
      </c>
      <c r="AF41" s="41">
        <f t="shared" si="6"/>
        <v>1</v>
      </c>
      <c r="AG41" s="40">
        <f t="shared" si="7"/>
        <v>0</v>
      </c>
      <c r="AH41" s="32" t="str">
        <f>IF(OR($L41="",$H41="",$AG41&lt;=0),"",MAX(0,TODAY()-($H41+Settings!$J$6)))</f>
        <v/>
      </c>
      <c r="AI41" s="37"/>
      <c r="AJ41" s="33"/>
      <c r="AK41" s="31"/>
      <c r="AL41" s="31"/>
      <c r="AM41" s="31"/>
      <c r="AN41" s="34"/>
      <c r="AO41" s="44">
        <f t="shared" si="8"/>
        <v>0</v>
      </c>
      <c r="AP41" s="48">
        <f t="shared" si="9"/>
        <v>1478.5</v>
      </c>
      <c r="AQ41" s="33"/>
      <c r="AR41" s="49">
        <f t="shared" si="10"/>
        <v>46107</v>
      </c>
      <c r="AS41" s="49">
        <f t="shared" si="11"/>
        <v>46082</v>
      </c>
      <c r="AT41" s="32">
        <f t="shared" si="12"/>
        <v>2026</v>
      </c>
    </row>
    <row r="42" ht="18.0" customHeight="1">
      <c r="A42" s="31" t="s">
        <v>61</v>
      </c>
      <c r="B42" s="31" t="s">
        <v>62</v>
      </c>
      <c r="C42" s="31" t="s">
        <v>63</v>
      </c>
      <c r="D42" s="32">
        <v>2.2004236E7</v>
      </c>
      <c r="E42" s="33" t="s">
        <v>139</v>
      </c>
      <c r="F42" s="34">
        <v>46091.0</v>
      </c>
      <c r="G42" s="34"/>
      <c r="H42" s="34">
        <v>46086.0</v>
      </c>
      <c r="I42" s="31" t="s">
        <v>83</v>
      </c>
      <c r="J42" s="31" t="s">
        <v>76</v>
      </c>
      <c r="K42" s="31">
        <v>35.0</v>
      </c>
      <c r="L42" s="37">
        <v>731.0</v>
      </c>
      <c r="M42" s="30">
        <f t="shared" si="1"/>
        <v>20.88571429</v>
      </c>
      <c r="N42" s="38">
        <v>0.2</v>
      </c>
      <c r="O42" s="30">
        <f>IF($L42="","",$L42*IF($N42="",Settings!$J$11,$N42))</f>
        <v>146.2</v>
      </c>
      <c r="P42" s="30">
        <f t="shared" si="2"/>
        <v>877.2</v>
      </c>
      <c r="Q42" s="31" t="s">
        <v>84</v>
      </c>
      <c r="R42" s="37"/>
      <c r="S42" s="30">
        <f>IF($L42="","",IF($Q42&lt;&gt;"Yes",0,IF($R42&lt;&gt;"",$R42,ROUND($L42*Settings!$J$4,2))))</f>
        <v>0</v>
      </c>
      <c r="T42" s="40">
        <f t="shared" si="3"/>
        <v>877.2</v>
      </c>
      <c r="U42" s="30">
        <f t="shared" si="4"/>
        <v>438.6</v>
      </c>
      <c r="V42" s="37">
        <v>877.2</v>
      </c>
      <c r="W42" s="31" t="s">
        <v>85</v>
      </c>
      <c r="X42" s="34">
        <v>46090.0</v>
      </c>
      <c r="Y42" s="37"/>
      <c r="Z42" s="31"/>
      <c r="AA42" s="34"/>
      <c r="AB42" s="37"/>
      <c r="AC42" s="31"/>
      <c r="AD42" s="34"/>
      <c r="AE42" s="30">
        <f t="shared" si="5"/>
        <v>877.2</v>
      </c>
      <c r="AF42" s="41">
        <f t="shared" si="6"/>
        <v>1</v>
      </c>
      <c r="AG42" s="40">
        <f t="shared" si="7"/>
        <v>0</v>
      </c>
      <c r="AH42" s="32" t="str">
        <f>IF(OR($L42="",$H42="",$AG42&lt;=0),"",MAX(0,TODAY()-($H42+Settings!$J$6)))</f>
        <v/>
      </c>
      <c r="AI42" s="37"/>
      <c r="AJ42" s="33"/>
      <c r="AK42" s="31"/>
      <c r="AL42" s="31"/>
      <c r="AM42" s="31"/>
      <c r="AN42" s="34"/>
      <c r="AO42" s="44">
        <f t="shared" si="8"/>
        <v>0</v>
      </c>
      <c r="AP42" s="48">
        <f t="shared" si="9"/>
        <v>731</v>
      </c>
      <c r="AQ42" s="33"/>
      <c r="AR42" s="49">
        <f t="shared" si="10"/>
        <v>46091</v>
      </c>
      <c r="AS42" s="49">
        <f t="shared" si="11"/>
        <v>46082</v>
      </c>
      <c r="AT42" s="32">
        <f t="shared" si="12"/>
        <v>2026</v>
      </c>
    </row>
    <row r="43" ht="18.0" customHeight="1">
      <c r="A43" s="31" t="s">
        <v>61</v>
      </c>
      <c r="B43" s="31" t="s">
        <v>62</v>
      </c>
      <c r="C43" s="31" t="s">
        <v>63</v>
      </c>
      <c r="D43" s="32">
        <v>2.2004237E7</v>
      </c>
      <c r="E43" s="33" t="s">
        <v>139</v>
      </c>
      <c r="F43" s="34">
        <v>46092.0</v>
      </c>
      <c r="G43" s="34"/>
      <c r="H43" s="34">
        <v>46090.0</v>
      </c>
      <c r="I43" s="31" t="s">
        <v>83</v>
      </c>
      <c r="J43" s="31" t="s">
        <v>76</v>
      </c>
      <c r="K43" s="31">
        <v>35.0</v>
      </c>
      <c r="L43" s="37">
        <v>731.0</v>
      </c>
      <c r="M43" s="30">
        <f t="shared" si="1"/>
        <v>20.88571429</v>
      </c>
      <c r="N43" s="38">
        <v>0.2</v>
      </c>
      <c r="O43" s="30">
        <f>IF($L43="","",$L43*IF($N43="",Settings!$J$11,$N43))</f>
        <v>146.2</v>
      </c>
      <c r="P43" s="30">
        <f t="shared" si="2"/>
        <v>877.2</v>
      </c>
      <c r="Q43" s="31" t="s">
        <v>84</v>
      </c>
      <c r="R43" s="37"/>
      <c r="S43" s="30">
        <f>IF($L43="","",IF($Q43&lt;&gt;"Yes",0,IF($R43&lt;&gt;"",$R43,ROUND($L43*Settings!$J$4,2))))</f>
        <v>0</v>
      </c>
      <c r="T43" s="40">
        <f t="shared" si="3"/>
        <v>877.2</v>
      </c>
      <c r="U43" s="30">
        <f t="shared" si="4"/>
        <v>438.6</v>
      </c>
      <c r="V43" s="37">
        <v>877.2</v>
      </c>
      <c r="W43" s="31" t="s">
        <v>85</v>
      </c>
      <c r="X43" s="34">
        <v>46090.0</v>
      </c>
      <c r="Y43" s="37"/>
      <c r="Z43" s="31"/>
      <c r="AA43" s="34"/>
      <c r="AB43" s="37"/>
      <c r="AC43" s="31"/>
      <c r="AD43" s="34"/>
      <c r="AE43" s="30">
        <f t="shared" si="5"/>
        <v>877.2</v>
      </c>
      <c r="AF43" s="41">
        <f t="shared" si="6"/>
        <v>1</v>
      </c>
      <c r="AG43" s="40">
        <f t="shared" si="7"/>
        <v>0</v>
      </c>
      <c r="AH43" s="32" t="str">
        <f>IF(OR($L43="",$H43="",$AG43&lt;=0),"",MAX(0,TODAY()-($H43+Settings!$J$6)))</f>
        <v/>
      </c>
      <c r="AI43" s="37"/>
      <c r="AJ43" s="33"/>
      <c r="AK43" s="31"/>
      <c r="AL43" s="31"/>
      <c r="AM43" s="31"/>
      <c r="AN43" s="34"/>
      <c r="AO43" s="44">
        <f t="shared" si="8"/>
        <v>0</v>
      </c>
      <c r="AP43" s="48">
        <f t="shared" si="9"/>
        <v>731</v>
      </c>
      <c r="AQ43" s="33"/>
      <c r="AR43" s="49">
        <f t="shared" si="10"/>
        <v>46092</v>
      </c>
      <c r="AS43" s="49">
        <f t="shared" si="11"/>
        <v>46082</v>
      </c>
      <c r="AT43" s="32">
        <f t="shared" si="12"/>
        <v>2026</v>
      </c>
    </row>
    <row r="44" ht="18.0" customHeight="1">
      <c r="A44" s="31" t="s">
        <v>61</v>
      </c>
      <c r="B44" s="31" t="s">
        <v>62</v>
      </c>
      <c r="C44" s="31" t="s">
        <v>63</v>
      </c>
      <c r="D44" s="32">
        <v>2.2004238E7</v>
      </c>
      <c r="E44" s="33" t="s">
        <v>163</v>
      </c>
      <c r="F44" s="34">
        <v>46103.0</v>
      </c>
      <c r="G44" s="34"/>
      <c r="H44" s="34">
        <v>46091.0</v>
      </c>
      <c r="I44" s="31" t="s">
        <v>73</v>
      </c>
      <c r="J44" s="31" t="s">
        <v>76</v>
      </c>
      <c r="K44" s="31">
        <v>43.0</v>
      </c>
      <c r="L44" s="37">
        <v>2608.0</v>
      </c>
      <c r="M44" s="30">
        <f t="shared" si="1"/>
        <v>60.65116279</v>
      </c>
      <c r="N44" s="38">
        <v>0.2</v>
      </c>
      <c r="O44" s="30">
        <f>IF($L44="","",$L44*IF($N44="",Settings!$J$11,$N44))</f>
        <v>521.6</v>
      </c>
      <c r="P44" s="30">
        <f t="shared" si="2"/>
        <v>3129.6</v>
      </c>
      <c r="Q44" s="31" t="s">
        <v>84</v>
      </c>
      <c r="R44" s="37"/>
      <c r="S44" s="30">
        <f>IF($L44="","",IF($Q44&lt;&gt;"Yes",0,IF($R44&lt;&gt;"",$R44,ROUND($L44*Settings!$J$4,2))))</f>
        <v>0</v>
      </c>
      <c r="T44" s="40">
        <f t="shared" si="3"/>
        <v>3129.6</v>
      </c>
      <c r="U44" s="30">
        <f t="shared" si="4"/>
        <v>1564.8</v>
      </c>
      <c r="V44" s="37">
        <v>3390.4</v>
      </c>
      <c r="W44" s="31" t="s">
        <v>80</v>
      </c>
      <c r="X44" s="34">
        <v>46306.0</v>
      </c>
      <c r="Y44" s="37"/>
      <c r="Z44" s="31"/>
      <c r="AA44" s="34"/>
      <c r="AB44" s="37"/>
      <c r="AC44" s="31"/>
      <c r="AD44" s="34"/>
      <c r="AE44" s="30">
        <f t="shared" si="5"/>
        <v>3390.4</v>
      </c>
      <c r="AF44" s="41">
        <f t="shared" si="6"/>
        <v>1</v>
      </c>
      <c r="AG44" s="40">
        <f t="shared" si="7"/>
        <v>0</v>
      </c>
      <c r="AH44" s="32" t="str">
        <f>IF(OR($L44="",$H44="",$AG44&lt;=0),"",MAX(0,TODAY()-($H44+Settings!$J$6)))</f>
        <v/>
      </c>
      <c r="AI44" s="37"/>
      <c r="AJ44" s="33"/>
      <c r="AK44" s="31"/>
      <c r="AL44" s="31"/>
      <c r="AM44" s="31" t="s">
        <v>80</v>
      </c>
      <c r="AN44" s="34">
        <v>46106.0</v>
      </c>
      <c r="AO44" s="44">
        <f t="shared" si="8"/>
        <v>0</v>
      </c>
      <c r="AP44" s="48">
        <f t="shared" si="9"/>
        <v>2608</v>
      </c>
      <c r="AQ44" s="33"/>
      <c r="AR44" s="49">
        <f t="shared" si="10"/>
        <v>46103</v>
      </c>
      <c r="AS44" s="49">
        <f t="shared" si="11"/>
        <v>46082</v>
      </c>
      <c r="AT44" s="32">
        <f t="shared" si="12"/>
        <v>2026</v>
      </c>
    </row>
    <row r="45" ht="18.0" customHeight="1">
      <c r="A45" s="31" t="s">
        <v>61</v>
      </c>
      <c r="B45" s="31" t="s">
        <v>62</v>
      </c>
      <c r="C45" s="31" t="s">
        <v>63</v>
      </c>
      <c r="D45" s="32">
        <v>2.2004239E7</v>
      </c>
      <c r="E45" s="33" t="s">
        <v>164</v>
      </c>
      <c r="F45" s="34">
        <v>46100.0</v>
      </c>
      <c r="G45" s="34"/>
      <c r="H45" s="34">
        <v>46093.0</v>
      </c>
      <c r="I45" s="31" t="s">
        <v>83</v>
      </c>
      <c r="J45" s="31" t="s">
        <v>76</v>
      </c>
      <c r="K45" s="31">
        <v>43.0</v>
      </c>
      <c r="L45" s="37">
        <v>1185.25</v>
      </c>
      <c r="M45" s="30">
        <f t="shared" si="1"/>
        <v>27.56395349</v>
      </c>
      <c r="N45" s="38">
        <v>0.2</v>
      </c>
      <c r="O45" s="30">
        <f>IF($L45="","",$L45*IF($N45="",Settings!$J$11,$N45))</f>
        <v>237.05</v>
      </c>
      <c r="P45" s="30">
        <f t="shared" si="2"/>
        <v>1422.3</v>
      </c>
      <c r="Q45" s="31" t="s">
        <v>84</v>
      </c>
      <c r="R45" s="37"/>
      <c r="S45" s="30">
        <f>IF($L45="","",IF($Q45&lt;&gt;"Yes",0,IF($R45&lt;&gt;"",$R45,ROUND($L45*Settings!$J$4,2))))</f>
        <v>0</v>
      </c>
      <c r="T45" s="40">
        <f t="shared" si="3"/>
        <v>1422.3</v>
      </c>
      <c r="U45" s="30">
        <f t="shared" si="4"/>
        <v>711.15</v>
      </c>
      <c r="V45" s="37">
        <v>1540.82</v>
      </c>
      <c r="W45" s="31" t="s">
        <v>80</v>
      </c>
      <c r="X45" s="34">
        <v>46093.0</v>
      </c>
      <c r="Y45" s="37"/>
      <c r="Z45" s="31"/>
      <c r="AA45" s="34"/>
      <c r="AB45" s="37"/>
      <c r="AC45" s="31"/>
      <c r="AD45" s="34"/>
      <c r="AE45" s="30">
        <f t="shared" si="5"/>
        <v>1540.82</v>
      </c>
      <c r="AF45" s="41">
        <f t="shared" si="6"/>
        <v>1</v>
      </c>
      <c r="AG45" s="40">
        <f t="shared" si="7"/>
        <v>0</v>
      </c>
      <c r="AH45" s="32" t="str">
        <f>IF(OR($L45="",$H45="",$AG45&lt;=0),"",MAX(0,TODAY()-($H45+Settings!$J$6)))</f>
        <v/>
      </c>
      <c r="AI45" s="37"/>
      <c r="AJ45" s="33"/>
      <c r="AK45" s="31"/>
      <c r="AL45" s="31"/>
      <c r="AM45" s="31" t="s">
        <v>80</v>
      </c>
      <c r="AN45" s="34">
        <v>46103.0</v>
      </c>
      <c r="AO45" s="44">
        <f t="shared" si="8"/>
        <v>0</v>
      </c>
      <c r="AP45" s="48">
        <f t="shared" si="9"/>
        <v>1185.25</v>
      </c>
      <c r="AQ45" s="33"/>
      <c r="AR45" s="49">
        <f t="shared" si="10"/>
        <v>46100</v>
      </c>
      <c r="AS45" s="49">
        <f t="shared" si="11"/>
        <v>46082</v>
      </c>
      <c r="AT45" s="32">
        <f t="shared" si="12"/>
        <v>2026</v>
      </c>
    </row>
    <row r="46" ht="18.0" customHeight="1">
      <c r="A46" s="31" t="s">
        <v>61</v>
      </c>
      <c r="B46" s="31" t="s">
        <v>62</v>
      </c>
      <c r="C46" s="31" t="s">
        <v>63</v>
      </c>
      <c r="D46" s="32">
        <v>2.200424E7</v>
      </c>
      <c r="E46" s="33" t="s">
        <v>139</v>
      </c>
      <c r="F46" s="34">
        <v>46100.0</v>
      </c>
      <c r="G46" s="34"/>
      <c r="H46" s="34">
        <v>46093.0</v>
      </c>
      <c r="I46" s="31" t="s">
        <v>83</v>
      </c>
      <c r="J46" s="31" t="s">
        <v>76</v>
      </c>
      <c r="K46" s="31">
        <v>25.0</v>
      </c>
      <c r="L46" s="37">
        <v>545.0</v>
      </c>
      <c r="M46" s="30">
        <f t="shared" si="1"/>
        <v>21.8</v>
      </c>
      <c r="N46" s="38">
        <v>0.2</v>
      </c>
      <c r="O46" s="30">
        <f>IF($L46="","",$L46*IF($N46="",Settings!$J$11,$N46))</f>
        <v>109</v>
      </c>
      <c r="P46" s="30">
        <f t="shared" si="2"/>
        <v>654</v>
      </c>
      <c r="Q46" s="31" t="s">
        <v>84</v>
      </c>
      <c r="R46" s="37"/>
      <c r="S46" s="30">
        <f>IF($L46="","",IF($Q46&lt;&gt;"Yes",0,IF($R46&lt;&gt;"",$R46,ROUND($L46*Settings!$J$4,2))))</f>
        <v>0</v>
      </c>
      <c r="T46" s="40">
        <f t="shared" si="3"/>
        <v>654</v>
      </c>
      <c r="U46" s="30">
        <f t="shared" si="4"/>
        <v>327</v>
      </c>
      <c r="V46" s="37">
        <v>654.0</v>
      </c>
      <c r="W46" s="31" t="s">
        <v>85</v>
      </c>
      <c r="X46" s="34">
        <v>46103.0</v>
      </c>
      <c r="Y46" s="37"/>
      <c r="Z46" s="31"/>
      <c r="AA46" s="34"/>
      <c r="AB46" s="37"/>
      <c r="AC46" s="31"/>
      <c r="AD46" s="34"/>
      <c r="AE46" s="30">
        <f t="shared" si="5"/>
        <v>654</v>
      </c>
      <c r="AF46" s="41">
        <f t="shared" si="6"/>
        <v>1</v>
      </c>
      <c r="AG46" s="40">
        <f t="shared" si="7"/>
        <v>0</v>
      </c>
      <c r="AH46" s="32" t="str">
        <f>IF(OR($L46="",$H46="",$AG46&lt;=0),"",MAX(0,TODAY()-($H46+Settings!$J$6)))</f>
        <v/>
      </c>
      <c r="AI46" s="37"/>
      <c r="AJ46" s="33"/>
      <c r="AK46" s="31"/>
      <c r="AL46" s="31"/>
      <c r="AM46" s="31"/>
      <c r="AN46" s="34"/>
      <c r="AO46" s="44">
        <f t="shared" si="8"/>
        <v>0</v>
      </c>
      <c r="AP46" s="48">
        <f t="shared" si="9"/>
        <v>545</v>
      </c>
      <c r="AQ46" s="33"/>
      <c r="AR46" s="49">
        <f t="shared" si="10"/>
        <v>46100</v>
      </c>
      <c r="AS46" s="49">
        <f t="shared" si="11"/>
        <v>46082</v>
      </c>
      <c r="AT46" s="32">
        <f t="shared" si="12"/>
        <v>2026</v>
      </c>
    </row>
    <row r="47" ht="18.0" customHeight="1">
      <c r="A47" s="31" t="s">
        <v>61</v>
      </c>
      <c r="B47" s="31" t="s">
        <v>62</v>
      </c>
      <c r="C47" s="31" t="s">
        <v>63</v>
      </c>
      <c r="D47" s="32">
        <v>2.2004241E7</v>
      </c>
      <c r="E47" s="33" t="s">
        <v>139</v>
      </c>
      <c r="F47" s="34">
        <v>46106.0</v>
      </c>
      <c r="G47" s="34"/>
      <c r="H47" s="34">
        <v>46093.0</v>
      </c>
      <c r="I47" s="31" t="s">
        <v>83</v>
      </c>
      <c r="J47" s="31" t="s">
        <v>76</v>
      </c>
      <c r="K47" s="31">
        <v>40.0</v>
      </c>
      <c r="L47" s="37">
        <v>576.0</v>
      </c>
      <c r="M47" s="30">
        <f t="shared" si="1"/>
        <v>14.4</v>
      </c>
      <c r="N47" s="38">
        <v>0.2</v>
      </c>
      <c r="O47" s="30">
        <f>IF($L47="","",$L47*IF($N47="",Settings!$J$11,$N47))</f>
        <v>115.2</v>
      </c>
      <c r="P47" s="30">
        <f t="shared" si="2"/>
        <v>691.2</v>
      </c>
      <c r="Q47" s="31" t="s">
        <v>84</v>
      </c>
      <c r="R47" s="37"/>
      <c r="S47" s="30">
        <f>IF($L47="","",IF($Q47&lt;&gt;"Yes",0,IF($R47&lt;&gt;"",$R47,ROUND($L47*Settings!$J$4,2))))</f>
        <v>0</v>
      </c>
      <c r="T47" s="40">
        <f t="shared" si="3"/>
        <v>691.2</v>
      </c>
      <c r="U47" s="30">
        <f t="shared" si="4"/>
        <v>345.6</v>
      </c>
      <c r="V47" s="37">
        <v>691.2</v>
      </c>
      <c r="W47" s="31" t="s">
        <v>85</v>
      </c>
      <c r="X47" s="34">
        <v>46103.0</v>
      </c>
      <c r="Y47" s="37"/>
      <c r="Z47" s="31"/>
      <c r="AA47" s="34"/>
      <c r="AB47" s="37"/>
      <c r="AC47" s="31"/>
      <c r="AD47" s="34"/>
      <c r="AE47" s="30">
        <f t="shared" si="5"/>
        <v>691.2</v>
      </c>
      <c r="AF47" s="41">
        <f t="shared" si="6"/>
        <v>1</v>
      </c>
      <c r="AG47" s="40">
        <f t="shared" si="7"/>
        <v>0</v>
      </c>
      <c r="AH47" s="32" t="str">
        <f>IF(OR($L47="",$H47="",$AG47&lt;=0),"",MAX(0,TODAY()-($H47+Settings!$J$6)))</f>
        <v/>
      </c>
      <c r="AI47" s="37"/>
      <c r="AJ47" s="33"/>
      <c r="AK47" s="31"/>
      <c r="AL47" s="31"/>
      <c r="AM47" s="31"/>
      <c r="AN47" s="34"/>
      <c r="AO47" s="44">
        <f t="shared" si="8"/>
        <v>0</v>
      </c>
      <c r="AP47" s="48">
        <f t="shared" si="9"/>
        <v>576</v>
      </c>
      <c r="AQ47" s="33"/>
      <c r="AR47" s="49">
        <f t="shared" si="10"/>
        <v>46106</v>
      </c>
      <c r="AS47" s="49">
        <f t="shared" si="11"/>
        <v>46082</v>
      </c>
      <c r="AT47" s="32">
        <f t="shared" si="12"/>
        <v>2026</v>
      </c>
    </row>
    <row r="48" ht="18.0" customHeight="1">
      <c r="A48" s="31" t="s">
        <v>61</v>
      </c>
      <c r="B48" s="31" t="s">
        <v>62</v>
      </c>
      <c r="C48" s="31" t="s">
        <v>63</v>
      </c>
      <c r="D48" s="32">
        <v>2.2004242E7</v>
      </c>
      <c r="E48" s="33" t="s">
        <v>165</v>
      </c>
      <c r="F48" s="34">
        <v>46122.0</v>
      </c>
      <c r="G48" s="34"/>
      <c r="H48" s="34">
        <v>46094.0</v>
      </c>
      <c r="I48" s="31" t="s">
        <v>73</v>
      </c>
      <c r="J48" s="31" t="s">
        <v>76</v>
      </c>
      <c r="K48" s="31">
        <v>16.0</v>
      </c>
      <c r="L48" s="37">
        <v>1362.6</v>
      </c>
      <c r="M48" s="30">
        <f t="shared" si="1"/>
        <v>85.1625</v>
      </c>
      <c r="N48" s="38">
        <v>0.2</v>
      </c>
      <c r="O48" s="30">
        <f>IF($L48="","",$L48*IF($N48="",Settings!$J$11,$N48))</f>
        <v>272.52</v>
      </c>
      <c r="P48" s="30">
        <f t="shared" si="2"/>
        <v>1635.12</v>
      </c>
      <c r="Q48" s="31" t="s">
        <v>84</v>
      </c>
      <c r="R48" s="37"/>
      <c r="S48" s="30">
        <f>IF($L48="","",IF($Q48&lt;&gt;"Yes",0,IF($R48&lt;&gt;"",$R48,ROUND($L48*Settings!$J$4,2))))</f>
        <v>0</v>
      </c>
      <c r="T48" s="40">
        <f t="shared" si="3"/>
        <v>1635.12</v>
      </c>
      <c r="U48" s="30">
        <f t="shared" si="4"/>
        <v>817.56</v>
      </c>
      <c r="V48" s="37"/>
      <c r="W48" s="31"/>
      <c r="X48" s="34"/>
      <c r="Y48" s="37"/>
      <c r="Z48" s="31"/>
      <c r="AA48" s="34"/>
      <c r="AB48" s="37"/>
      <c r="AC48" s="31"/>
      <c r="AD48" s="34"/>
      <c r="AE48" s="30">
        <f t="shared" si="5"/>
        <v>0</v>
      </c>
      <c r="AF48" s="41">
        <f t="shared" si="6"/>
        <v>1</v>
      </c>
      <c r="AG48" s="40">
        <f t="shared" si="7"/>
        <v>0</v>
      </c>
      <c r="AH48" s="32" t="str">
        <f>IF(OR($L48="",$H48="",$AG48&lt;=0),"",MAX(0,TODAY()-($H48+Settings!$J$6)))</f>
        <v/>
      </c>
      <c r="AI48" s="37"/>
      <c r="AJ48" s="33" t="s">
        <v>496</v>
      </c>
      <c r="AK48" s="31" t="s">
        <v>497</v>
      </c>
      <c r="AL48" s="31">
        <v>3.8550989E7</v>
      </c>
      <c r="AM48" s="31" t="s">
        <v>85</v>
      </c>
      <c r="AN48" s="34">
        <v>46138.0</v>
      </c>
      <c r="AO48" s="44">
        <f t="shared" si="8"/>
        <v>0</v>
      </c>
      <c r="AP48" s="48">
        <f t="shared" si="9"/>
        <v>1362.6</v>
      </c>
      <c r="AQ48" s="33"/>
      <c r="AR48" s="49">
        <f t="shared" si="10"/>
        <v>46122</v>
      </c>
      <c r="AS48" s="49">
        <f t="shared" si="11"/>
        <v>46113</v>
      </c>
      <c r="AT48" s="32">
        <f t="shared" si="12"/>
        <v>2026</v>
      </c>
    </row>
    <row r="49" ht="18.0" customHeight="1">
      <c r="A49" s="31" t="s">
        <v>61</v>
      </c>
      <c r="B49" s="31" t="s">
        <v>62</v>
      </c>
      <c r="C49" s="31" t="s">
        <v>63</v>
      </c>
      <c r="D49" s="32">
        <v>2.2004243E7</v>
      </c>
      <c r="E49" s="33" t="s">
        <v>499</v>
      </c>
      <c r="F49" s="34">
        <v>46106.0</v>
      </c>
      <c r="G49" s="34"/>
      <c r="H49" s="34">
        <v>46094.0</v>
      </c>
      <c r="I49" s="31" t="s">
        <v>73</v>
      </c>
      <c r="J49" s="31" t="s">
        <v>76</v>
      </c>
      <c r="K49" s="31">
        <v>50.0</v>
      </c>
      <c r="L49" s="37">
        <v>1378.5</v>
      </c>
      <c r="M49" s="30">
        <f t="shared" si="1"/>
        <v>27.57</v>
      </c>
      <c r="N49" s="38">
        <v>0.2</v>
      </c>
      <c r="O49" s="30">
        <f>IF($L49="","",$L49*IF($N49="",Settings!$J$11,$N49))</f>
        <v>275.7</v>
      </c>
      <c r="P49" s="30">
        <f t="shared" si="2"/>
        <v>1654.2</v>
      </c>
      <c r="Q49" s="31" t="s">
        <v>84</v>
      </c>
      <c r="R49" s="37"/>
      <c r="S49" s="30">
        <f>IF($L49="","",IF($Q49&lt;&gt;"Yes",0,IF($R49&lt;&gt;"",$R49,ROUND($L49*Settings!$J$4,2))))</f>
        <v>0</v>
      </c>
      <c r="T49" s="40">
        <f t="shared" si="3"/>
        <v>1654.2</v>
      </c>
      <c r="U49" s="30">
        <f t="shared" si="4"/>
        <v>827.1</v>
      </c>
      <c r="V49" s="37"/>
      <c r="W49" s="31"/>
      <c r="X49" s="34"/>
      <c r="Y49" s="37"/>
      <c r="Z49" s="31"/>
      <c r="AA49" s="34"/>
      <c r="AB49" s="37"/>
      <c r="AC49" s="31"/>
      <c r="AD49" s="34"/>
      <c r="AE49" s="30">
        <f t="shared" si="5"/>
        <v>0</v>
      </c>
      <c r="AF49" s="41">
        <f t="shared" si="6"/>
        <v>1</v>
      </c>
      <c r="AG49" s="40">
        <f t="shared" si="7"/>
        <v>0</v>
      </c>
      <c r="AH49" s="32" t="str">
        <f>IF(OR($L49="",$H49="",$AG49&lt;=0),"",MAX(0,TODAY()-($H49+Settings!$J$6)))</f>
        <v/>
      </c>
      <c r="AI49" s="37"/>
      <c r="AJ49" s="33"/>
      <c r="AK49" s="31"/>
      <c r="AL49" s="31"/>
      <c r="AM49" s="31"/>
      <c r="AN49" s="34"/>
      <c r="AO49" s="44">
        <f t="shared" si="8"/>
        <v>0</v>
      </c>
      <c r="AP49" s="48">
        <f t="shared" si="9"/>
        <v>1378.5</v>
      </c>
      <c r="AQ49" s="33"/>
      <c r="AR49" s="49">
        <f t="shared" si="10"/>
        <v>46106</v>
      </c>
      <c r="AS49" s="49">
        <f t="shared" si="11"/>
        <v>46082</v>
      </c>
      <c r="AT49" s="32">
        <f t="shared" si="12"/>
        <v>2026</v>
      </c>
    </row>
    <row r="50" ht="18.0" customHeight="1">
      <c r="A50" s="31" t="s">
        <v>167</v>
      </c>
      <c r="B50" s="31" t="s">
        <v>62</v>
      </c>
      <c r="C50" s="31" t="s">
        <v>63</v>
      </c>
      <c r="D50" s="32">
        <v>2.2004244E7</v>
      </c>
      <c r="E50" s="33" t="s">
        <v>166</v>
      </c>
      <c r="F50" s="34">
        <v>46105.0</v>
      </c>
      <c r="G50" s="34"/>
      <c r="H50" s="34">
        <v>46099.0</v>
      </c>
      <c r="I50" s="31" t="s">
        <v>83</v>
      </c>
      <c r="J50" s="31" t="s">
        <v>76</v>
      </c>
      <c r="K50" s="31">
        <v>80.0</v>
      </c>
      <c r="L50" s="37">
        <v>3599.0</v>
      </c>
      <c r="M50" s="30">
        <f t="shared" si="1"/>
        <v>44.9875</v>
      </c>
      <c r="N50" s="38">
        <v>0.2</v>
      </c>
      <c r="O50" s="30">
        <f>IF($L50="","",$L50*IF($N50="",Settings!$J$11,$N50))</f>
        <v>719.8</v>
      </c>
      <c r="P50" s="30">
        <f t="shared" si="2"/>
        <v>4318.8</v>
      </c>
      <c r="Q50" s="31" t="s">
        <v>84</v>
      </c>
      <c r="R50" s="37"/>
      <c r="S50" s="30">
        <f>IF($L50="","",IF($Q50&lt;&gt;"Yes",0,IF($R50&lt;&gt;"",$R50,ROUND($L50*Settings!$J$4,2))))</f>
        <v>0</v>
      </c>
      <c r="T50" s="40">
        <f t="shared" si="3"/>
        <v>4318.8</v>
      </c>
      <c r="U50" s="30">
        <f t="shared" si="4"/>
        <v>2159.4</v>
      </c>
      <c r="V50" s="37">
        <v>4318.8</v>
      </c>
      <c r="W50" s="31" t="s">
        <v>80</v>
      </c>
      <c r="X50" s="34">
        <v>46100.0</v>
      </c>
      <c r="Y50" s="37"/>
      <c r="Z50" s="31"/>
      <c r="AA50" s="34"/>
      <c r="AB50" s="37"/>
      <c r="AC50" s="31"/>
      <c r="AD50" s="34"/>
      <c r="AE50" s="30">
        <f t="shared" si="5"/>
        <v>4318.8</v>
      </c>
      <c r="AF50" s="41">
        <f t="shared" si="6"/>
        <v>1</v>
      </c>
      <c r="AG50" s="40">
        <f t="shared" si="7"/>
        <v>0</v>
      </c>
      <c r="AH50" s="32" t="str">
        <f>IF(OR($L50="",$H50="",$AG50&lt;=0),"",MAX(0,TODAY()-($H50+Settings!$J$6)))</f>
        <v/>
      </c>
      <c r="AI50" s="37"/>
      <c r="AJ50" s="33"/>
      <c r="AK50" s="31"/>
      <c r="AL50" s="31"/>
      <c r="AM50" s="31"/>
      <c r="AN50" s="34">
        <v>46106.0</v>
      </c>
      <c r="AO50" s="44">
        <f t="shared" si="8"/>
        <v>0</v>
      </c>
      <c r="AP50" s="48">
        <f t="shared" si="9"/>
        <v>3599</v>
      </c>
      <c r="AQ50" s="33"/>
      <c r="AR50" s="49">
        <f t="shared" si="10"/>
        <v>46105</v>
      </c>
      <c r="AS50" s="49">
        <f t="shared" si="11"/>
        <v>46082</v>
      </c>
      <c r="AT50" s="32">
        <f t="shared" si="12"/>
        <v>2026</v>
      </c>
    </row>
    <row r="51" ht="18.0" customHeight="1">
      <c r="A51" s="31" t="s">
        <v>167</v>
      </c>
      <c r="B51" s="31" t="s">
        <v>62</v>
      </c>
      <c r="C51" s="31" t="s">
        <v>63</v>
      </c>
      <c r="D51" s="32">
        <v>2.2004245E7</v>
      </c>
      <c r="E51" s="33" t="s">
        <v>518</v>
      </c>
      <c r="F51" s="34">
        <v>46106.0</v>
      </c>
      <c r="G51" s="34"/>
      <c r="H51" s="34">
        <v>46100.0</v>
      </c>
      <c r="I51" s="31" t="s">
        <v>73</v>
      </c>
      <c r="J51" s="31" t="s">
        <v>76</v>
      </c>
      <c r="K51" s="31">
        <v>40.0</v>
      </c>
      <c r="L51" s="37">
        <v>880.0</v>
      </c>
      <c r="M51" s="30">
        <f t="shared" si="1"/>
        <v>22</v>
      </c>
      <c r="N51" s="38">
        <v>0.2</v>
      </c>
      <c r="O51" s="30">
        <f>IF($L51="","",$L51*IF($N51="",Settings!$J$11,$N51))</f>
        <v>176</v>
      </c>
      <c r="P51" s="30">
        <f t="shared" si="2"/>
        <v>1056</v>
      </c>
      <c r="Q51" s="31" t="s">
        <v>84</v>
      </c>
      <c r="R51" s="37"/>
      <c r="S51" s="30">
        <f>IF($L51="","",IF($Q51&lt;&gt;"Yes",0,IF($R51&lt;&gt;"",$R51,ROUND($L51*Settings!$J$4,2))))</f>
        <v>0</v>
      </c>
      <c r="T51" s="40">
        <f t="shared" si="3"/>
        <v>1056</v>
      </c>
      <c r="U51" s="30">
        <f t="shared" si="4"/>
        <v>528</v>
      </c>
      <c r="V51" s="37"/>
      <c r="W51" s="31"/>
      <c r="X51" s="34"/>
      <c r="Y51" s="37"/>
      <c r="Z51" s="31"/>
      <c r="AA51" s="34"/>
      <c r="AB51" s="37"/>
      <c r="AC51" s="31"/>
      <c r="AD51" s="34"/>
      <c r="AE51" s="30">
        <f t="shared" si="5"/>
        <v>0</v>
      </c>
      <c r="AF51" s="41">
        <f t="shared" si="6"/>
        <v>1</v>
      </c>
      <c r="AG51" s="40">
        <f t="shared" si="7"/>
        <v>0</v>
      </c>
      <c r="AH51" s="32" t="str">
        <f>IF(OR($L51="",$H51="",$AG51&lt;=0),"",MAX(0,TODAY()-($H51+Settings!$J$6)))</f>
        <v/>
      </c>
      <c r="AI51" s="37"/>
      <c r="AJ51" s="33"/>
      <c r="AK51" s="31"/>
      <c r="AL51" s="31"/>
      <c r="AM51" s="31"/>
      <c r="AN51" s="34"/>
      <c r="AO51" s="44">
        <f t="shared" si="8"/>
        <v>0</v>
      </c>
      <c r="AP51" s="48">
        <f t="shared" si="9"/>
        <v>880</v>
      </c>
      <c r="AQ51" s="33"/>
      <c r="AR51" s="49">
        <f t="shared" si="10"/>
        <v>46106</v>
      </c>
      <c r="AS51" s="49">
        <f t="shared" si="11"/>
        <v>46082</v>
      </c>
      <c r="AT51" s="32">
        <f t="shared" si="12"/>
        <v>2026</v>
      </c>
    </row>
    <row r="52" ht="18.0" customHeight="1">
      <c r="A52" s="31" t="s">
        <v>167</v>
      </c>
      <c r="B52" s="31" t="s">
        <v>62</v>
      </c>
      <c r="C52" s="31" t="s">
        <v>63</v>
      </c>
      <c r="D52" s="32">
        <v>2.2004246E7</v>
      </c>
      <c r="E52" s="33" t="s">
        <v>168</v>
      </c>
      <c r="F52" s="34">
        <v>46119.0</v>
      </c>
      <c r="G52" s="34"/>
      <c r="H52" s="34">
        <v>46101.0</v>
      </c>
      <c r="I52" s="31" t="s">
        <v>73</v>
      </c>
      <c r="J52" s="31" t="s">
        <v>76</v>
      </c>
      <c r="K52" s="31">
        <v>40.0</v>
      </c>
      <c r="L52" s="37">
        <v>4046.2</v>
      </c>
      <c r="M52" s="30">
        <f t="shared" si="1"/>
        <v>101.155</v>
      </c>
      <c r="N52" s="38">
        <v>0.2</v>
      </c>
      <c r="O52" s="30">
        <f>IF($L52="","",$L52*IF($N52="",Settings!$J$11,$N52))</f>
        <v>809.24</v>
      </c>
      <c r="P52" s="30">
        <f t="shared" si="2"/>
        <v>4855.44</v>
      </c>
      <c r="Q52" s="31" t="s">
        <v>79</v>
      </c>
      <c r="R52" s="37"/>
      <c r="S52" s="30">
        <f>IF($L52="","",IF($Q52&lt;&gt;"Yes",0,IF($R52&lt;&gt;"",$R52,ROUND($L52*Settings!$J$4,2))))</f>
        <v>404.62</v>
      </c>
      <c r="T52" s="40">
        <f t="shared" si="3"/>
        <v>5260.06</v>
      </c>
      <c r="U52" s="30">
        <f t="shared" si="4"/>
        <v>2832.34</v>
      </c>
      <c r="V52" s="37">
        <v>5255.44</v>
      </c>
      <c r="W52" s="31" t="s">
        <v>85</v>
      </c>
      <c r="X52" s="34">
        <v>46112.0</v>
      </c>
      <c r="Y52" s="37"/>
      <c r="Z52" s="31"/>
      <c r="AA52" s="34"/>
      <c r="AB52" s="37"/>
      <c r="AC52" s="31"/>
      <c r="AD52" s="34"/>
      <c r="AE52" s="30">
        <f t="shared" si="5"/>
        <v>5255.44</v>
      </c>
      <c r="AF52" s="41">
        <f t="shared" si="6"/>
        <v>1</v>
      </c>
      <c r="AG52" s="40">
        <f t="shared" si="7"/>
        <v>0</v>
      </c>
      <c r="AH52" s="32" t="str">
        <f>IF(OR($L52="",$H52="",$AG52&lt;=0),"",MAX(0,TODAY()-($H52+Settings!$J$6)))</f>
        <v/>
      </c>
      <c r="AI52" s="37">
        <v>404.62</v>
      </c>
      <c r="AJ52" s="33" t="s">
        <v>523</v>
      </c>
      <c r="AK52" s="31" t="s">
        <v>524</v>
      </c>
      <c r="AL52" s="31">
        <v>6.9607451E7</v>
      </c>
      <c r="AM52" s="31" t="s">
        <v>85</v>
      </c>
      <c r="AN52" s="34">
        <v>46138.0</v>
      </c>
      <c r="AO52" s="44">
        <f t="shared" si="8"/>
        <v>0</v>
      </c>
      <c r="AP52" s="48">
        <f t="shared" si="9"/>
        <v>4046.2</v>
      </c>
      <c r="AQ52" s="33"/>
      <c r="AR52" s="49">
        <f t="shared" si="10"/>
        <v>46119</v>
      </c>
      <c r="AS52" s="49">
        <f t="shared" si="11"/>
        <v>46113</v>
      </c>
      <c r="AT52" s="32">
        <f t="shared" si="12"/>
        <v>2026</v>
      </c>
    </row>
    <row r="53" ht="18.0" customHeight="1">
      <c r="A53" s="31" t="s">
        <v>61</v>
      </c>
      <c r="B53" s="31" t="s">
        <v>62</v>
      </c>
      <c r="C53" s="31" t="s">
        <v>63</v>
      </c>
      <c r="D53" s="32">
        <v>2.2004247E7</v>
      </c>
      <c r="E53" s="33" t="s">
        <v>169</v>
      </c>
      <c r="F53" s="34">
        <v>46120.0</v>
      </c>
      <c r="G53" s="34"/>
      <c r="H53" s="34">
        <v>46103.0</v>
      </c>
      <c r="I53" s="31" t="s">
        <v>73</v>
      </c>
      <c r="J53" s="31" t="s">
        <v>76</v>
      </c>
      <c r="K53" s="31">
        <v>60.0</v>
      </c>
      <c r="L53" s="37">
        <v>10683.0</v>
      </c>
      <c r="M53" s="30">
        <f t="shared" si="1"/>
        <v>178.05</v>
      </c>
      <c r="N53" s="38">
        <v>0.2</v>
      </c>
      <c r="O53" s="30">
        <f>IF($L53="","",$L53*IF($N53="",Settings!$J$11,$N53))</f>
        <v>2136.6</v>
      </c>
      <c r="P53" s="30">
        <f t="shared" si="2"/>
        <v>12819.6</v>
      </c>
      <c r="Q53" s="31" t="s">
        <v>84</v>
      </c>
      <c r="R53" s="37"/>
      <c r="S53" s="30">
        <f>IF($L53="","",IF($Q53&lt;&gt;"Yes",0,IF($R53&lt;&gt;"",$R53,ROUND($L53*Settings!$J$4,2))))</f>
        <v>0</v>
      </c>
      <c r="T53" s="40">
        <f t="shared" si="3"/>
        <v>12819.6</v>
      </c>
      <c r="U53" s="30">
        <f t="shared" si="4"/>
        <v>6409.8</v>
      </c>
      <c r="V53" s="37">
        <v>13887.9</v>
      </c>
      <c r="W53" s="31" t="s">
        <v>80</v>
      </c>
      <c r="X53" s="34">
        <v>46106.0</v>
      </c>
      <c r="Y53" s="37"/>
      <c r="Z53" s="31"/>
      <c r="AA53" s="34"/>
      <c r="AB53" s="37"/>
      <c r="AC53" s="31"/>
      <c r="AD53" s="34"/>
      <c r="AE53" s="30">
        <f t="shared" si="5"/>
        <v>13887.9</v>
      </c>
      <c r="AF53" s="41">
        <f t="shared" si="6"/>
        <v>1</v>
      </c>
      <c r="AG53" s="40">
        <f t="shared" si="7"/>
        <v>0</v>
      </c>
      <c r="AH53" s="32" t="str">
        <f>IF(OR($L53="",$H53="",$AG53&lt;=0),"",MAX(0,TODAY()-($H53+Settings!$J$6)))</f>
        <v/>
      </c>
      <c r="AI53" s="37"/>
      <c r="AJ53" s="33"/>
      <c r="AK53" s="31"/>
      <c r="AL53" s="31"/>
      <c r="AM53" s="31" t="s">
        <v>80</v>
      </c>
      <c r="AN53" s="34">
        <v>46126.0</v>
      </c>
      <c r="AO53" s="44">
        <f t="shared" si="8"/>
        <v>0</v>
      </c>
      <c r="AP53" s="48">
        <f t="shared" si="9"/>
        <v>10683</v>
      </c>
      <c r="AQ53" s="33"/>
      <c r="AR53" s="49">
        <f t="shared" si="10"/>
        <v>46120</v>
      </c>
      <c r="AS53" s="49">
        <f t="shared" si="11"/>
        <v>46113</v>
      </c>
      <c r="AT53" s="32">
        <f t="shared" si="12"/>
        <v>2026</v>
      </c>
    </row>
    <row r="54" ht="18.0" customHeight="1">
      <c r="A54" s="31" t="s">
        <v>61</v>
      </c>
      <c r="B54" s="31" t="s">
        <v>62</v>
      </c>
      <c r="C54" s="31" t="s">
        <v>63</v>
      </c>
      <c r="D54" s="32">
        <v>2.2004248E7</v>
      </c>
      <c r="E54" s="33" t="s">
        <v>139</v>
      </c>
      <c r="F54" s="34">
        <v>46106.0</v>
      </c>
      <c r="G54" s="34"/>
      <c r="H54" s="34">
        <v>46105.0</v>
      </c>
      <c r="I54" s="31" t="s">
        <v>83</v>
      </c>
      <c r="J54" s="31" t="s">
        <v>76</v>
      </c>
      <c r="K54" s="31">
        <v>40.0</v>
      </c>
      <c r="L54" s="37">
        <v>124.0</v>
      </c>
      <c r="M54" s="30">
        <f t="shared" si="1"/>
        <v>3.1</v>
      </c>
      <c r="N54" s="38">
        <v>0.2</v>
      </c>
      <c r="O54" s="30">
        <f>IF($L54="","",$L54*IF($N54="",Settings!$J$11,$N54))</f>
        <v>24.8</v>
      </c>
      <c r="P54" s="30">
        <f t="shared" si="2"/>
        <v>148.8</v>
      </c>
      <c r="Q54" s="31" t="s">
        <v>84</v>
      </c>
      <c r="R54" s="37"/>
      <c r="S54" s="30">
        <f>IF($L54="","",IF($Q54&lt;&gt;"Yes",0,IF($R54&lt;&gt;"",$R54,ROUND($L54*Settings!$J$4,2))))</f>
        <v>0</v>
      </c>
      <c r="T54" s="40">
        <f t="shared" si="3"/>
        <v>148.8</v>
      </c>
      <c r="U54" s="30">
        <f t="shared" si="4"/>
        <v>74.4</v>
      </c>
      <c r="V54" s="37"/>
      <c r="W54" s="31"/>
      <c r="X54" s="34"/>
      <c r="Y54" s="37"/>
      <c r="Z54" s="31"/>
      <c r="AA54" s="34"/>
      <c r="AB54" s="37"/>
      <c r="AC54" s="31"/>
      <c r="AD54" s="34"/>
      <c r="AE54" s="30">
        <f t="shared" si="5"/>
        <v>0</v>
      </c>
      <c r="AF54" s="41">
        <f t="shared" si="6"/>
        <v>1</v>
      </c>
      <c r="AG54" s="40">
        <f t="shared" si="7"/>
        <v>0</v>
      </c>
      <c r="AH54" s="32" t="str">
        <f>IF(OR($L54="",$H54="",$AG54&lt;=0),"",MAX(0,TODAY()-($H54+Settings!$J$6)))</f>
        <v/>
      </c>
      <c r="AI54" s="37"/>
      <c r="AJ54" s="33"/>
      <c r="AK54" s="31"/>
      <c r="AL54" s="31"/>
      <c r="AM54" s="31"/>
      <c r="AN54" s="34"/>
      <c r="AO54" s="44">
        <f t="shared" si="8"/>
        <v>0</v>
      </c>
      <c r="AP54" s="48">
        <f t="shared" si="9"/>
        <v>124</v>
      </c>
      <c r="AQ54" s="33"/>
      <c r="AR54" s="49">
        <f t="shared" si="10"/>
        <v>46106</v>
      </c>
      <c r="AS54" s="49">
        <f t="shared" si="11"/>
        <v>46082</v>
      </c>
      <c r="AT54" s="32">
        <f t="shared" si="12"/>
        <v>2026</v>
      </c>
    </row>
    <row r="55" ht="18.0" customHeight="1">
      <c r="A55" s="31" t="s">
        <v>167</v>
      </c>
      <c r="B55" s="31" t="s">
        <v>62</v>
      </c>
      <c r="C55" s="31" t="s">
        <v>63</v>
      </c>
      <c r="D55" s="32">
        <v>2.2004249E7</v>
      </c>
      <c r="E55" s="33" t="s">
        <v>176</v>
      </c>
      <c r="F55" s="34">
        <v>46105.0</v>
      </c>
      <c r="G55" s="34"/>
      <c r="H55" s="34">
        <v>46105.0</v>
      </c>
      <c r="I55" s="31" t="s">
        <v>83</v>
      </c>
      <c r="J55" s="31" t="s">
        <v>76</v>
      </c>
      <c r="K55" s="31"/>
      <c r="L55" s="37">
        <v>3414.0</v>
      </c>
      <c r="M55" s="30" t="str">
        <f t="shared" si="1"/>
        <v/>
      </c>
      <c r="N55" s="38">
        <v>0.2</v>
      </c>
      <c r="O55" s="30">
        <f>IF($L55="","",$L55*IF($N55="",Settings!$J$11,$N55))</f>
        <v>682.8</v>
      </c>
      <c r="P55" s="30">
        <f t="shared" si="2"/>
        <v>4096.8</v>
      </c>
      <c r="Q55" s="31" t="s">
        <v>84</v>
      </c>
      <c r="R55" s="37"/>
      <c r="S55" s="30">
        <f>IF($L55="","",IF($Q55&lt;&gt;"Yes",0,IF($R55&lt;&gt;"",$R55,ROUND($L55*Settings!$J$4,2))))</f>
        <v>0</v>
      </c>
      <c r="T55" s="40">
        <f t="shared" si="3"/>
        <v>4096.8</v>
      </c>
      <c r="U55" s="30">
        <f t="shared" si="4"/>
        <v>2048.4</v>
      </c>
      <c r="V55" s="37">
        <v>4096.8</v>
      </c>
      <c r="W55" s="31" t="s">
        <v>85</v>
      </c>
      <c r="X55" s="34">
        <v>46112.0</v>
      </c>
      <c r="Y55" s="37"/>
      <c r="Z55" s="31"/>
      <c r="AA55" s="34"/>
      <c r="AB55" s="37"/>
      <c r="AC55" s="31"/>
      <c r="AD55" s="34"/>
      <c r="AE55" s="30">
        <f t="shared" si="5"/>
        <v>4096.8</v>
      </c>
      <c r="AF55" s="41">
        <f t="shared" si="6"/>
        <v>1</v>
      </c>
      <c r="AG55" s="40">
        <f t="shared" si="7"/>
        <v>0</v>
      </c>
      <c r="AH55" s="32" t="str">
        <f>IF(OR($L55="",$H55="",$AG55&lt;=0),"",MAX(0,TODAY()-($H55+Settings!$J$6)))</f>
        <v/>
      </c>
      <c r="AI55" s="37"/>
      <c r="AJ55" s="33"/>
      <c r="AK55" s="31"/>
      <c r="AL55" s="31"/>
      <c r="AM55" s="31"/>
      <c r="AN55" s="34"/>
      <c r="AO55" s="44">
        <f t="shared" si="8"/>
        <v>0</v>
      </c>
      <c r="AP55" s="48">
        <f t="shared" si="9"/>
        <v>3414</v>
      </c>
      <c r="AQ55" s="33"/>
      <c r="AR55" s="49">
        <f t="shared" si="10"/>
        <v>46105</v>
      </c>
      <c r="AS55" s="49">
        <f t="shared" si="11"/>
        <v>46082</v>
      </c>
      <c r="AT55" s="32">
        <f t="shared" si="12"/>
        <v>2026</v>
      </c>
    </row>
    <row r="56" ht="18.0" customHeight="1">
      <c r="A56" s="31" t="s">
        <v>61</v>
      </c>
      <c r="B56" s="31" t="s">
        <v>62</v>
      </c>
      <c r="C56" s="31" t="s">
        <v>63</v>
      </c>
      <c r="D56" s="32">
        <v>2.200425E7</v>
      </c>
      <c r="E56" s="33" t="s">
        <v>170</v>
      </c>
      <c r="F56" s="34">
        <v>46113.0</v>
      </c>
      <c r="G56" s="34"/>
      <c r="H56" s="34">
        <v>46106.0</v>
      </c>
      <c r="I56" s="31" t="s">
        <v>83</v>
      </c>
      <c r="J56" s="31" t="s">
        <v>76</v>
      </c>
      <c r="K56" s="31">
        <v>22.0</v>
      </c>
      <c r="L56" s="37">
        <v>2045.65</v>
      </c>
      <c r="M56" s="30">
        <f t="shared" si="1"/>
        <v>92.98409091</v>
      </c>
      <c r="N56" s="38">
        <v>0.2</v>
      </c>
      <c r="O56" s="30">
        <f>IF($L56="","",$L56*IF($N56="",Settings!$J$11,$N56))</f>
        <v>409.13</v>
      </c>
      <c r="P56" s="30">
        <f t="shared" si="2"/>
        <v>2454.78</v>
      </c>
      <c r="Q56" s="31" t="s">
        <v>84</v>
      </c>
      <c r="R56" s="37"/>
      <c r="S56" s="30">
        <f>IF($L56="","",IF($Q56&lt;&gt;"Yes",0,IF($R56&lt;&gt;"",$R56,ROUND($L56*Settings!$J$4,2))))</f>
        <v>0</v>
      </c>
      <c r="T56" s="40">
        <f t="shared" si="3"/>
        <v>2454.78</v>
      </c>
      <c r="U56" s="30">
        <f t="shared" si="4"/>
        <v>1227.39</v>
      </c>
      <c r="V56" s="37">
        <v>2454.78</v>
      </c>
      <c r="W56" s="31" t="s">
        <v>85</v>
      </c>
      <c r="X56" s="34">
        <v>46119.0</v>
      </c>
      <c r="Y56" s="37"/>
      <c r="Z56" s="31"/>
      <c r="AA56" s="34"/>
      <c r="AB56" s="37"/>
      <c r="AC56" s="31"/>
      <c r="AD56" s="34"/>
      <c r="AE56" s="30">
        <f t="shared" si="5"/>
        <v>2454.78</v>
      </c>
      <c r="AF56" s="41">
        <f t="shared" si="6"/>
        <v>1</v>
      </c>
      <c r="AG56" s="40">
        <f t="shared" si="7"/>
        <v>0</v>
      </c>
      <c r="AH56" s="32" t="str">
        <f>IF(OR($L56="",$H56="",$AG56&lt;=0),"",MAX(0,TODAY()-($H56+Settings!$J$6)))</f>
        <v/>
      </c>
      <c r="AI56" s="37"/>
      <c r="AJ56" s="33" t="s">
        <v>551</v>
      </c>
      <c r="AK56" s="31" t="s">
        <v>552</v>
      </c>
      <c r="AL56" s="31">
        <v>5.0824313E7</v>
      </c>
      <c r="AM56" s="31" t="s">
        <v>85</v>
      </c>
      <c r="AN56" s="34">
        <v>46138.0</v>
      </c>
      <c r="AO56" s="44">
        <f t="shared" si="8"/>
        <v>0</v>
      </c>
      <c r="AP56" s="48">
        <f t="shared" si="9"/>
        <v>2045.65</v>
      </c>
      <c r="AQ56" s="33" t="s">
        <v>553</v>
      </c>
      <c r="AR56" s="49">
        <f t="shared" si="10"/>
        <v>46113</v>
      </c>
      <c r="AS56" s="49">
        <f t="shared" si="11"/>
        <v>46113</v>
      </c>
      <c r="AT56" s="32">
        <f t="shared" si="12"/>
        <v>2026</v>
      </c>
    </row>
    <row r="57" ht="18.0" customHeight="1">
      <c r="A57" s="31" t="s">
        <v>61</v>
      </c>
      <c r="B57" s="31" t="s">
        <v>62</v>
      </c>
      <c r="C57" s="31" t="s">
        <v>63</v>
      </c>
      <c r="D57" s="32">
        <v>2.2004251E7</v>
      </c>
      <c r="E57" s="33" t="s">
        <v>139</v>
      </c>
      <c r="F57" s="34">
        <v>46114.0</v>
      </c>
      <c r="G57" s="34"/>
      <c r="H57" s="34">
        <v>46106.0</v>
      </c>
      <c r="I57" s="31" t="s">
        <v>83</v>
      </c>
      <c r="J57" s="31" t="s">
        <v>76</v>
      </c>
      <c r="K57" s="31">
        <v>80.0</v>
      </c>
      <c r="L57" s="37">
        <v>1072.0</v>
      </c>
      <c r="M57" s="30">
        <f t="shared" si="1"/>
        <v>13.4</v>
      </c>
      <c r="N57" s="38">
        <v>0.2</v>
      </c>
      <c r="O57" s="30">
        <f>IF($L57="","",$L57*IF($N57="",Settings!$J$11,$N57))</f>
        <v>214.4</v>
      </c>
      <c r="P57" s="30">
        <f t="shared" si="2"/>
        <v>1286.4</v>
      </c>
      <c r="Q57" s="31" t="s">
        <v>84</v>
      </c>
      <c r="R57" s="37"/>
      <c r="S57" s="30">
        <f>IF($L57="","",IF($Q57&lt;&gt;"Yes",0,IF($R57&lt;&gt;"",$R57,ROUND($L57*Settings!$J$4,2))))</f>
        <v>0</v>
      </c>
      <c r="T57" s="40">
        <f t="shared" si="3"/>
        <v>1286.4</v>
      </c>
      <c r="U57" s="30">
        <f t="shared" si="4"/>
        <v>643.2</v>
      </c>
      <c r="V57" s="37">
        <v>1286.4</v>
      </c>
      <c r="W57" s="31" t="s">
        <v>85</v>
      </c>
      <c r="X57" s="34">
        <v>46125.0</v>
      </c>
      <c r="Y57" s="37"/>
      <c r="Z57" s="31"/>
      <c r="AA57" s="34"/>
      <c r="AB57" s="37"/>
      <c r="AC57" s="31"/>
      <c r="AD57" s="34"/>
      <c r="AE57" s="30">
        <f t="shared" si="5"/>
        <v>1286.4</v>
      </c>
      <c r="AF57" s="41">
        <f t="shared" si="6"/>
        <v>1</v>
      </c>
      <c r="AG57" s="40">
        <f t="shared" si="7"/>
        <v>0</v>
      </c>
      <c r="AH57" s="32" t="str">
        <f>IF(OR($L57="",$H57="",$AG57&lt;=0),"",MAX(0,TODAY()-($H57+Settings!$J$6)))</f>
        <v/>
      </c>
      <c r="AI57" s="37"/>
      <c r="AJ57" s="33"/>
      <c r="AK57" s="31"/>
      <c r="AL57" s="31"/>
      <c r="AM57" s="31"/>
      <c r="AN57" s="34"/>
      <c r="AO57" s="44">
        <f t="shared" si="8"/>
        <v>0</v>
      </c>
      <c r="AP57" s="48">
        <f t="shared" si="9"/>
        <v>1072</v>
      </c>
      <c r="AQ57" s="33"/>
      <c r="AR57" s="49">
        <f t="shared" si="10"/>
        <v>46114</v>
      </c>
      <c r="AS57" s="49">
        <f t="shared" si="11"/>
        <v>46113</v>
      </c>
      <c r="AT57" s="32">
        <f t="shared" si="12"/>
        <v>2026</v>
      </c>
    </row>
    <row r="58" ht="18.0" customHeight="1">
      <c r="A58" s="31" t="s">
        <v>167</v>
      </c>
      <c r="B58" s="31" t="s">
        <v>62</v>
      </c>
      <c r="C58" s="31" t="s">
        <v>63</v>
      </c>
      <c r="D58" s="32">
        <v>2.2004252E7</v>
      </c>
      <c r="E58" s="33" t="s">
        <v>557</v>
      </c>
      <c r="F58" s="34">
        <v>46128.0</v>
      </c>
      <c r="G58" s="34"/>
      <c r="H58" s="34">
        <v>46112.0</v>
      </c>
      <c r="I58" s="31" t="s">
        <v>83</v>
      </c>
      <c r="J58" s="31" t="s">
        <v>76</v>
      </c>
      <c r="K58" s="31"/>
      <c r="L58" s="37">
        <v>1106.0</v>
      </c>
      <c r="M58" s="30" t="str">
        <f t="shared" si="1"/>
        <v/>
      </c>
      <c r="N58" s="38">
        <v>0.2</v>
      </c>
      <c r="O58" s="30">
        <f>IF($L58="","",$L58*IF($N58="",Settings!$J$11,$N58))</f>
        <v>221.2</v>
      </c>
      <c r="P58" s="30">
        <f t="shared" si="2"/>
        <v>1327.2</v>
      </c>
      <c r="Q58" s="31" t="s">
        <v>84</v>
      </c>
      <c r="R58" s="37"/>
      <c r="S58" s="30">
        <f>IF($L58="","",IF($Q58&lt;&gt;"Yes",0,IF($R58&lt;&gt;"",$R58,ROUND($L58*Settings!$J$4,2))))</f>
        <v>0</v>
      </c>
      <c r="T58" s="40">
        <f t="shared" si="3"/>
        <v>1327.2</v>
      </c>
      <c r="U58" s="30">
        <f t="shared" si="4"/>
        <v>663.6</v>
      </c>
      <c r="V58" s="37">
        <v>1372.2</v>
      </c>
      <c r="W58" s="31" t="s">
        <v>85</v>
      </c>
      <c r="X58" s="34">
        <v>46114.0</v>
      </c>
      <c r="Y58" s="37"/>
      <c r="Z58" s="31"/>
      <c r="AA58" s="34"/>
      <c r="AB58" s="37"/>
      <c r="AC58" s="31"/>
      <c r="AD58" s="34"/>
      <c r="AE58" s="30">
        <f t="shared" si="5"/>
        <v>1372.2</v>
      </c>
      <c r="AF58" s="41">
        <f t="shared" si="6"/>
        <v>1</v>
      </c>
      <c r="AG58" s="40">
        <f t="shared" si="7"/>
        <v>0</v>
      </c>
      <c r="AH58" s="32" t="str">
        <f>IF(OR($L58="",$H58="",$AG58&lt;=0),"",MAX(0,TODAY()-($H58+Settings!$J$6)))</f>
        <v/>
      </c>
      <c r="AI58" s="37"/>
      <c r="AJ58" s="33"/>
      <c r="AK58" s="31"/>
      <c r="AL58" s="31"/>
      <c r="AM58" s="31"/>
      <c r="AN58" s="34"/>
      <c r="AO58" s="44">
        <f t="shared" si="8"/>
        <v>0</v>
      </c>
      <c r="AP58" s="48">
        <f t="shared" si="9"/>
        <v>1106</v>
      </c>
      <c r="AQ58" s="33"/>
      <c r="AR58" s="49">
        <f t="shared" si="10"/>
        <v>46128</v>
      </c>
      <c r="AS58" s="49">
        <f t="shared" si="11"/>
        <v>46113</v>
      </c>
      <c r="AT58" s="32">
        <f t="shared" si="12"/>
        <v>2026</v>
      </c>
    </row>
    <row r="59" ht="18.0" customHeight="1">
      <c r="A59" s="31" t="s">
        <v>167</v>
      </c>
      <c r="B59" s="31" t="s">
        <v>62</v>
      </c>
      <c r="C59" s="31" t="s">
        <v>63</v>
      </c>
      <c r="D59" s="32">
        <v>2.2004253E7</v>
      </c>
      <c r="E59" s="33" t="s">
        <v>387</v>
      </c>
      <c r="F59" s="34">
        <v>46134.0</v>
      </c>
      <c r="G59" s="34"/>
      <c r="H59" s="34">
        <v>46112.0</v>
      </c>
      <c r="I59" s="31" t="s">
        <v>83</v>
      </c>
      <c r="J59" s="31" t="s">
        <v>76</v>
      </c>
      <c r="K59" s="31"/>
      <c r="L59" s="37">
        <v>1548.0</v>
      </c>
      <c r="M59" s="30" t="str">
        <f t="shared" si="1"/>
        <v/>
      </c>
      <c r="N59" s="38">
        <v>0.2</v>
      </c>
      <c r="O59" s="30">
        <f>IF($L59="","",$L59*IF($N59="",Settings!$J$11,$N59))</f>
        <v>309.6</v>
      </c>
      <c r="P59" s="30">
        <f t="shared" si="2"/>
        <v>1857.6</v>
      </c>
      <c r="Q59" s="31" t="s">
        <v>79</v>
      </c>
      <c r="R59" s="37"/>
      <c r="S59" s="30">
        <f>IF($L59="","",IF($Q59&lt;&gt;"Yes",0,IF($R59&lt;&gt;"",$R59,ROUND($L59*Settings!$J$4,2))))</f>
        <v>154.8</v>
      </c>
      <c r="T59" s="40">
        <f t="shared" si="3"/>
        <v>2012.4</v>
      </c>
      <c r="U59" s="30">
        <f t="shared" si="4"/>
        <v>1083.6</v>
      </c>
      <c r="V59" s="37">
        <v>1857.6</v>
      </c>
      <c r="W59" s="31" t="s">
        <v>85</v>
      </c>
      <c r="X59" s="34">
        <v>46121.0</v>
      </c>
      <c r="Y59" s="37"/>
      <c r="Z59" s="31"/>
      <c r="AA59" s="34"/>
      <c r="AB59" s="37"/>
      <c r="AC59" s="31"/>
      <c r="AD59" s="34"/>
      <c r="AE59" s="30">
        <f t="shared" si="5"/>
        <v>1857.6</v>
      </c>
      <c r="AF59" s="41">
        <f t="shared" si="6"/>
        <v>1</v>
      </c>
      <c r="AG59" s="40">
        <f t="shared" si="7"/>
        <v>0</v>
      </c>
      <c r="AH59" s="32" t="str">
        <f>IF(OR($L59="",$H59="",$AG59&lt;=0),"",MAX(0,TODAY()-($H59+Settings!$J$6)))</f>
        <v/>
      </c>
      <c r="AI59" s="37">
        <v>154.8</v>
      </c>
      <c r="AJ59" s="33"/>
      <c r="AK59" s="31"/>
      <c r="AL59" s="31"/>
      <c r="AM59" s="31"/>
      <c r="AN59" s="34"/>
      <c r="AO59" s="44">
        <f t="shared" si="8"/>
        <v>0</v>
      </c>
      <c r="AP59" s="48">
        <f t="shared" si="9"/>
        <v>1548</v>
      </c>
      <c r="AQ59" s="33"/>
      <c r="AR59" s="49">
        <f t="shared" si="10"/>
        <v>46134</v>
      </c>
      <c r="AS59" s="49">
        <f t="shared" si="11"/>
        <v>46113</v>
      </c>
      <c r="AT59" s="32">
        <f t="shared" si="12"/>
        <v>2026</v>
      </c>
    </row>
    <row r="60" ht="18.0" customHeight="1">
      <c r="A60" s="31" t="s">
        <v>61</v>
      </c>
      <c r="B60" s="31" t="s">
        <v>62</v>
      </c>
      <c r="C60" s="31" t="s">
        <v>63</v>
      </c>
      <c r="D60" s="32">
        <v>2.2004254E7</v>
      </c>
      <c r="E60" s="33" t="s">
        <v>139</v>
      </c>
      <c r="F60" s="34"/>
      <c r="G60" s="34"/>
      <c r="H60" s="34">
        <v>46119.0</v>
      </c>
      <c r="I60" s="31" t="s">
        <v>83</v>
      </c>
      <c r="J60" s="31" t="s">
        <v>76</v>
      </c>
      <c r="K60" s="31">
        <v>65.0</v>
      </c>
      <c r="L60" s="37">
        <v>1105.5</v>
      </c>
      <c r="M60" s="30">
        <f t="shared" si="1"/>
        <v>17.00769231</v>
      </c>
      <c r="N60" s="38">
        <v>0.2</v>
      </c>
      <c r="O60" s="30">
        <f>IF($L60="","",$L60*IF($N60="",Settings!$J$11,$N60))</f>
        <v>221.1</v>
      </c>
      <c r="P60" s="30">
        <f t="shared" si="2"/>
        <v>1326.6</v>
      </c>
      <c r="Q60" s="31" t="s">
        <v>84</v>
      </c>
      <c r="R60" s="37"/>
      <c r="S60" s="30">
        <f>IF($L60="","",IF($Q60&lt;&gt;"Yes",0,IF($R60&lt;&gt;"",$R60,ROUND($L60*Settings!$J$4,2))))</f>
        <v>0</v>
      </c>
      <c r="T60" s="40">
        <f t="shared" si="3"/>
        <v>1326.6</v>
      </c>
      <c r="U60" s="30">
        <f t="shared" si="4"/>
        <v>663.3</v>
      </c>
      <c r="V60" s="37">
        <v>1326.6</v>
      </c>
      <c r="W60" s="31" t="s">
        <v>85</v>
      </c>
      <c r="X60" s="34">
        <v>46125.0</v>
      </c>
      <c r="Y60" s="37"/>
      <c r="Z60" s="31"/>
      <c r="AA60" s="34"/>
      <c r="AB60" s="37"/>
      <c r="AC60" s="31"/>
      <c r="AD60" s="34"/>
      <c r="AE60" s="30">
        <f t="shared" si="5"/>
        <v>1326.6</v>
      </c>
      <c r="AF60" s="41">
        <f t="shared" si="6"/>
        <v>1</v>
      </c>
      <c r="AG60" s="40">
        <f t="shared" si="7"/>
        <v>0</v>
      </c>
      <c r="AH60" s="32" t="str">
        <f>IF(OR($L60="",$H60="",$AG60&lt;=0),"",MAX(0,TODAY()-($H60+Settings!$J$6)))</f>
        <v/>
      </c>
      <c r="AI60" s="37"/>
      <c r="AJ60" s="33"/>
      <c r="AK60" s="31"/>
      <c r="AL60" s="31"/>
      <c r="AM60" s="31"/>
      <c r="AN60" s="34"/>
      <c r="AO60" s="44">
        <f t="shared" si="8"/>
        <v>0</v>
      </c>
      <c r="AP60" s="48">
        <f t="shared" si="9"/>
        <v>1105.5</v>
      </c>
      <c r="AQ60" s="33" t="s">
        <v>589</v>
      </c>
      <c r="AR60" s="49" t="str">
        <f t="shared" si="10"/>
        <v/>
      </c>
      <c r="AS60" s="49" t="str">
        <f t="shared" si="11"/>
        <v/>
      </c>
      <c r="AT60" s="32">
        <f t="shared" si="12"/>
        <v>2026</v>
      </c>
    </row>
    <row r="61" ht="18.0" customHeight="1">
      <c r="A61" s="31" t="s">
        <v>61</v>
      </c>
      <c r="B61" s="31" t="s">
        <v>62</v>
      </c>
      <c r="C61" s="31" t="s">
        <v>63</v>
      </c>
      <c r="D61" s="32">
        <v>2.2004255E7</v>
      </c>
      <c r="E61" s="33" t="s">
        <v>158</v>
      </c>
      <c r="F61" s="34">
        <v>46148.0</v>
      </c>
      <c r="G61" s="34"/>
      <c r="H61" s="34">
        <v>46119.0</v>
      </c>
      <c r="I61" s="31" t="s">
        <v>83</v>
      </c>
      <c r="J61" s="31" t="s">
        <v>76</v>
      </c>
      <c r="K61" s="31">
        <v>40.0</v>
      </c>
      <c r="L61" s="37">
        <v>1934.1</v>
      </c>
      <c r="M61" s="30">
        <f t="shared" si="1"/>
        <v>48.3525</v>
      </c>
      <c r="N61" s="38">
        <v>0.2</v>
      </c>
      <c r="O61" s="30">
        <f>IF($L61="","",$L61*IF($N61="",Settings!$J$11,$N61))</f>
        <v>386.82</v>
      </c>
      <c r="P61" s="30">
        <f t="shared" si="2"/>
        <v>2320.92</v>
      </c>
      <c r="Q61" s="31" t="s">
        <v>84</v>
      </c>
      <c r="R61" s="37"/>
      <c r="S61" s="30">
        <f>IF($L61="","",IF($Q61&lt;&gt;"Yes",0,IF($R61&lt;&gt;"",$R61,ROUND($L61*Settings!$J$4,2))))</f>
        <v>0</v>
      </c>
      <c r="T61" s="40">
        <f t="shared" si="3"/>
        <v>2320.92</v>
      </c>
      <c r="U61" s="30">
        <f t="shared" si="4"/>
        <v>1160.46</v>
      </c>
      <c r="V61" s="37">
        <v>2514.33</v>
      </c>
      <c r="W61" s="31" t="s">
        <v>85</v>
      </c>
      <c r="X61" s="34">
        <v>46126.0</v>
      </c>
      <c r="Y61" s="37"/>
      <c r="Z61" s="31"/>
      <c r="AA61" s="34"/>
      <c r="AB61" s="37"/>
      <c r="AC61" s="31"/>
      <c r="AD61" s="34"/>
      <c r="AE61" s="30">
        <f t="shared" si="5"/>
        <v>2514.33</v>
      </c>
      <c r="AF61" s="41">
        <f t="shared" si="6"/>
        <v>1</v>
      </c>
      <c r="AG61" s="40">
        <f t="shared" si="7"/>
        <v>0</v>
      </c>
      <c r="AH61" s="32" t="str">
        <f>IF(OR($L61="",$H61="",$AG61&lt;=0),"",MAX(0,TODAY()-($H61+Settings!$J$6)))</f>
        <v/>
      </c>
      <c r="AI61" s="37"/>
      <c r="AJ61" s="33" t="s">
        <v>599</v>
      </c>
      <c r="AK61" s="31" t="s">
        <v>600</v>
      </c>
      <c r="AL61" s="31">
        <v>2.3238083E7</v>
      </c>
      <c r="AM61" s="31" t="s">
        <v>85</v>
      </c>
      <c r="AN61" s="34">
        <v>46177.0</v>
      </c>
      <c r="AO61" s="44">
        <f t="shared" si="8"/>
        <v>0</v>
      </c>
      <c r="AP61" s="48">
        <f t="shared" si="9"/>
        <v>1934.1</v>
      </c>
      <c r="AQ61" s="33"/>
      <c r="AR61" s="49">
        <f t="shared" si="10"/>
        <v>46148</v>
      </c>
      <c r="AS61" s="49">
        <f t="shared" si="11"/>
        <v>46143</v>
      </c>
      <c r="AT61" s="32">
        <f t="shared" si="12"/>
        <v>2026</v>
      </c>
    </row>
    <row r="62" ht="18.0" customHeight="1">
      <c r="A62" s="31" t="s">
        <v>61</v>
      </c>
      <c r="B62" s="31" t="s">
        <v>62</v>
      </c>
      <c r="C62" s="31" t="s">
        <v>63</v>
      </c>
      <c r="D62" s="32">
        <v>2.2004256E7</v>
      </c>
      <c r="E62" s="33" t="s">
        <v>606</v>
      </c>
      <c r="F62" s="34">
        <v>46140.0</v>
      </c>
      <c r="G62" s="34"/>
      <c r="H62" s="34">
        <v>46121.0</v>
      </c>
      <c r="I62" s="31" t="s">
        <v>73</v>
      </c>
      <c r="J62" s="31" t="s">
        <v>119</v>
      </c>
      <c r="K62" s="31">
        <v>33.0</v>
      </c>
      <c r="L62" s="37">
        <v>3179.15</v>
      </c>
      <c r="M62" s="30">
        <f t="shared" si="1"/>
        <v>96.33787879</v>
      </c>
      <c r="N62" s="38">
        <v>0.2</v>
      </c>
      <c r="O62" s="30">
        <f>IF($L62="","",$L62*IF($N62="",Settings!$J$11,$N62))</f>
        <v>635.83</v>
      </c>
      <c r="P62" s="30">
        <f t="shared" si="2"/>
        <v>3814.98</v>
      </c>
      <c r="Q62" s="31" t="s">
        <v>84</v>
      </c>
      <c r="R62" s="37"/>
      <c r="S62" s="30">
        <f>IF($L62="","",IF($Q62&lt;&gt;"Yes",0,IF($R62&lt;&gt;"",$R62,ROUND($L62*Settings!$J$4,2))))</f>
        <v>0</v>
      </c>
      <c r="T62" s="40">
        <f t="shared" si="3"/>
        <v>3814.98</v>
      </c>
      <c r="U62" s="30">
        <f t="shared" si="4"/>
        <v>1907.49</v>
      </c>
      <c r="V62" s="37"/>
      <c r="W62" s="31"/>
      <c r="X62" s="34"/>
      <c r="Y62" s="37"/>
      <c r="Z62" s="31"/>
      <c r="AA62" s="34"/>
      <c r="AB62" s="37"/>
      <c r="AC62" s="31"/>
      <c r="AD62" s="34"/>
      <c r="AE62" s="30">
        <f t="shared" si="5"/>
        <v>0</v>
      </c>
      <c r="AF62" s="41">
        <f t="shared" si="6"/>
        <v>0</v>
      </c>
      <c r="AG62" s="40">
        <f t="shared" si="7"/>
        <v>0</v>
      </c>
      <c r="AH62" s="32" t="str">
        <f>IF(OR($L62="",$H62="",$AG62&lt;=0),"",MAX(0,TODAY()-($H62+Settings!$J$6)))</f>
        <v/>
      </c>
      <c r="AI62" s="37"/>
      <c r="AJ62" s="33"/>
      <c r="AK62" s="31"/>
      <c r="AL62" s="31"/>
      <c r="AM62" s="31"/>
      <c r="AN62" s="34"/>
      <c r="AO62" s="44">
        <f t="shared" si="8"/>
        <v>0</v>
      </c>
      <c r="AP62" s="48">
        <f t="shared" si="9"/>
        <v>3179.15</v>
      </c>
      <c r="AQ62" s="33"/>
      <c r="AR62" s="49">
        <f t="shared" si="10"/>
        <v>46140</v>
      </c>
      <c r="AS62" s="49">
        <f t="shared" si="11"/>
        <v>46113</v>
      </c>
      <c r="AT62" s="32">
        <f t="shared" si="12"/>
        <v>2026</v>
      </c>
    </row>
    <row r="63" ht="18.0" customHeight="1">
      <c r="A63" s="31" t="s">
        <v>61</v>
      </c>
      <c r="B63" s="31" t="s">
        <v>62</v>
      </c>
      <c r="C63" s="31" t="s">
        <v>63</v>
      </c>
      <c r="D63" s="32">
        <v>2.2004257E7</v>
      </c>
      <c r="E63" s="33" t="s">
        <v>171</v>
      </c>
      <c r="F63" s="34">
        <v>46140.0</v>
      </c>
      <c r="G63" s="34"/>
      <c r="H63" s="34">
        <v>46121.0</v>
      </c>
      <c r="I63" s="31" t="s">
        <v>83</v>
      </c>
      <c r="J63" s="31" t="s">
        <v>76</v>
      </c>
      <c r="K63" s="31">
        <v>30.0</v>
      </c>
      <c r="L63" s="37">
        <v>1825.65</v>
      </c>
      <c r="M63" s="30">
        <f t="shared" si="1"/>
        <v>60.855</v>
      </c>
      <c r="N63" s="38">
        <v>0.2</v>
      </c>
      <c r="O63" s="30">
        <f>IF($L63="","",$L63*IF($N63="",Settings!$J$11,$N63))</f>
        <v>365.13</v>
      </c>
      <c r="P63" s="30">
        <f t="shared" si="2"/>
        <v>2190.78</v>
      </c>
      <c r="Q63" s="31" t="s">
        <v>79</v>
      </c>
      <c r="R63" s="37"/>
      <c r="S63" s="30">
        <f>IF($L63="","",IF($Q63&lt;&gt;"Yes",0,IF($R63&lt;&gt;"",$R63,ROUND($L63*Settings!$J$4,2))))</f>
        <v>182.57</v>
      </c>
      <c r="T63" s="40">
        <f t="shared" si="3"/>
        <v>2373.35</v>
      </c>
      <c r="U63" s="30">
        <f t="shared" si="4"/>
        <v>1277.96</v>
      </c>
      <c r="V63" s="37">
        <v>2373.35</v>
      </c>
      <c r="W63" s="31" t="s">
        <v>85</v>
      </c>
      <c r="X63" s="34">
        <v>46136.0</v>
      </c>
      <c r="Y63" s="37"/>
      <c r="Z63" s="31"/>
      <c r="AA63" s="34"/>
      <c r="AB63" s="37"/>
      <c r="AC63" s="31"/>
      <c r="AD63" s="34"/>
      <c r="AE63" s="30">
        <f t="shared" si="5"/>
        <v>2373.35</v>
      </c>
      <c r="AF63" s="41">
        <f t="shared" si="6"/>
        <v>1</v>
      </c>
      <c r="AG63" s="40">
        <f t="shared" si="7"/>
        <v>0</v>
      </c>
      <c r="AH63" s="32" t="str">
        <f>IF(OR($L63="",$H63="",$AG63&lt;=0),"",MAX(0,TODAY()-($H63+Settings!$J$6)))</f>
        <v/>
      </c>
      <c r="AI63" s="37">
        <v>182.57</v>
      </c>
      <c r="AJ63" s="33" t="s">
        <v>171</v>
      </c>
      <c r="AK63" s="131">
        <v>29364.0</v>
      </c>
      <c r="AL63" s="31">
        <v>1.8260492E7</v>
      </c>
      <c r="AM63" s="31" t="s">
        <v>85</v>
      </c>
      <c r="AN63" s="34">
        <v>46168.0</v>
      </c>
      <c r="AO63" s="44">
        <f t="shared" si="8"/>
        <v>0</v>
      </c>
      <c r="AP63" s="48">
        <f t="shared" si="9"/>
        <v>1825.65</v>
      </c>
      <c r="AQ63" s="33"/>
      <c r="AR63" s="49">
        <f t="shared" si="10"/>
        <v>46140</v>
      </c>
      <c r="AS63" s="49">
        <f t="shared" si="11"/>
        <v>46113</v>
      </c>
      <c r="AT63" s="32">
        <f t="shared" si="12"/>
        <v>2026</v>
      </c>
    </row>
    <row r="64" ht="18.0" customHeight="1">
      <c r="A64" s="31" t="s">
        <v>61</v>
      </c>
      <c r="B64" s="31" t="s">
        <v>62</v>
      </c>
      <c r="C64" s="31" t="s">
        <v>251</v>
      </c>
      <c r="D64" s="32">
        <v>2.2004258E7</v>
      </c>
      <c r="E64" s="33" t="s">
        <v>172</v>
      </c>
      <c r="F64" s="34">
        <v>46192.0</v>
      </c>
      <c r="G64" s="34"/>
      <c r="H64" s="34">
        <v>46127.0</v>
      </c>
      <c r="I64" s="31" t="s">
        <v>83</v>
      </c>
      <c r="J64" s="31" t="s">
        <v>76</v>
      </c>
      <c r="K64" s="31">
        <v>32.0</v>
      </c>
      <c r="L64" s="37">
        <v>4713.25</v>
      </c>
      <c r="M64" s="30">
        <f t="shared" si="1"/>
        <v>147.2890625</v>
      </c>
      <c r="N64" s="38">
        <v>0.2</v>
      </c>
      <c r="O64" s="30">
        <f>IF($L64="","",$L64*IF($N64="",Settings!$J$11,$N64))</f>
        <v>942.65</v>
      </c>
      <c r="P64" s="30">
        <f t="shared" si="2"/>
        <v>5655.9</v>
      </c>
      <c r="Q64" s="31" t="s">
        <v>79</v>
      </c>
      <c r="R64" s="37"/>
      <c r="S64" s="30">
        <f>IF($L64="","",IF($Q64&lt;&gt;"Yes",0,IF($R64&lt;&gt;"",$R64,ROUND($L64*Settings!$J$4,2))))</f>
        <v>471.33</v>
      </c>
      <c r="T64" s="40">
        <f t="shared" si="3"/>
        <v>6127.23</v>
      </c>
      <c r="U64" s="30">
        <f t="shared" si="4"/>
        <v>3299.28</v>
      </c>
      <c r="V64" s="37">
        <v>2827.94</v>
      </c>
      <c r="W64" s="31" t="s">
        <v>80</v>
      </c>
      <c r="X64" s="34">
        <v>46127.0</v>
      </c>
      <c r="Y64" s="37">
        <v>3495.97</v>
      </c>
      <c r="Z64" s="31" t="s">
        <v>80</v>
      </c>
      <c r="AA64" s="34"/>
      <c r="AB64" s="37"/>
      <c r="AC64" s="31"/>
      <c r="AD64" s="34"/>
      <c r="AE64" s="30">
        <f t="shared" si="5"/>
        <v>6323.91</v>
      </c>
      <c r="AF64" s="41">
        <f t="shared" si="6"/>
        <v>1</v>
      </c>
      <c r="AG64" s="40">
        <f t="shared" si="7"/>
        <v>0</v>
      </c>
      <c r="AH64" s="32" t="str">
        <f>IF(OR($L64="",$H64="",$AG64&lt;=0),"",MAX(0,TODAY()-($H64+Settings!$J$6)))</f>
        <v/>
      </c>
      <c r="AI64" s="37">
        <v>471.33</v>
      </c>
      <c r="AJ64" s="33"/>
      <c r="AK64" s="31"/>
      <c r="AL64" s="31"/>
      <c r="AM64" s="31" t="s">
        <v>80</v>
      </c>
      <c r="AN64" s="34">
        <v>46204.0</v>
      </c>
      <c r="AO64" s="44">
        <f t="shared" si="8"/>
        <v>0</v>
      </c>
      <c r="AP64" s="48">
        <f t="shared" si="9"/>
        <v>4713.25</v>
      </c>
      <c r="AQ64" s="33"/>
      <c r="AR64" s="49">
        <f t="shared" si="10"/>
        <v>46192</v>
      </c>
      <c r="AS64" s="49">
        <f t="shared" si="11"/>
        <v>46174</v>
      </c>
      <c r="AT64" s="32">
        <f t="shared" si="12"/>
        <v>2026</v>
      </c>
    </row>
    <row r="65" ht="18.0" customHeight="1">
      <c r="A65" s="31" t="s">
        <v>61</v>
      </c>
      <c r="B65" s="31" t="s">
        <v>62</v>
      </c>
      <c r="C65" s="31" t="s">
        <v>251</v>
      </c>
      <c r="D65" s="32">
        <v>2.200426E7</v>
      </c>
      <c r="E65" s="33" t="s">
        <v>173</v>
      </c>
      <c r="F65" s="34">
        <v>46172.0</v>
      </c>
      <c r="G65" s="34"/>
      <c r="H65" s="34">
        <v>46127.0</v>
      </c>
      <c r="I65" s="31" t="s">
        <v>83</v>
      </c>
      <c r="J65" s="31" t="s">
        <v>76</v>
      </c>
      <c r="K65" s="31">
        <v>50.0</v>
      </c>
      <c r="L65" s="37">
        <v>4478.5</v>
      </c>
      <c r="M65" s="30">
        <f t="shared" si="1"/>
        <v>89.57</v>
      </c>
      <c r="N65" s="38">
        <v>0.2</v>
      </c>
      <c r="O65" s="30">
        <f>IF($L65="","",$L65*IF($N65="",Settings!$J$11,$N65))</f>
        <v>895.7</v>
      </c>
      <c r="P65" s="30">
        <f t="shared" si="2"/>
        <v>5374.2</v>
      </c>
      <c r="Q65" s="31" t="s">
        <v>79</v>
      </c>
      <c r="R65" s="37"/>
      <c r="S65" s="30">
        <f>IF($L65="","",IF($Q65&lt;&gt;"Yes",0,IF($R65&lt;&gt;"",$R65,ROUND($L65*Settings!$J$4,2))))</f>
        <v>447.85</v>
      </c>
      <c r="T65" s="40">
        <f t="shared" si="3"/>
        <v>5822.05</v>
      </c>
      <c r="U65" s="30">
        <f t="shared" si="4"/>
        <v>3134.95</v>
      </c>
      <c r="V65" s="37">
        <v>2687.1</v>
      </c>
      <c r="W65" s="31" t="s">
        <v>80</v>
      </c>
      <c r="X65" s="34">
        <v>46136.0</v>
      </c>
      <c r="Y65" s="37">
        <v>2597.98</v>
      </c>
      <c r="Z65" s="31"/>
      <c r="AA65" s="34"/>
      <c r="AB65" s="37"/>
      <c r="AC65" s="31"/>
      <c r="AD65" s="34"/>
      <c r="AE65" s="30">
        <f t="shared" si="5"/>
        <v>5285.08</v>
      </c>
      <c r="AF65" s="41">
        <f t="shared" si="6"/>
        <v>1</v>
      </c>
      <c r="AG65" s="40">
        <f t="shared" si="7"/>
        <v>0</v>
      </c>
      <c r="AH65" s="32" t="str">
        <f>IF(OR($L65="",$H65="",$AG65&lt;=0),"",MAX(0,TODAY()-($H65+Settings!$J$6)))</f>
        <v/>
      </c>
      <c r="AI65" s="37">
        <v>447.85</v>
      </c>
      <c r="AJ65" s="33"/>
      <c r="AK65" s="31"/>
      <c r="AL65" s="31"/>
      <c r="AM65" s="31" t="s">
        <v>80</v>
      </c>
      <c r="AN65" s="34">
        <v>46174.0</v>
      </c>
      <c r="AO65" s="44">
        <f t="shared" si="8"/>
        <v>0</v>
      </c>
      <c r="AP65" s="48">
        <f t="shared" si="9"/>
        <v>4478.5</v>
      </c>
      <c r="AQ65" s="33"/>
      <c r="AR65" s="49">
        <f t="shared" si="10"/>
        <v>46172</v>
      </c>
      <c r="AS65" s="49">
        <f t="shared" si="11"/>
        <v>46143</v>
      </c>
      <c r="AT65" s="32">
        <f t="shared" si="12"/>
        <v>2026</v>
      </c>
    </row>
    <row r="66" ht="18.0" customHeight="1">
      <c r="A66" s="31" t="s">
        <v>61</v>
      </c>
      <c r="B66" s="31" t="s">
        <v>62</v>
      </c>
      <c r="C66" s="31" t="s">
        <v>63</v>
      </c>
      <c r="D66" s="32">
        <v>2.2004261E7</v>
      </c>
      <c r="E66" s="33" t="s">
        <v>140</v>
      </c>
      <c r="F66" s="34"/>
      <c r="G66" s="34"/>
      <c r="H66" s="34">
        <v>46132.0</v>
      </c>
      <c r="I66" s="31" t="s">
        <v>83</v>
      </c>
      <c r="J66" s="31" t="s">
        <v>76</v>
      </c>
      <c r="K66" s="31">
        <v>32.0</v>
      </c>
      <c r="L66" s="37">
        <v>3877.6</v>
      </c>
      <c r="M66" s="30">
        <f t="shared" si="1"/>
        <v>121.175</v>
      </c>
      <c r="N66" s="38">
        <v>0.2</v>
      </c>
      <c r="O66" s="30">
        <f>IF($L66="","",$L66*IF($N66="",Settings!$J$11,$N66))</f>
        <v>775.52</v>
      </c>
      <c r="P66" s="30">
        <f t="shared" si="2"/>
        <v>4653.12</v>
      </c>
      <c r="Q66" s="31" t="s">
        <v>79</v>
      </c>
      <c r="R66" s="37"/>
      <c r="S66" s="30">
        <f>IF($L66="","",IF($Q66&lt;&gt;"Yes",0,IF($R66&lt;&gt;"",$R66,ROUND($L66*Settings!$J$4,2))))</f>
        <v>387.76</v>
      </c>
      <c r="T66" s="40">
        <f t="shared" si="3"/>
        <v>5040.88</v>
      </c>
      <c r="U66" s="30">
        <f t="shared" si="4"/>
        <v>2714.32</v>
      </c>
      <c r="V66" s="37">
        <v>5040.88</v>
      </c>
      <c r="W66" s="31" t="s">
        <v>85</v>
      </c>
      <c r="X66" s="34">
        <v>46140.0</v>
      </c>
      <c r="Y66" s="37"/>
      <c r="Z66" s="31"/>
      <c r="AA66" s="34"/>
      <c r="AB66" s="37"/>
      <c r="AC66" s="31"/>
      <c r="AD66" s="34"/>
      <c r="AE66" s="30">
        <f t="shared" si="5"/>
        <v>5040.88</v>
      </c>
      <c r="AF66" s="41">
        <f t="shared" si="6"/>
        <v>1</v>
      </c>
      <c r="AG66" s="40">
        <f t="shared" si="7"/>
        <v>0</v>
      </c>
      <c r="AH66" s="32" t="str">
        <f>IF(OR($L66="",$H66="",$AG66&lt;=0),"",MAX(0,TODAY()-($H66+Settings!$J$6)))</f>
        <v/>
      </c>
      <c r="AI66" s="37">
        <v>387.76</v>
      </c>
      <c r="AJ66" s="33" t="s">
        <v>378</v>
      </c>
      <c r="AK66" s="31" t="s">
        <v>379</v>
      </c>
      <c r="AL66" s="31">
        <v>8.1253972E7</v>
      </c>
      <c r="AM66" s="31" t="s">
        <v>85</v>
      </c>
      <c r="AN66" s="34">
        <v>46168.0</v>
      </c>
      <c r="AO66" s="44">
        <f t="shared" si="8"/>
        <v>0</v>
      </c>
      <c r="AP66" s="48">
        <f t="shared" si="9"/>
        <v>3877.6</v>
      </c>
      <c r="AQ66" s="33" t="s">
        <v>669</v>
      </c>
      <c r="AR66" s="49" t="str">
        <f t="shared" si="10"/>
        <v/>
      </c>
      <c r="AS66" s="49" t="str">
        <f t="shared" si="11"/>
        <v/>
      </c>
      <c r="AT66" s="32">
        <f t="shared" si="12"/>
        <v>2026</v>
      </c>
    </row>
    <row r="67" ht="18.0" customHeight="1">
      <c r="A67" s="31" t="s">
        <v>61</v>
      </c>
      <c r="B67" s="31" t="s">
        <v>62</v>
      </c>
      <c r="C67" s="31" t="s">
        <v>63</v>
      </c>
      <c r="D67" s="32">
        <v>2.2004262E7</v>
      </c>
      <c r="E67" s="33" t="s">
        <v>174</v>
      </c>
      <c r="F67" s="34">
        <v>46160.0</v>
      </c>
      <c r="G67" s="34"/>
      <c r="H67" s="34">
        <v>46134.0</v>
      </c>
      <c r="I67" s="31" t="s">
        <v>73</v>
      </c>
      <c r="J67" s="31" t="s">
        <v>76</v>
      </c>
      <c r="K67" s="31">
        <v>50.0</v>
      </c>
      <c r="L67" s="37">
        <v>3131.4</v>
      </c>
      <c r="M67" s="30">
        <f t="shared" si="1"/>
        <v>62.628</v>
      </c>
      <c r="N67" s="38">
        <v>0.2</v>
      </c>
      <c r="O67" s="30">
        <f>IF($L67="","",$L67*IF($N67="",Settings!$J$11,$N67))</f>
        <v>626.28</v>
      </c>
      <c r="P67" s="30">
        <f t="shared" si="2"/>
        <v>3757.68</v>
      </c>
      <c r="Q67" s="31" t="s">
        <v>79</v>
      </c>
      <c r="R67" s="37"/>
      <c r="S67" s="30">
        <f>IF($L67="","",IF($Q67&lt;&gt;"Yes",0,IF($R67&lt;&gt;"",$R67,ROUND($L67*Settings!$J$4,2))))</f>
        <v>313.14</v>
      </c>
      <c r="T67" s="40">
        <f t="shared" si="3"/>
        <v>4070.82</v>
      </c>
      <c r="U67" s="30">
        <f t="shared" si="4"/>
        <v>2191.98</v>
      </c>
      <c r="V67" s="37">
        <v>4070.82</v>
      </c>
      <c r="W67" s="31" t="s">
        <v>80</v>
      </c>
      <c r="X67" s="34">
        <v>46147.0</v>
      </c>
      <c r="Y67" s="37"/>
      <c r="Z67" s="31"/>
      <c r="AA67" s="34"/>
      <c r="AB67" s="37"/>
      <c r="AC67" s="31"/>
      <c r="AD67" s="34"/>
      <c r="AE67" s="30">
        <f t="shared" si="5"/>
        <v>4070.82</v>
      </c>
      <c r="AF67" s="41">
        <f t="shared" si="6"/>
        <v>1</v>
      </c>
      <c r="AG67" s="40">
        <f t="shared" si="7"/>
        <v>0</v>
      </c>
      <c r="AH67" s="32" t="str">
        <f>IF(OR($L67="",$H67="",$AG67&lt;=0),"",MAX(0,TODAY()-($H67+Settings!$J$6)))</f>
        <v/>
      </c>
      <c r="AI67" s="37">
        <v>313.14</v>
      </c>
      <c r="AJ67" s="33"/>
      <c r="AK67" s="31"/>
      <c r="AL67" s="31"/>
      <c r="AM67" s="31" t="s">
        <v>80</v>
      </c>
      <c r="AN67" s="34">
        <v>46161.0</v>
      </c>
      <c r="AO67" s="44">
        <f t="shared" si="8"/>
        <v>0</v>
      </c>
      <c r="AP67" s="48">
        <f t="shared" si="9"/>
        <v>3131.4</v>
      </c>
      <c r="AQ67" s="33"/>
      <c r="AR67" s="49">
        <f t="shared" si="10"/>
        <v>46160</v>
      </c>
      <c r="AS67" s="49">
        <f t="shared" si="11"/>
        <v>46143</v>
      </c>
      <c r="AT67" s="32">
        <f t="shared" si="12"/>
        <v>2026</v>
      </c>
    </row>
    <row r="68" ht="18.0" customHeight="1">
      <c r="A68" s="31" t="s">
        <v>61</v>
      </c>
      <c r="B68" s="31" t="s">
        <v>62</v>
      </c>
      <c r="C68" s="31" t="s">
        <v>251</v>
      </c>
      <c r="D68" s="32">
        <v>2.2004263E7</v>
      </c>
      <c r="E68" s="33" t="s">
        <v>680</v>
      </c>
      <c r="F68" s="34">
        <v>46179.0</v>
      </c>
      <c r="G68" s="34"/>
      <c r="H68" s="34">
        <v>46135.0</v>
      </c>
      <c r="I68" s="31" t="s">
        <v>73</v>
      </c>
      <c r="J68" s="31" t="s">
        <v>76</v>
      </c>
      <c r="K68" s="31">
        <v>30.0</v>
      </c>
      <c r="L68" s="37">
        <v>1189.5</v>
      </c>
      <c r="M68" s="30">
        <f t="shared" si="1"/>
        <v>39.65</v>
      </c>
      <c r="N68" s="38">
        <v>0.2</v>
      </c>
      <c r="O68" s="30">
        <f>IF($L68="","",$L68*IF($N68="",Settings!$J$11,$N68))</f>
        <v>237.9</v>
      </c>
      <c r="P68" s="30">
        <f t="shared" si="2"/>
        <v>1427.4</v>
      </c>
      <c r="Q68" s="31" t="s">
        <v>84</v>
      </c>
      <c r="R68" s="37"/>
      <c r="S68" s="30">
        <f>IF($L68="","",IF($Q68&lt;&gt;"Yes",0,IF($R68&lt;&gt;"",$R68,ROUND($L68*Settings!$J$4,2))))</f>
        <v>0</v>
      </c>
      <c r="T68" s="40">
        <f t="shared" si="3"/>
        <v>1427.4</v>
      </c>
      <c r="U68" s="30">
        <f t="shared" si="4"/>
        <v>713.7</v>
      </c>
      <c r="V68" s="37">
        <v>1427.4</v>
      </c>
      <c r="W68" s="31" t="s">
        <v>85</v>
      </c>
      <c r="X68" s="34">
        <v>46162.0</v>
      </c>
      <c r="Y68" s="37"/>
      <c r="Z68" s="31"/>
      <c r="AA68" s="34"/>
      <c r="AB68" s="37"/>
      <c r="AC68" s="31"/>
      <c r="AD68" s="34"/>
      <c r="AE68" s="30">
        <f t="shared" si="5"/>
        <v>1427.4</v>
      </c>
      <c r="AF68" s="41">
        <f t="shared" si="6"/>
        <v>1</v>
      </c>
      <c r="AG68" s="40">
        <f t="shared" si="7"/>
        <v>0</v>
      </c>
      <c r="AH68" s="32" t="str">
        <f>IF(OR($L68="",$H68="",$AG68&lt;=0),"",MAX(0,TODAY()-($H68+Settings!$J$6)))</f>
        <v/>
      </c>
      <c r="AI68" s="37"/>
      <c r="AJ68" s="33"/>
      <c r="AK68" s="31"/>
      <c r="AL68" s="31"/>
      <c r="AM68" s="31"/>
      <c r="AN68" s="34"/>
      <c r="AO68" s="44">
        <f t="shared" si="8"/>
        <v>0</v>
      </c>
      <c r="AP68" s="48">
        <f t="shared" si="9"/>
        <v>1189.5</v>
      </c>
      <c r="AQ68" s="33"/>
      <c r="AR68" s="49">
        <f t="shared" si="10"/>
        <v>46179</v>
      </c>
      <c r="AS68" s="49">
        <f t="shared" si="11"/>
        <v>46174</v>
      </c>
      <c r="AT68" s="32">
        <f t="shared" si="12"/>
        <v>2026</v>
      </c>
    </row>
    <row r="69" ht="18.0" customHeight="1">
      <c r="A69" s="31" t="s">
        <v>61</v>
      </c>
      <c r="B69" s="31" t="s">
        <v>62</v>
      </c>
      <c r="C69" s="31" t="s">
        <v>63</v>
      </c>
      <c r="D69" s="32">
        <v>2.2004264E7</v>
      </c>
      <c r="E69" s="33" t="s">
        <v>141</v>
      </c>
      <c r="F69" s="34">
        <v>46148.0</v>
      </c>
      <c r="G69" s="34"/>
      <c r="H69" s="34">
        <v>46141.0</v>
      </c>
      <c r="I69" s="31" t="s">
        <v>73</v>
      </c>
      <c r="J69" s="31" t="s">
        <v>76</v>
      </c>
      <c r="K69" s="31">
        <v>30.0</v>
      </c>
      <c r="L69" s="37">
        <v>2237.5</v>
      </c>
      <c r="M69" s="30">
        <f t="shared" si="1"/>
        <v>74.58333333</v>
      </c>
      <c r="N69" s="38">
        <v>0.2</v>
      </c>
      <c r="O69" s="30">
        <f>IF($L69="","",$L69*IF($N69="",Settings!$J$11,$N69))</f>
        <v>447.5</v>
      </c>
      <c r="P69" s="30">
        <f t="shared" si="2"/>
        <v>2685</v>
      </c>
      <c r="Q69" s="31" t="s">
        <v>79</v>
      </c>
      <c r="R69" s="37"/>
      <c r="S69" s="30">
        <f>IF($L69="","",IF($Q69&lt;&gt;"Yes",0,IF($R69&lt;&gt;"",$R69,ROUND($L69*Settings!$J$4,2))))</f>
        <v>223.75</v>
      </c>
      <c r="T69" s="40">
        <f t="shared" si="3"/>
        <v>2908.75</v>
      </c>
      <c r="U69" s="30">
        <f t="shared" si="4"/>
        <v>1566.25</v>
      </c>
      <c r="V69" s="37">
        <v>2908.75</v>
      </c>
      <c r="W69" s="31" t="s">
        <v>80</v>
      </c>
      <c r="X69" s="34">
        <v>46132.0</v>
      </c>
      <c r="Y69" s="37"/>
      <c r="Z69" s="31"/>
      <c r="AA69" s="34"/>
      <c r="AB69" s="37"/>
      <c r="AC69" s="31"/>
      <c r="AD69" s="34"/>
      <c r="AE69" s="30">
        <f t="shared" si="5"/>
        <v>2908.75</v>
      </c>
      <c r="AF69" s="41">
        <f t="shared" si="6"/>
        <v>1</v>
      </c>
      <c r="AG69" s="40">
        <f t="shared" si="7"/>
        <v>0</v>
      </c>
      <c r="AH69" s="32" t="str">
        <f>IF(OR($L69="",$H69="",$AG69&lt;=0),"",MAX(0,TODAY()-($H69+Settings!$J$6)))</f>
        <v/>
      </c>
      <c r="AI69" s="37">
        <v>223.75</v>
      </c>
      <c r="AJ69" s="33"/>
      <c r="AK69" s="31"/>
      <c r="AL69" s="31"/>
      <c r="AM69" s="31" t="s">
        <v>80</v>
      </c>
      <c r="AN69" s="34">
        <v>46161.0</v>
      </c>
      <c r="AO69" s="44">
        <f t="shared" si="8"/>
        <v>0</v>
      </c>
      <c r="AP69" s="48">
        <f t="shared" si="9"/>
        <v>2237.5</v>
      </c>
      <c r="AQ69" s="33"/>
      <c r="AR69" s="49">
        <f t="shared" si="10"/>
        <v>46148</v>
      </c>
      <c r="AS69" s="49">
        <f t="shared" si="11"/>
        <v>46143</v>
      </c>
      <c r="AT69" s="32">
        <f t="shared" si="12"/>
        <v>2026</v>
      </c>
    </row>
    <row r="70" ht="18.0" customHeight="1">
      <c r="A70" s="31" t="s">
        <v>61</v>
      </c>
      <c r="B70" s="31" t="s">
        <v>62</v>
      </c>
      <c r="C70" s="31" t="s">
        <v>63</v>
      </c>
      <c r="D70" s="32">
        <v>2.2004265E7</v>
      </c>
      <c r="E70" s="33" t="s">
        <v>175</v>
      </c>
      <c r="F70" s="34">
        <v>46183.0</v>
      </c>
      <c r="G70" s="34"/>
      <c r="H70" s="34">
        <v>46141.0</v>
      </c>
      <c r="I70" s="31" t="s">
        <v>73</v>
      </c>
      <c r="J70" s="31" t="s">
        <v>76</v>
      </c>
      <c r="K70" s="31">
        <v>55.0</v>
      </c>
      <c r="L70" s="37">
        <v>2187.25</v>
      </c>
      <c r="M70" s="30">
        <f t="shared" si="1"/>
        <v>39.76818182</v>
      </c>
      <c r="N70" s="38">
        <v>0.2</v>
      </c>
      <c r="O70" s="30">
        <f>IF($L70="","",$L70*IF($N70="",Settings!$J$11,$N70))</f>
        <v>437.45</v>
      </c>
      <c r="P70" s="30">
        <f t="shared" si="2"/>
        <v>2624.7</v>
      </c>
      <c r="Q70" s="31" t="s">
        <v>79</v>
      </c>
      <c r="R70" s="37"/>
      <c r="S70" s="30">
        <f>IF($L70="","",IF($Q70&lt;&gt;"Yes",0,IF($R70&lt;&gt;"",$R70,ROUND($L70*Settings!$J$4,2))))</f>
        <v>218.73</v>
      </c>
      <c r="T70" s="40">
        <f t="shared" si="3"/>
        <v>2843.43</v>
      </c>
      <c r="U70" s="30">
        <f t="shared" si="4"/>
        <v>1531.08</v>
      </c>
      <c r="V70" s="37">
        <v>2843.42</v>
      </c>
      <c r="W70" s="31" t="s">
        <v>80</v>
      </c>
      <c r="X70" s="34">
        <v>46156.0</v>
      </c>
      <c r="Y70" s="37"/>
      <c r="Z70" s="31"/>
      <c r="AA70" s="34"/>
      <c r="AB70" s="37"/>
      <c r="AC70" s="31"/>
      <c r="AD70" s="34"/>
      <c r="AE70" s="30">
        <f t="shared" si="5"/>
        <v>2843.42</v>
      </c>
      <c r="AF70" s="41">
        <f t="shared" si="6"/>
        <v>1</v>
      </c>
      <c r="AG70" s="40">
        <f t="shared" si="7"/>
        <v>0</v>
      </c>
      <c r="AH70" s="32" t="str">
        <f>IF(OR($L70="",$H70="",$AG70&lt;=0),"",MAX(0,TODAY()-($H70+Settings!$J$6)))</f>
        <v/>
      </c>
      <c r="AI70" s="37">
        <v>218.73</v>
      </c>
      <c r="AJ70" s="33"/>
      <c r="AK70" s="31"/>
      <c r="AL70" s="31"/>
      <c r="AM70" s="31" t="s">
        <v>80</v>
      </c>
      <c r="AN70" s="34">
        <v>46202.0</v>
      </c>
      <c r="AO70" s="44">
        <f t="shared" si="8"/>
        <v>0</v>
      </c>
      <c r="AP70" s="48">
        <f t="shared" si="9"/>
        <v>2187.25</v>
      </c>
      <c r="AQ70" s="33"/>
      <c r="AR70" s="49">
        <f t="shared" si="10"/>
        <v>46183</v>
      </c>
      <c r="AS70" s="49">
        <f t="shared" si="11"/>
        <v>46174</v>
      </c>
      <c r="AT70" s="32">
        <f t="shared" si="12"/>
        <v>2026</v>
      </c>
    </row>
    <row r="71" ht="18.0" customHeight="1">
      <c r="A71" s="31" t="s">
        <v>61</v>
      </c>
      <c r="B71" s="31" t="s">
        <v>62</v>
      </c>
      <c r="C71" s="31" t="s">
        <v>63</v>
      </c>
      <c r="D71" s="32">
        <v>2.2004266E7</v>
      </c>
      <c r="E71" s="33" t="s">
        <v>176</v>
      </c>
      <c r="F71" s="34">
        <v>46177.0</v>
      </c>
      <c r="G71" s="34"/>
      <c r="H71" s="34">
        <v>46141.0</v>
      </c>
      <c r="I71" s="31" t="s">
        <v>83</v>
      </c>
      <c r="J71" s="31" t="s">
        <v>76</v>
      </c>
      <c r="K71" s="31">
        <v>30.0</v>
      </c>
      <c r="L71" s="37">
        <v>1934.0</v>
      </c>
      <c r="M71" s="30">
        <f t="shared" si="1"/>
        <v>64.46666667</v>
      </c>
      <c r="N71" s="38">
        <v>0.2</v>
      </c>
      <c r="O71" s="30">
        <f>IF($L71="","",$L71*IF($N71="",Settings!$J$11,$N71))</f>
        <v>386.8</v>
      </c>
      <c r="P71" s="30">
        <f t="shared" si="2"/>
        <v>2320.8</v>
      </c>
      <c r="Q71" s="31" t="s">
        <v>79</v>
      </c>
      <c r="R71" s="37"/>
      <c r="S71" s="30">
        <f>IF($L71="","",IF($Q71&lt;&gt;"Yes",0,IF($R71&lt;&gt;"",$R71,ROUND($L71*Settings!$J$4,2))))</f>
        <v>193.4</v>
      </c>
      <c r="T71" s="40">
        <f t="shared" si="3"/>
        <v>2514.2</v>
      </c>
      <c r="U71" s="30">
        <f t="shared" si="4"/>
        <v>1353.8</v>
      </c>
      <c r="V71" s="37">
        <v>2358.2</v>
      </c>
      <c r="W71" s="31" t="s">
        <v>85</v>
      </c>
      <c r="X71" s="34">
        <v>46174.0</v>
      </c>
      <c r="Y71" s="37"/>
      <c r="Z71" s="31"/>
      <c r="AA71" s="34"/>
      <c r="AB71" s="37"/>
      <c r="AC71" s="31"/>
      <c r="AD71" s="34"/>
      <c r="AE71" s="30">
        <f t="shared" si="5"/>
        <v>2358.2</v>
      </c>
      <c r="AF71" s="41">
        <f t="shared" si="6"/>
        <v>1</v>
      </c>
      <c r="AG71" s="40">
        <f t="shared" si="7"/>
        <v>0</v>
      </c>
      <c r="AH71" s="32" t="str">
        <f>IF(OR($L71="",$H71="",$AG71&lt;=0),"",MAX(0,TODAY()-($H71+Settings!$J$6)))</f>
        <v/>
      </c>
      <c r="AI71" s="37">
        <v>193.4</v>
      </c>
      <c r="AJ71" s="33" t="s">
        <v>171</v>
      </c>
      <c r="AK71" s="131">
        <v>29364.0</v>
      </c>
      <c r="AL71" s="31">
        <v>1.8260492E7</v>
      </c>
      <c r="AM71" s="31" t="s">
        <v>85</v>
      </c>
      <c r="AN71" s="34">
        <v>46180.0</v>
      </c>
      <c r="AO71" s="44">
        <f t="shared" si="8"/>
        <v>0</v>
      </c>
      <c r="AP71" s="48">
        <f t="shared" si="9"/>
        <v>1934</v>
      </c>
      <c r="AQ71" s="33"/>
      <c r="AR71" s="49">
        <f t="shared" si="10"/>
        <v>46177</v>
      </c>
      <c r="AS71" s="49">
        <f t="shared" si="11"/>
        <v>46174</v>
      </c>
      <c r="AT71" s="32">
        <f t="shared" si="12"/>
        <v>2026</v>
      </c>
    </row>
    <row r="72" ht="18.0" customHeight="1">
      <c r="A72" s="31" t="s">
        <v>61</v>
      </c>
      <c r="B72" s="31" t="s">
        <v>62</v>
      </c>
      <c r="C72" s="31" t="s">
        <v>63</v>
      </c>
      <c r="D72" s="32">
        <v>2.2004267E7</v>
      </c>
      <c r="E72" s="33" t="s">
        <v>708</v>
      </c>
      <c r="F72" s="34">
        <v>46191.0</v>
      </c>
      <c r="G72" s="34"/>
      <c r="H72" s="34">
        <v>46142.0</v>
      </c>
      <c r="I72" s="31" t="s">
        <v>73</v>
      </c>
      <c r="J72" s="31" t="s">
        <v>76</v>
      </c>
      <c r="K72" s="31">
        <v>200.0</v>
      </c>
      <c r="L72" s="37">
        <v>54536.5</v>
      </c>
      <c r="M72" s="30">
        <f t="shared" si="1"/>
        <v>272.6825</v>
      </c>
      <c r="N72" s="38">
        <v>0.2</v>
      </c>
      <c r="O72" s="30">
        <f>IF($L72="","",$L72*IF($N72="",Settings!$J$11,$N72))</f>
        <v>10907.3</v>
      </c>
      <c r="P72" s="30">
        <f t="shared" si="2"/>
        <v>65443.8</v>
      </c>
      <c r="Q72" s="31" t="s">
        <v>79</v>
      </c>
      <c r="R72" s="37"/>
      <c r="S72" s="30">
        <f>IF($L72="","",IF($Q72&lt;&gt;"Yes",0,IF($R72&lt;&gt;"",$R72,ROUND($L72*Settings!$J$4,2))))</f>
        <v>5453.65</v>
      </c>
      <c r="T72" s="40">
        <f t="shared" si="3"/>
        <v>70897.45</v>
      </c>
      <c r="U72" s="30">
        <f t="shared" si="4"/>
        <v>38175.55</v>
      </c>
      <c r="V72" s="37">
        <v>32721.84</v>
      </c>
      <c r="W72" s="31" t="s">
        <v>80</v>
      </c>
      <c r="X72" s="34">
        <v>46194.0</v>
      </c>
      <c r="Y72" s="37">
        <v>38175.48</v>
      </c>
      <c r="Z72" s="31" t="s">
        <v>80</v>
      </c>
      <c r="AA72" s="34">
        <v>46183.0</v>
      </c>
      <c r="AB72" s="37"/>
      <c r="AC72" s="31"/>
      <c r="AD72" s="34"/>
      <c r="AE72" s="30">
        <f t="shared" si="5"/>
        <v>70897.32</v>
      </c>
      <c r="AF72" s="41">
        <f t="shared" si="6"/>
        <v>1</v>
      </c>
      <c r="AG72" s="40">
        <f t="shared" si="7"/>
        <v>0</v>
      </c>
      <c r="AH72" s="32" t="str">
        <f>IF(OR($L72="",$H72="",$AG72&lt;=0),"",MAX(0,TODAY()-($H72+Settings!$J$6)))</f>
        <v/>
      </c>
      <c r="AI72" s="37">
        <v>5453.65</v>
      </c>
      <c r="AJ72" s="33"/>
      <c r="AK72" s="31"/>
      <c r="AL72" s="31"/>
      <c r="AM72" s="31"/>
      <c r="AN72" s="34"/>
      <c r="AO72" s="44">
        <f t="shared" si="8"/>
        <v>0</v>
      </c>
      <c r="AP72" s="48">
        <f t="shared" si="9"/>
        <v>54536.5</v>
      </c>
      <c r="AQ72" s="33"/>
      <c r="AR72" s="49">
        <f t="shared" si="10"/>
        <v>46191</v>
      </c>
      <c r="AS72" s="49">
        <f t="shared" si="11"/>
        <v>46174</v>
      </c>
      <c r="AT72" s="32">
        <f t="shared" si="12"/>
        <v>2026</v>
      </c>
    </row>
    <row r="73" ht="18.0" customHeight="1">
      <c r="A73" s="31" t="s">
        <v>61</v>
      </c>
      <c r="B73" s="31" t="s">
        <v>62</v>
      </c>
      <c r="C73" s="31" t="s">
        <v>63</v>
      </c>
      <c r="D73" s="32">
        <v>2.2004268E7</v>
      </c>
      <c r="E73" s="33" t="s">
        <v>148</v>
      </c>
      <c r="F73" s="34">
        <v>46176.0</v>
      </c>
      <c r="G73" s="34"/>
      <c r="H73" s="34">
        <v>46142.0</v>
      </c>
      <c r="I73" s="31" t="s">
        <v>73</v>
      </c>
      <c r="J73" s="31" t="s">
        <v>76</v>
      </c>
      <c r="K73" s="31">
        <v>12.0</v>
      </c>
      <c r="L73" s="37"/>
      <c r="M73" s="30" t="str">
        <f t="shared" si="1"/>
        <v/>
      </c>
      <c r="N73" s="38">
        <v>0.2</v>
      </c>
      <c r="O73" s="30" t="str">
        <f>IF($L73="","",$L73*IF($N73="",Settings!$J$11,$N73))</f>
        <v/>
      </c>
      <c r="P73" s="30" t="str">
        <f t="shared" si="2"/>
        <v/>
      </c>
      <c r="Q73" s="31" t="s">
        <v>79</v>
      </c>
      <c r="R73" s="37"/>
      <c r="S73" s="30" t="str">
        <f>IF($L73="","",IF($Q73&lt;&gt;"Yes",0,IF($R73&lt;&gt;"",$R73,ROUND($L73*Settings!$J$4,2))))</f>
        <v/>
      </c>
      <c r="T73" s="40" t="str">
        <f t="shared" si="3"/>
        <v/>
      </c>
      <c r="U73" s="30" t="str">
        <f t="shared" si="4"/>
        <v/>
      </c>
      <c r="V73" s="37"/>
      <c r="W73" s="31"/>
      <c r="X73" s="34"/>
      <c r="Y73" s="37"/>
      <c r="Z73" s="31"/>
      <c r="AA73" s="34"/>
      <c r="AB73" s="37"/>
      <c r="AC73" s="31"/>
      <c r="AD73" s="34"/>
      <c r="AE73" s="30" t="str">
        <f t="shared" si="5"/>
        <v/>
      </c>
      <c r="AF73" s="41" t="str">
        <f t="shared" si="6"/>
        <v/>
      </c>
      <c r="AG73" s="40" t="str">
        <f t="shared" si="7"/>
        <v/>
      </c>
      <c r="AH73" s="32" t="str">
        <f>IF(OR($L73="",$H73="",$AG73&lt;=0),"",MAX(0,TODAY()-($H73+Settings!$J$6)))</f>
        <v/>
      </c>
      <c r="AI73" s="37"/>
      <c r="AJ73" s="33"/>
      <c r="AK73" s="31"/>
      <c r="AL73" s="31"/>
      <c r="AM73" s="31"/>
      <c r="AN73" s="34"/>
      <c r="AO73" s="44">
        <f t="shared" si="8"/>
        <v>0</v>
      </c>
      <c r="AP73" s="48" t="str">
        <f t="shared" si="9"/>
        <v/>
      </c>
      <c r="AQ73" s="33"/>
      <c r="AR73" s="49" t="str">
        <f t="shared" si="10"/>
        <v/>
      </c>
      <c r="AS73" s="49" t="str">
        <f t="shared" si="11"/>
        <v/>
      </c>
      <c r="AT73" s="32" t="str">
        <f t="shared" si="12"/>
        <v/>
      </c>
    </row>
    <row r="74" ht="18.0" customHeight="1">
      <c r="A74" s="31" t="s">
        <v>61</v>
      </c>
      <c r="B74" s="31" t="s">
        <v>62</v>
      </c>
      <c r="C74" s="31" t="s">
        <v>63</v>
      </c>
      <c r="D74" s="32">
        <v>2.2004269E7</v>
      </c>
      <c r="E74" s="33" t="s">
        <v>148</v>
      </c>
      <c r="F74" s="34">
        <v>46177.0</v>
      </c>
      <c r="G74" s="34"/>
      <c r="H74" s="34">
        <v>46142.0</v>
      </c>
      <c r="I74" s="31" t="s">
        <v>73</v>
      </c>
      <c r="J74" s="31" t="s">
        <v>76</v>
      </c>
      <c r="K74" s="31">
        <v>150.0</v>
      </c>
      <c r="L74" s="37">
        <v>7568.0</v>
      </c>
      <c r="M74" s="30">
        <f t="shared" si="1"/>
        <v>50.45333333</v>
      </c>
      <c r="N74" s="38">
        <v>0.2</v>
      </c>
      <c r="O74" s="30">
        <f>IF($L74="","",$L74*IF($N74="",Settings!$J$11,$N74))</f>
        <v>1513.6</v>
      </c>
      <c r="P74" s="30">
        <f t="shared" si="2"/>
        <v>9081.6</v>
      </c>
      <c r="Q74" s="31" t="s">
        <v>79</v>
      </c>
      <c r="R74" s="37"/>
      <c r="S74" s="30">
        <f>IF($L74="","",IF($Q74&lt;&gt;"Yes",0,IF($R74&lt;&gt;"",$R74,ROUND($L74*Settings!$J$4,2))))</f>
        <v>756.8</v>
      </c>
      <c r="T74" s="40">
        <f t="shared" si="3"/>
        <v>9838.4</v>
      </c>
      <c r="U74" s="30">
        <f t="shared" si="4"/>
        <v>5297.6</v>
      </c>
      <c r="V74" s="37">
        <v>9081.6</v>
      </c>
      <c r="W74" s="31" t="s">
        <v>80</v>
      </c>
      <c r="X74" s="34">
        <v>46161.0</v>
      </c>
      <c r="Y74" s="37">
        <v>14564.75</v>
      </c>
      <c r="Z74" s="31" t="s">
        <v>80</v>
      </c>
      <c r="AA74" s="34">
        <v>46169.0</v>
      </c>
      <c r="AB74" s="37">
        <v>4470.6</v>
      </c>
      <c r="AC74" s="31" t="s">
        <v>80</v>
      </c>
      <c r="AD74" s="34">
        <v>46175.0</v>
      </c>
      <c r="AE74" s="30">
        <f t="shared" si="5"/>
        <v>28116.95</v>
      </c>
      <c r="AF74" s="41">
        <f t="shared" si="6"/>
        <v>1</v>
      </c>
      <c r="AG74" s="40">
        <f t="shared" si="7"/>
        <v>0</v>
      </c>
      <c r="AH74" s="32" t="str">
        <f>IF(OR($L74="",$H74="",$AG74&lt;=0),"",MAX(0,TODAY()-($H74+Settings!$J$6)))</f>
        <v/>
      </c>
      <c r="AI74" s="37">
        <v>756.8</v>
      </c>
      <c r="AJ74" s="33"/>
      <c r="AK74" s="31"/>
      <c r="AL74" s="31"/>
      <c r="AM74" s="31" t="s">
        <v>80</v>
      </c>
      <c r="AN74" s="34">
        <v>46183.0</v>
      </c>
      <c r="AO74" s="44">
        <f t="shared" si="8"/>
        <v>0</v>
      </c>
      <c r="AP74" s="48">
        <f t="shared" si="9"/>
        <v>7568</v>
      </c>
      <c r="AQ74" s="33"/>
      <c r="AR74" s="49">
        <f t="shared" si="10"/>
        <v>46177</v>
      </c>
      <c r="AS74" s="49">
        <f t="shared" si="11"/>
        <v>46174</v>
      </c>
      <c r="AT74" s="32">
        <f t="shared" si="12"/>
        <v>2026</v>
      </c>
    </row>
    <row r="75" ht="18.0" customHeight="1">
      <c r="A75" s="31" t="s">
        <v>61</v>
      </c>
      <c r="B75" s="31" t="s">
        <v>62</v>
      </c>
      <c r="C75" s="31" t="s">
        <v>63</v>
      </c>
      <c r="D75" s="32">
        <v>2.200427E7</v>
      </c>
      <c r="E75" s="33" t="s">
        <v>139</v>
      </c>
      <c r="F75" s="34">
        <v>46154.0</v>
      </c>
      <c r="G75" s="34"/>
      <c r="H75" s="34">
        <v>46148.0</v>
      </c>
      <c r="I75" s="31" t="s">
        <v>83</v>
      </c>
      <c r="J75" s="31" t="s">
        <v>76</v>
      </c>
      <c r="K75" s="31">
        <v>30.0</v>
      </c>
      <c r="L75" s="37">
        <v>638.0</v>
      </c>
      <c r="M75" s="30">
        <f t="shared" si="1"/>
        <v>21.26666667</v>
      </c>
      <c r="N75" s="38">
        <v>0.2</v>
      </c>
      <c r="O75" s="30">
        <f>IF($L75="","",$L75*IF($N75="",Settings!$J$11,$N75))</f>
        <v>127.6</v>
      </c>
      <c r="P75" s="30">
        <f t="shared" si="2"/>
        <v>765.6</v>
      </c>
      <c r="Q75" s="31" t="s">
        <v>84</v>
      </c>
      <c r="R75" s="37"/>
      <c r="S75" s="30">
        <f>IF($L75="","",IF($Q75&lt;&gt;"Yes",0,IF($R75&lt;&gt;"",$R75,ROUND($L75*Settings!$J$4,2))))</f>
        <v>0</v>
      </c>
      <c r="T75" s="40">
        <f t="shared" si="3"/>
        <v>765.6</v>
      </c>
      <c r="U75" s="30">
        <f t="shared" si="4"/>
        <v>382.8</v>
      </c>
      <c r="V75" s="37"/>
      <c r="W75" s="31"/>
      <c r="X75" s="34"/>
      <c r="Y75" s="37"/>
      <c r="Z75" s="31"/>
      <c r="AA75" s="34"/>
      <c r="AB75" s="37"/>
      <c r="AC75" s="31"/>
      <c r="AD75" s="34"/>
      <c r="AE75" s="30">
        <f t="shared" si="5"/>
        <v>0</v>
      </c>
      <c r="AF75" s="41">
        <f t="shared" si="6"/>
        <v>1</v>
      </c>
      <c r="AG75" s="40">
        <f t="shared" si="7"/>
        <v>0</v>
      </c>
      <c r="AH75" s="32" t="str">
        <f>IF(OR($L75="",$H75="",$AG75&lt;=0),"",MAX(0,TODAY()-($H75+Settings!$J$6)))</f>
        <v/>
      </c>
      <c r="AI75" s="37"/>
      <c r="AJ75" s="33"/>
      <c r="AK75" s="31"/>
      <c r="AL75" s="31"/>
      <c r="AM75" s="31"/>
      <c r="AN75" s="34"/>
      <c r="AO75" s="44">
        <f t="shared" si="8"/>
        <v>0</v>
      </c>
      <c r="AP75" s="48">
        <f t="shared" si="9"/>
        <v>638</v>
      </c>
      <c r="AQ75" s="33"/>
      <c r="AR75" s="49">
        <f t="shared" si="10"/>
        <v>46154</v>
      </c>
      <c r="AS75" s="49">
        <f t="shared" si="11"/>
        <v>46143</v>
      </c>
      <c r="AT75" s="32">
        <f t="shared" si="12"/>
        <v>2026</v>
      </c>
    </row>
    <row r="76" ht="18.0" customHeight="1">
      <c r="A76" s="31" t="s">
        <v>61</v>
      </c>
      <c r="B76" s="31" t="s">
        <v>62</v>
      </c>
      <c r="C76" s="31" t="s">
        <v>63</v>
      </c>
      <c r="D76" s="32">
        <v>2.2004271E7</v>
      </c>
      <c r="E76" s="33" t="s">
        <v>139</v>
      </c>
      <c r="F76" s="34">
        <v>46156.0</v>
      </c>
      <c r="G76" s="34"/>
      <c r="H76" s="34">
        <v>46148.0</v>
      </c>
      <c r="I76" s="31" t="s">
        <v>83</v>
      </c>
      <c r="J76" s="31" t="s">
        <v>76</v>
      </c>
      <c r="K76" s="31">
        <v>20.0</v>
      </c>
      <c r="L76" s="37">
        <v>452.0</v>
      </c>
      <c r="M76" s="30">
        <f t="shared" si="1"/>
        <v>22.6</v>
      </c>
      <c r="N76" s="38">
        <v>0.2</v>
      </c>
      <c r="O76" s="30">
        <f>IF($L76="","",$L76*IF($N76="",Settings!$J$11,$N76))</f>
        <v>90.4</v>
      </c>
      <c r="P76" s="30">
        <f t="shared" si="2"/>
        <v>542.4</v>
      </c>
      <c r="Q76" s="31" t="s">
        <v>84</v>
      </c>
      <c r="R76" s="37"/>
      <c r="S76" s="30">
        <f>IF($L76="","",IF($Q76&lt;&gt;"Yes",0,IF($R76&lt;&gt;"",$R76,ROUND($L76*Settings!$J$4,2))))</f>
        <v>0</v>
      </c>
      <c r="T76" s="40">
        <f t="shared" si="3"/>
        <v>542.4</v>
      </c>
      <c r="U76" s="30">
        <f t="shared" si="4"/>
        <v>271.2</v>
      </c>
      <c r="V76" s="37"/>
      <c r="W76" s="31"/>
      <c r="X76" s="34"/>
      <c r="Y76" s="37"/>
      <c r="Z76" s="31"/>
      <c r="AA76" s="34"/>
      <c r="AB76" s="37"/>
      <c r="AC76" s="31"/>
      <c r="AD76" s="34"/>
      <c r="AE76" s="30">
        <f t="shared" si="5"/>
        <v>0</v>
      </c>
      <c r="AF76" s="41">
        <f t="shared" si="6"/>
        <v>1</v>
      </c>
      <c r="AG76" s="40">
        <f t="shared" si="7"/>
        <v>0</v>
      </c>
      <c r="AH76" s="32" t="str">
        <f>IF(OR($L76="",$H76="",$AG76&lt;=0),"",MAX(0,TODAY()-($H76+Settings!$J$6)))</f>
        <v/>
      </c>
      <c r="AI76" s="37"/>
      <c r="AJ76" s="33"/>
      <c r="AK76" s="31"/>
      <c r="AL76" s="31"/>
      <c r="AM76" s="31"/>
      <c r="AN76" s="34"/>
      <c r="AO76" s="44">
        <f t="shared" si="8"/>
        <v>0</v>
      </c>
      <c r="AP76" s="48">
        <f t="shared" si="9"/>
        <v>452</v>
      </c>
      <c r="AQ76" s="33"/>
      <c r="AR76" s="49">
        <f t="shared" si="10"/>
        <v>46156</v>
      </c>
      <c r="AS76" s="49">
        <f t="shared" si="11"/>
        <v>46143</v>
      </c>
      <c r="AT76" s="32">
        <f t="shared" si="12"/>
        <v>2026</v>
      </c>
    </row>
    <row r="77" ht="18.0" customHeight="1">
      <c r="A77" s="31" t="s">
        <v>61</v>
      </c>
      <c r="B77" s="31" t="s">
        <v>62</v>
      </c>
      <c r="C77" s="31" t="s">
        <v>63</v>
      </c>
      <c r="D77" s="32">
        <v>2.2004272E7</v>
      </c>
      <c r="E77" s="33" t="s">
        <v>161</v>
      </c>
      <c r="F77" s="34">
        <v>46154.0</v>
      </c>
      <c r="G77" s="34"/>
      <c r="H77" s="34">
        <v>46149.0</v>
      </c>
      <c r="I77" s="31" t="s">
        <v>83</v>
      </c>
      <c r="J77" s="31" t="s">
        <v>76</v>
      </c>
      <c r="K77" s="31">
        <v>20.0</v>
      </c>
      <c r="L77" s="37">
        <v>2594.0</v>
      </c>
      <c r="M77" s="30">
        <f t="shared" si="1"/>
        <v>129.7</v>
      </c>
      <c r="N77" s="38">
        <v>0.2</v>
      </c>
      <c r="O77" s="30">
        <f>IF($L77="","",$L77*IF($N77="",Settings!$J$11,$N77))</f>
        <v>518.8</v>
      </c>
      <c r="P77" s="30">
        <f t="shared" si="2"/>
        <v>3112.8</v>
      </c>
      <c r="Q77" s="31" t="s">
        <v>84</v>
      </c>
      <c r="R77" s="37"/>
      <c r="S77" s="30">
        <f>IF($L77="","",IF($Q77&lt;&gt;"Yes",0,IF($R77&lt;&gt;"",$R77,ROUND($L77*Settings!$J$4,2))))</f>
        <v>0</v>
      </c>
      <c r="T77" s="40">
        <f t="shared" si="3"/>
        <v>3112.8</v>
      </c>
      <c r="U77" s="30">
        <f t="shared" si="4"/>
        <v>1556.4</v>
      </c>
      <c r="V77" s="37">
        <v>2594.0</v>
      </c>
      <c r="W77" s="31" t="s">
        <v>80</v>
      </c>
      <c r="X77" s="34">
        <v>46150.0</v>
      </c>
      <c r="Y77" s="37"/>
      <c r="Z77" s="31"/>
      <c r="AA77" s="34"/>
      <c r="AB77" s="37"/>
      <c r="AC77" s="31"/>
      <c r="AD77" s="34"/>
      <c r="AE77" s="30">
        <f t="shared" si="5"/>
        <v>2594</v>
      </c>
      <c r="AF77" s="41">
        <f t="shared" si="6"/>
        <v>1</v>
      </c>
      <c r="AG77" s="40">
        <f t="shared" si="7"/>
        <v>0</v>
      </c>
      <c r="AH77" s="32" t="str">
        <f>IF(OR($L77="",$H77="",$AG77&lt;=0),"",MAX(0,TODAY()-($H77+Settings!$J$6)))</f>
        <v/>
      </c>
      <c r="AI77" s="37"/>
      <c r="AJ77" s="33"/>
      <c r="AK77" s="31"/>
      <c r="AL77" s="31"/>
      <c r="AM77" s="31"/>
      <c r="AN77" s="34"/>
      <c r="AO77" s="44">
        <f t="shared" si="8"/>
        <v>0</v>
      </c>
      <c r="AP77" s="48">
        <f t="shared" si="9"/>
        <v>2594</v>
      </c>
      <c r="AQ77" s="33"/>
      <c r="AR77" s="49">
        <f t="shared" si="10"/>
        <v>46154</v>
      </c>
      <c r="AS77" s="49">
        <f t="shared" si="11"/>
        <v>46143</v>
      </c>
      <c r="AT77" s="32">
        <f t="shared" si="12"/>
        <v>2026</v>
      </c>
    </row>
    <row r="78" ht="18.0" customHeight="1">
      <c r="A78" s="31" t="s">
        <v>61</v>
      </c>
      <c r="B78" s="31" t="s">
        <v>62</v>
      </c>
      <c r="C78" s="31" t="s">
        <v>63</v>
      </c>
      <c r="D78" s="32">
        <v>2.2004273E7</v>
      </c>
      <c r="E78" s="33" t="s">
        <v>141</v>
      </c>
      <c r="F78" s="34"/>
      <c r="G78" s="34"/>
      <c r="H78" s="34">
        <v>46149.0</v>
      </c>
      <c r="I78" s="31" t="s">
        <v>83</v>
      </c>
      <c r="J78" s="31" t="s">
        <v>76</v>
      </c>
      <c r="K78" s="31">
        <v>75.0</v>
      </c>
      <c r="L78" s="37">
        <v>6483.0</v>
      </c>
      <c r="M78" s="30">
        <f t="shared" si="1"/>
        <v>86.44</v>
      </c>
      <c r="N78" s="38">
        <v>0.2</v>
      </c>
      <c r="O78" s="30">
        <f>IF($L78="","",$L78*IF($N78="",Settings!$J$11,$N78))</f>
        <v>1296.6</v>
      </c>
      <c r="P78" s="30">
        <f t="shared" si="2"/>
        <v>7779.6</v>
      </c>
      <c r="Q78" s="31" t="s">
        <v>79</v>
      </c>
      <c r="R78" s="37"/>
      <c r="S78" s="30">
        <f>IF($L78="","",IF($Q78&lt;&gt;"Yes",0,IF($R78&lt;&gt;"",$R78,ROUND($L78*Settings!$J$4,2))))</f>
        <v>648.3</v>
      </c>
      <c r="T78" s="40">
        <f t="shared" si="3"/>
        <v>8427.9</v>
      </c>
      <c r="U78" s="30">
        <f t="shared" si="4"/>
        <v>4538.1</v>
      </c>
      <c r="V78" s="37">
        <v>11469.6</v>
      </c>
      <c r="W78" s="31" t="s">
        <v>80</v>
      </c>
      <c r="X78" s="34">
        <v>46150.0</v>
      </c>
      <c r="Y78" s="37"/>
      <c r="Z78" s="31"/>
      <c r="AA78" s="34"/>
      <c r="AB78" s="37"/>
      <c r="AC78" s="31"/>
      <c r="AD78" s="34"/>
      <c r="AE78" s="30">
        <f t="shared" si="5"/>
        <v>11469.6</v>
      </c>
      <c r="AF78" s="41">
        <f t="shared" si="6"/>
        <v>1</v>
      </c>
      <c r="AG78" s="40">
        <f t="shared" si="7"/>
        <v>0</v>
      </c>
      <c r="AH78" s="32" t="str">
        <f>IF(OR($L78="",$H78="",$AG78&lt;=0),"",MAX(0,TODAY()-($H78+Settings!$J$6)))</f>
        <v/>
      </c>
      <c r="AI78" s="37">
        <v>648.3</v>
      </c>
      <c r="AJ78" s="33"/>
      <c r="AK78" s="31"/>
      <c r="AL78" s="31"/>
      <c r="AM78" s="31" t="s">
        <v>80</v>
      </c>
      <c r="AN78" s="34">
        <v>46161.0</v>
      </c>
      <c r="AO78" s="44">
        <f t="shared" si="8"/>
        <v>0</v>
      </c>
      <c r="AP78" s="48">
        <f t="shared" si="9"/>
        <v>6483</v>
      </c>
      <c r="AQ78" s="33" t="s">
        <v>774</v>
      </c>
      <c r="AR78" s="49" t="str">
        <f t="shared" si="10"/>
        <v/>
      </c>
      <c r="AS78" s="49" t="str">
        <f t="shared" si="11"/>
        <v/>
      </c>
      <c r="AT78" s="32">
        <f t="shared" si="12"/>
        <v>2026</v>
      </c>
    </row>
    <row r="79" ht="18.0" customHeight="1">
      <c r="A79" s="31" t="s">
        <v>61</v>
      </c>
      <c r="B79" s="31" t="s">
        <v>62</v>
      </c>
      <c r="C79" s="31" t="s">
        <v>63</v>
      </c>
      <c r="D79" s="32">
        <v>2.2004274E7</v>
      </c>
      <c r="E79" s="33" t="s">
        <v>777</v>
      </c>
      <c r="F79" s="34">
        <v>45798.0</v>
      </c>
      <c r="G79" s="34"/>
      <c r="H79" s="34">
        <v>46157.0</v>
      </c>
      <c r="I79" s="31" t="s">
        <v>73</v>
      </c>
      <c r="J79" s="31" t="s">
        <v>76</v>
      </c>
      <c r="K79" s="31">
        <v>30.0</v>
      </c>
      <c r="L79" s="37">
        <v>836.0</v>
      </c>
      <c r="M79" s="30">
        <f t="shared" si="1"/>
        <v>27.86666667</v>
      </c>
      <c r="N79" s="38">
        <v>0.2</v>
      </c>
      <c r="O79" s="30">
        <f>IF($L79="","",$L79*IF($N79="",Settings!$J$11,$N79))</f>
        <v>167.2</v>
      </c>
      <c r="P79" s="30">
        <f t="shared" si="2"/>
        <v>1003.2</v>
      </c>
      <c r="Q79" s="31" t="s">
        <v>79</v>
      </c>
      <c r="R79" s="37"/>
      <c r="S79" s="30">
        <f>IF($L79="","",IF($Q79&lt;&gt;"Yes",0,IF($R79&lt;&gt;"",$R79,ROUND($L79*Settings!$J$4,2))))</f>
        <v>83.6</v>
      </c>
      <c r="T79" s="40">
        <f t="shared" si="3"/>
        <v>1086.8</v>
      </c>
      <c r="U79" s="30">
        <f t="shared" si="4"/>
        <v>585.2</v>
      </c>
      <c r="V79" s="37">
        <v>1086.8</v>
      </c>
      <c r="W79" s="31" t="s">
        <v>80</v>
      </c>
      <c r="X79" s="34">
        <v>46158.0</v>
      </c>
      <c r="Y79" s="37"/>
      <c r="Z79" s="31"/>
      <c r="AA79" s="34"/>
      <c r="AB79" s="37"/>
      <c r="AC79" s="31"/>
      <c r="AD79" s="34"/>
      <c r="AE79" s="30">
        <f t="shared" si="5"/>
        <v>1086.8</v>
      </c>
      <c r="AF79" s="41">
        <f t="shared" si="6"/>
        <v>1</v>
      </c>
      <c r="AG79" s="40">
        <f t="shared" si="7"/>
        <v>0</v>
      </c>
      <c r="AH79" s="32" t="str">
        <f>IF(OR($L79="",$H79="",$AG79&lt;=0),"",MAX(0,TODAY()-($H79+Settings!$J$6)))</f>
        <v/>
      </c>
      <c r="AI79" s="37">
        <v>83.6</v>
      </c>
      <c r="AJ79" s="33"/>
      <c r="AK79" s="31"/>
      <c r="AL79" s="31"/>
      <c r="AM79" s="31"/>
      <c r="AN79" s="34"/>
      <c r="AO79" s="44">
        <f t="shared" si="8"/>
        <v>0</v>
      </c>
      <c r="AP79" s="48">
        <f t="shared" si="9"/>
        <v>836</v>
      </c>
      <c r="AQ79" s="33"/>
      <c r="AR79" s="49">
        <f t="shared" si="10"/>
        <v>45798</v>
      </c>
      <c r="AS79" s="49">
        <f t="shared" si="11"/>
        <v>45778</v>
      </c>
      <c r="AT79" s="32">
        <f t="shared" si="12"/>
        <v>2025</v>
      </c>
    </row>
    <row r="80" ht="18.0" customHeight="1">
      <c r="A80" s="31" t="s">
        <v>61</v>
      </c>
      <c r="B80" s="31" t="s">
        <v>62</v>
      </c>
      <c r="C80" s="31" t="s">
        <v>63</v>
      </c>
      <c r="D80" s="32">
        <v>2.2004275E7</v>
      </c>
      <c r="E80" s="33" t="s">
        <v>158</v>
      </c>
      <c r="F80" s="34">
        <v>46211.0</v>
      </c>
      <c r="G80" s="34"/>
      <c r="H80" s="34">
        <v>46160.0</v>
      </c>
      <c r="I80" s="31" t="s">
        <v>83</v>
      </c>
      <c r="J80" s="31" t="s">
        <v>76</v>
      </c>
      <c r="K80" s="31">
        <v>30.0</v>
      </c>
      <c r="L80" s="37">
        <v>2081.8</v>
      </c>
      <c r="M80" s="30">
        <f t="shared" si="1"/>
        <v>69.39333333</v>
      </c>
      <c r="N80" s="38">
        <v>0.2</v>
      </c>
      <c r="O80" s="30">
        <f>IF($L80="","",$L80*IF($N80="",Settings!$J$11,$N80))</f>
        <v>416.36</v>
      </c>
      <c r="P80" s="30">
        <f t="shared" si="2"/>
        <v>2498.16</v>
      </c>
      <c r="Q80" s="31" t="s">
        <v>79</v>
      </c>
      <c r="R80" s="37"/>
      <c r="S80" s="30">
        <f>IF($L80="","",IF($Q80&lt;&gt;"Yes",0,IF($R80&lt;&gt;"",$R80,ROUND($L80*Settings!$J$4,2))))</f>
        <v>208.18</v>
      </c>
      <c r="T80" s="40">
        <f t="shared" si="3"/>
        <v>2706.34</v>
      </c>
      <c r="U80" s="30">
        <f t="shared" si="4"/>
        <v>1457.26</v>
      </c>
      <c r="V80" s="37">
        <v>2590.25</v>
      </c>
      <c r="W80" s="31" t="s">
        <v>80</v>
      </c>
      <c r="X80" s="34">
        <v>46205.0</v>
      </c>
      <c r="Y80" s="37"/>
      <c r="Z80" s="31"/>
      <c r="AA80" s="34"/>
      <c r="AB80" s="37"/>
      <c r="AC80" s="31"/>
      <c r="AD80" s="34"/>
      <c r="AE80" s="30">
        <f t="shared" si="5"/>
        <v>2590.25</v>
      </c>
      <c r="AF80" s="41">
        <f t="shared" si="6"/>
        <v>1</v>
      </c>
      <c r="AG80" s="40">
        <f t="shared" si="7"/>
        <v>0</v>
      </c>
      <c r="AH80" s="32" t="str">
        <f>IF(OR($L80="",$H80="",$AG80&lt;=0),"",MAX(0,TODAY()-($H80+Settings!$J$6)))</f>
        <v/>
      </c>
      <c r="AI80" s="37">
        <v>208.18</v>
      </c>
      <c r="AJ80" s="33"/>
      <c r="AK80" s="31"/>
      <c r="AL80" s="31"/>
      <c r="AM80" s="31" t="s">
        <v>80</v>
      </c>
      <c r="AN80" s="34">
        <v>46219.0</v>
      </c>
      <c r="AO80" s="44">
        <f t="shared" si="8"/>
        <v>0</v>
      </c>
      <c r="AP80" s="48">
        <f t="shared" si="9"/>
        <v>2081.8</v>
      </c>
      <c r="AQ80" s="33"/>
      <c r="AR80" s="49">
        <f t="shared" si="10"/>
        <v>46211</v>
      </c>
      <c r="AS80" s="49">
        <f t="shared" si="11"/>
        <v>46204</v>
      </c>
      <c r="AT80" s="32">
        <f t="shared" si="12"/>
        <v>2026</v>
      </c>
    </row>
    <row r="81" ht="18.0" customHeight="1">
      <c r="A81" s="31" t="s">
        <v>61</v>
      </c>
      <c r="B81" s="31" t="s">
        <v>62</v>
      </c>
      <c r="C81" s="31" t="s">
        <v>251</v>
      </c>
      <c r="D81" s="32">
        <v>2.2004276E7</v>
      </c>
      <c r="E81" s="33" t="s">
        <v>172</v>
      </c>
      <c r="F81" s="34">
        <v>46221.0</v>
      </c>
      <c r="G81" s="34"/>
      <c r="H81" s="34">
        <v>46160.0</v>
      </c>
      <c r="I81" s="31" t="s">
        <v>83</v>
      </c>
      <c r="J81" s="31" t="s">
        <v>76</v>
      </c>
      <c r="K81" s="31">
        <v>18.0</v>
      </c>
      <c r="L81" s="37">
        <v>5112.3</v>
      </c>
      <c r="M81" s="30">
        <f t="shared" si="1"/>
        <v>284.0166667</v>
      </c>
      <c r="N81" s="38">
        <v>0.2</v>
      </c>
      <c r="O81" s="30">
        <f>IF($L81="","",$L81*IF($N81="",Settings!$J$11,$N81))</f>
        <v>1022.46</v>
      </c>
      <c r="P81" s="30">
        <f t="shared" si="2"/>
        <v>6134.76</v>
      </c>
      <c r="Q81" s="31" t="s">
        <v>79</v>
      </c>
      <c r="R81" s="37"/>
      <c r="S81" s="30">
        <f>IF($L81="","",IF($Q81&lt;&gt;"Yes",0,IF($R81&lt;&gt;"",$R81,ROUND($L81*Settings!$J$4,2))))</f>
        <v>511.23</v>
      </c>
      <c r="T81" s="40">
        <f t="shared" si="3"/>
        <v>6645.99</v>
      </c>
      <c r="U81" s="30">
        <f t="shared" si="4"/>
        <v>3578.61</v>
      </c>
      <c r="V81" s="37">
        <v>2416.16</v>
      </c>
      <c r="W81" s="31" t="s">
        <v>80</v>
      </c>
      <c r="X81" s="34">
        <v>46163.0</v>
      </c>
      <c r="Y81" s="37">
        <v>4299.83</v>
      </c>
      <c r="Z81" s="31" t="s">
        <v>80</v>
      </c>
      <c r="AA81" s="34">
        <v>46212.0</v>
      </c>
      <c r="AB81" s="37"/>
      <c r="AC81" s="31"/>
      <c r="AD81" s="34"/>
      <c r="AE81" s="30">
        <f t="shared" si="5"/>
        <v>6715.99</v>
      </c>
      <c r="AF81" s="41">
        <f t="shared" si="6"/>
        <v>1</v>
      </c>
      <c r="AG81" s="40">
        <f t="shared" si="7"/>
        <v>0</v>
      </c>
      <c r="AH81" s="32" t="str">
        <f>IF(OR($L81="",$H81="",$AG81&lt;=0),"",MAX(0,TODAY()-($H81+Settings!$J$6)))</f>
        <v/>
      </c>
      <c r="AI81" s="37">
        <v>511.23</v>
      </c>
      <c r="AJ81" s="33"/>
      <c r="AK81" s="31"/>
      <c r="AL81" s="31"/>
      <c r="AM81" s="31" t="s">
        <v>80</v>
      </c>
      <c r="AN81" s="34">
        <v>46225.0</v>
      </c>
      <c r="AO81" s="44">
        <f t="shared" si="8"/>
        <v>0</v>
      </c>
      <c r="AP81" s="48">
        <f t="shared" si="9"/>
        <v>5112.3</v>
      </c>
      <c r="AQ81" s="33"/>
      <c r="AR81" s="49">
        <f t="shared" si="10"/>
        <v>46221</v>
      </c>
      <c r="AS81" s="49">
        <f t="shared" si="11"/>
        <v>46204</v>
      </c>
      <c r="AT81" s="32">
        <f t="shared" si="12"/>
        <v>2026</v>
      </c>
    </row>
    <row r="82" ht="18.0" customHeight="1">
      <c r="A82" s="31" t="s">
        <v>61</v>
      </c>
      <c r="B82" s="31" t="s">
        <v>62</v>
      </c>
      <c r="C82" s="31" t="s">
        <v>63</v>
      </c>
      <c r="D82" s="32">
        <v>2.2004277E7</v>
      </c>
      <c r="E82" s="33" t="s">
        <v>86</v>
      </c>
      <c r="F82" s="34">
        <v>46191.0</v>
      </c>
      <c r="G82" s="34"/>
      <c r="H82" s="34">
        <v>46162.0</v>
      </c>
      <c r="I82" s="31" t="s">
        <v>83</v>
      </c>
      <c r="J82" s="31" t="s">
        <v>76</v>
      </c>
      <c r="K82" s="31">
        <v>80.0</v>
      </c>
      <c r="L82" s="37">
        <v>4987.0</v>
      </c>
      <c r="M82" s="30">
        <f t="shared" si="1"/>
        <v>62.3375</v>
      </c>
      <c r="N82" s="38">
        <v>0.2</v>
      </c>
      <c r="O82" s="30">
        <f>IF($L82="","",$L82*IF($N82="",Settings!$J$11,$N82))</f>
        <v>997.4</v>
      </c>
      <c r="P82" s="30">
        <f t="shared" si="2"/>
        <v>5984.4</v>
      </c>
      <c r="Q82" s="31" t="s">
        <v>79</v>
      </c>
      <c r="R82" s="37"/>
      <c r="S82" s="30">
        <f>IF($L82="","",IF($Q82&lt;&gt;"Yes",0,IF($R82&lt;&gt;"",$R82,ROUND($L82*Settings!$J$4,2))))</f>
        <v>498.7</v>
      </c>
      <c r="T82" s="40">
        <f t="shared" si="3"/>
        <v>6483.1</v>
      </c>
      <c r="U82" s="30">
        <f t="shared" si="4"/>
        <v>3490.9</v>
      </c>
      <c r="V82" s="37">
        <v>5984.4</v>
      </c>
      <c r="W82" s="31" t="s">
        <v>85</v>
      </c>
      <c r="X82" s="34">
        <v>46185.0</v>
      </c>
      <c r="Y82" s="37">
        <v>150.0</v>
      </c>
      <c r="Z82" s="31" t="s">
        <v>80</v>
      </c>
      <c r="AA82" s="34">
        <v>46181.0</v>
      </c>
      <c r="AB82" s="37"/>
      <c r="AC82" s="31"/>
      <c r="AD82" s="34"/>
      <c r="AE82" s="30">
        <f t="shared" si="5"/>
        <v>6134.4</v>
      </c>
      <c r="AF82" s="41">
        <f t="shared" si="6"/>
        <v>1</v>
      </c>
      <c r="AG82" s="40">
        <f t="shared" si="7"/>
        <v>0</v>
      </c>
      <c r="AH82" s="32" t="str">
        <f>IF(OR($L82="",$H82="",$AG82&lt;=0),"",MAX(0,TODAY()-($H82+Settings!$J$6)))</f>
        <v/>
      </c>
      <c r="AI82" s="37">
        <v>498.7</v>
      </c>
      <c r="AJ82" s="33"/>
      <c r="AK82" s="31"/>
      <c r="AL82" s="31"/>
      <c r="AM82" s="31" t="s">
        <v>80</v>
      </c>
      <c r="AN82" s="34">
        <v>46198.0</v>
      </c>
      <c r="AO82" s="44">
        <f t="shared" si="8"/>
        <v>0</v>
      </c>
      <c r="AP82" s="48">
        <f t="shared" si="9"/>
        <v>4987</v>
      </c>
      <c r="AQ82" s="33"/>
      <c r="AR82" s="49">
        <f t="shared" si="10"/>
        <v>46191</v>
      </c>
      <c r="AS82" s="49">
        <f t="shared" si="11"/>
        <v>46174</v>
      </c>
      <c r="AT82" s="32">
        <f t="shared" si="12"/>
        <v>2026</v>
      </c>
    </row>
    <row r="83" ht="18.0" customHeight="1">
      <c r="A83" s="31" t="s">
        <v>61</v>
      </c>
      <c r="B83" s="31" t="s">
        <v>62</v>
      </c>
      <c r="C83" s="31" t="s">
        <v>63</v>
      </c>
      <c r="D83" s="32">
        <v>2.2004278E7</v>
      </c>
      <c r="E83" s="33" t="s">
        <v>178</v>
      </c>
      <c r="F83" s="34">
        <v>46205.0</v>
      </c>
      <c r="G83" s="34"/>
      <c r="H83" s="34">
        <v>46162.0</v>
      </c>
      <c r="I83" s="31" t="s">
        <v>83</v>
      </c>
      <c r="J83" s="31" t="s">
        <v>76</v>
      </c>
      <c r="K83" s="31">
        <v>275.0</v>
      </c>
      <c r="L83" s="37">
        <v>33957.2</v>
      </c>
      <c r="M83" s="30">
        <f t="shared" si="1"/>
        <v>123.4807273</v>
      </c>
      <c r="N83" s="38">
        <v>0.2</v>
      </c>
      <c r="O83" s="30">
        <f>IF($L83="","",$L83*IF($N83="",Settings!$J$11,$N83))</f>
        <v>6791.44</v>
      </c>
      <c r="P83" s="30">
        <f t="shared" si="2"/>
        <v>40748.64</v>
      </c>
      <c r="Q83" s="31" t="s">
        <v>79</v>
      </c>
      <c r="R83" s="37"/>
      <c r="S83" s="30">
        <f>IF($L83="","",IF($Q83&lt;&gt;"Yes",0,IF($R83&lt;&gt;"",$R83,ROUND($L83*Settings!$J$4,2))))</f>
        <v>3395.72</v>
      </c>
      <c r="T83" s="40">
        <f t="shared" si="3"/>
        <v>44144.36</v>
      </c>
      <c r="U83" s="30">
        <f t="shared" si="4"/>
        <v>23770.04</v>
      </c>
      <c r="V83" s="37">
        <v>20374.32</v>
      </c>
      <c r="W83" s="31" t="s">
        <v>80</v>
      </c>
      <c r="X83" s="34">
        <v>46176.0</v>
      </c>
      <c r="Y83" s="37">
        <v>26363.93</v>
      </c>
      <c r="Z83" s="31" t="s">
        <v>80</v>
      </c>
      <c r="AA83" s="34">
        <v>46203.0</v>
      </c>
      <c r="AB83" s="37"/>
      <c r="AC83" s="31"/>
      <c r="AD83" s="34"/>
      <c r="AE83" s="30">
        <f t="shared" si="5"/>
        <v>46738.25</v>
      </c>
      <c r="AF83" s="41">
        <f t="shared" si="6"/>
        <v>1</v>
      </c>
      <c r="AG83" s="40">
        <f t="shared" si="7"/>
        <v>0</v>
      </c>
      <c r="AH83" s="32" t="str">
        <f>IF(OR($L83="",$H83="",$AG83&lt;=0),"",MAX(0,TODAY()-($H83+Settings!$J$6)))</f>
        <v/>
      </c>
      <c r="AI83" s="37">
        <v>3395.72</v>
      </c>
      <c r="AJ83" s="33"/>
      <c r="AK83" s="31"/>
      <c r="AL83" s="31"/>
      <c r="AM83" s="31" t="s">
        <v>80</v>
      </c>
      <c r="AN83" s="34">
        <v>46209.0</v>
      </c>
      <c r="AO83" s="44">
        <f t="shared" si="8"/>
        <v>0</v>
      </c>
      <c r="AP83" s="48">
        <f t="shared" si="9"/>
        <v>33957.2</v>
      </c>
      <c r="AQ83" s="33"/>
      <c r="AR83" s="49">
        <f t="shared" si="10"/>
        <v>46205</v>
      </c>
      <c r="AS83" s="49">
        <f t="shared" si="11"/>
        <v>46204</v>
      </c>
      <c r="AT83" s="32">
        <f t="shared" si="12"/>
        <v>2026</v>
      </c>
    </row>
    <row r="84" ht="18.0" customHeight="1">
      <c r="A84" s="31" t="s">
        <v>61</v>
      </c>
      <c r="B84" s="31" t="s">
        <v>62</v>
      </c>
      <c r="C84" s="31" t="s">
        <v>63</v>
      </c>
      <c r="D84" s="32">
        <v>2.2004279E7</v>
      </c>
      <c r="E84" s="33" t="s">
        <v>145</v>
      </c>
      <c r="F84" s="34">
        <v>46177.0</v>
      </c>
      <c r="G84" s="34"/>
      <c r="H84" s="34"/>
      <c r="I84" s="31" t="s">
        <v>73</v>
      </c>
      <c r="J84" s="31" t="s">
        <v>76</v>
      </c>
      <c r="K84" s="31">
        <v>50.0</v>
      </c>
      <c r="L84" s="37">
        <v>4773.5</v>
      </c>
      <c r="M84" s="30">
        <f t="shared" si="1"/>
        <v>95.47</v>
      </c>
      <c r="N84" s="38">
        <v>0.2</v>
      </c>
      <c r="O84" s="30">
        <f>IF($L84="","",$L84*IF($N84="",Settings!$J$11,$N84))</f>
        <v>954.7</v>
      </c>
      <c r="P84" s="30">
        <f t="shared" si="2"/>
        <v>5728.2</v>
      </c>
      <c r="Q84" s="31" t="s">
        <v>79</v>
      </c>
      <c r="R84" s="37"/>
      <c r="S84" s="30">
        <f>IF($L84="","",IF($Q84&lt;&gt;"Yes",0,IF($R84&lt;&gt;"",$R84,ROUND($L84*Settings!$J$4,2))))</f>
        <v>477.35</v>
      </c>
      <c r="T84" s="40">
        <f t="shared" si="3"/>
        <v>6205.55</v>
      </c>
      <c r="U84" s="30">
        <f t="shared" si="4"/>
        <v>3341.45</v>
      </c>
      <c r="V84" s="37">
        <v>6205.55</v>
      </c>
      <c r="W84" s="31" t="s">
        <v>80</v>
      </c>
      <c r="X84" s="34">
        <v>46174.0</v>
      </c>
      <c r="Y84" s="37"/>
      <c r="Z84" s="31"/>
      <c r="AA84" s="34"/>
      <c r="AB84" s="37"/>
      <c r="AC84" s="31"/>
      <c r="AD84" s="34"/>
      <c r="AE84" s="30">
        <f t="shared" si="5"/>
        <v>6205.55</v>
      </c>
      <c r="AF84" s="41">
        <f t="shared" si="6"/>
        <v>1</v>
      </c>
      <c r="AG84" s="40">
        <f t="shared" si="7"/>
        <v>0</v>
      </c>
      <c r="AH84" s="32" t="str">
        <f>IF(OR($L84="",$H84="",$AG84&lt;=0),"",MAX(0,TODAY()-($H84+Settings!$J$6)))</f>
        <v/>
      </c>
      <c r="AI84" s="37">
        <v>477.35</v>
      </c>
      <c r="AJ84" s="33"/>
      <c r="AK84" s="31"/>
      <c r="AL84" s="31"/>
      <c r="AM84" s="31" t="s">
        <v>80</v>
      </c>
      <c r="AN84" s="34">
        <v>46198.0</v>
      </c>
      <c r="AO84" s="44">
        <f t="shared" si="8"/>
        <v>0</v>
      </c>
      <c r="AP84" s="48">
        <f t="shared" si="9"/>
        <v>4773.5</v>
      </c>
      <c r="AQ84" s="33"/>
      <c r="AR84" s="49">
        <f t="shared" si="10"/>
        <v>46177</v>
      </c>
      <c r="AS84" s="49">
        <f t="shared" si="11"/>
        <v>46174</v>
      </c>
      <c r="AT84" s="32">
        <f t="shared" si="12"/>
        <v>2026</v>
      </c>
    </row>
    <row r="85" ht="18.0" customHeight="1">
      <c r="A85" s="31" t="s">
        <v>61</v>
      </c>
      <c r="B85" s="31" t="s">
        <v>62</v>
      </c>
      <c r="C85" s="31" t="s">
        <v>63</v>
      </c>
      <c r="D85" s="32">
        <v>2.200428E7</v>
      </c>
      <c r="E85" s="33" t="s">
        <v>832</v>
      </c>
      <c r="F85" s="34">
        <v>46182.0</v>
      </c>
      <c r="G85" s="34"/>
      <c r="H85" s="34">
        <v>374889.0</v>
      </c>
      <c r="I85" s="31" t="s">
        <v>73</v>
      </c>
      <c r="J85" s="31" t="s">
        <v>76</v>
      </c>
      <c r="K85" s="31">
        <v>30.0</v>
      </c>
      <c r="L85" s="37">
        <v>805.5</v>
      </c>
      <c r="M85" s="30">
        <f t="shared" si="1"/>
        <v>26.85</v>
      </c>
      <c r="N85" s="38">
        <v>0.2</v>
      </c>
      <c r="O85" s="30">
        <f>IF($L85="","",$L85*IF($N85="",Settings!$J$11,$N85))</f>
        <v>161.1</v>
      </c>
      <c r="P85" s="30">
        <f t="shared" si="2"/>
        <v>966.6</v>
      </c>
      <c r="Q85" s="31" t="s">
        <v>84</v>
      </c>
      <c r="R85" s="37"/>
      <c r="S85" s="30">
        <f>IF($L85="","",IF($Q85&lt;&gt;"Yes",0,IF($R85&lt;&gt;"",$R85,ROUND($L85*Settings!$J$4,2))))</f>
        <v>0</v>
      </c>
      <c r="T85" s="40">
        <f t="shared" si="3"/>
        <v>966.6</v>
      </c>
      <c r="U85" s="30">
        <f t="shared" si="4"/>
        <v>483.3</v>
      </c>
      <c r="V85" s="37">
        <v>966.6</v>
      </c>
      <c r="W85" s="31" t="s">
        <v>80</v>
      </c>
      <c r="X85" s="34">
        <v>46174.0</v>
      </c>
      <c r="Y85" s="37"/>
      <c r="Z85" s="31"/>
      <c r="AA85" s="34"/>
      <c r="AB85" s="37"/>
      <c r="AC85" s="31"/>
      <c r="AD85" s="34"/>
      <c r="AE85" s="30">
        <f t="shared" si="5"/>
        <v>966.6</v>
      </c>
      <c r="AF85" s="41">
        <f t="shared" si="6"/>
        <v>1</v>
      </c>
      <c r="AG85" s="40">
        <f t="shared" si="7"/>
        <v>0</v>
      </c>
      <c r="AH85" s="32" t="str">
        <f>IF(OR($L85="",$H85="",$AG85&lt;=0),"",MAX(0,TODAY()-($H85+Settings!$J$6)))</f>
        <v/>
      </c>
      <c r="AI85" s="37"/>
      <c r="AJ85" s="33"/>
      <c r="AK85" s="31"/>
      <c r="AL85" s="31"/>
      <c r="AM85" s="31"/>
      <c r="AN85" s="34"/>
      <c r="AO85" s="44">
        <f t="shared" si="8"/>
        <v>0</v>
      </c>
      <c r="AP85" s="48">
        <f t="shared" si="9"/>
        <v>805.5</v>
      </c>
      <c r="AQ85" s="33"/>
      <c r="AR85" s="49">
        <f t="shared" si="10"/>
        <v>46182</v>
      </c>
      <c r="AS85" s="49">
        <f t="shared" si="11"/>
        <v>46174</v>
      </c>
      <c r="AT85" s="32">
        <f t="shared" si="12"/>
        <v>2026</v>
      </c>
    </row>
    <row r="86" ht="18.0" customHeight="1">
      <c r="A86" s="31" t="s">
        <v>61</v>
      </c>
      <c r="B86" s="31" t="s">
        <v>62</v>
      </c>
      <c r="C86" s="31" t="s">
        <v>63</v>
      </c>
      <c r="D86" s="32">
        <v>2.2004281E7</v>
      </c>
      <c r="E86" s="33" t="s">
        <v>142</v>
      </c>
      <c r="F86" s="34"/>
      <c r="G86" s="34"/>
      <c r="H86" s="34">
        <v>46174.0</v>
      </c>
      <c r="I86" s="31" t="s">
        <v>83</v>
      </c>
      <c r="J86" s="31" t="s">
        <v>76</v>
      </c>
      <c r="K86" s="31">
        <v>90.0</v>
      </c>
      <c r="L86" s="37">
        <v>1920.5</v>
      </c>
      <c r="M86" s="30">
        <f t="shared" si="1"/>
        <v>21.33888889</v>
      </c>
      <c r="N86" s="38">
        <v>0.2</v>
      </c>
      <c r="O86" s="30">
        <f>IF($L86="","",$L86*IF($N86="",Settings!$J$11,$N86))</f>
        <v>384.1</v>
      </c>
      <c r="P86" s="30">
        <f t="shared" si="2"/>
        <v>2304.6</v>
      </c>
      <c r="Q86" s="31" t="s">
        <v>84</v>
      </c>
      <c r="R86" s="37"/>
      <c r="S86" s="30">
        <f>IF($L86="","",IF($Q86&lt;&gt;"Yes",0,IF($R86&lt;&gt;"",$R86,ROUND($L86*Settings!$J$4,2))))</f>
        <v>0</v>
      </c>
      <c r="T86" s="40">
        <f t="shared" si="3"/>
        <v>2304.6</v>
      </c>
      <c r="U86" s="30">
        <f t="shared" si="4"/>
        <v>1152.3</v>
      </c>
      <c r="V86" s="37">
        <v>2304.6</v>
      </c>
      <c r="W86" s="31" t="s">
        <v>85</v>
      </c>
      <c r="X86" s="34">
        <v>46234.0</v>
      </c>
      <c r="Y86" s="37"/>
      <c r="Z86" s="31"/>
      <c r="AA86" s="34"/>
      <c r="AB86" s="37"/>
      <c r="AC86" s="31"/>
      <c r="AD86" s="34"/>
      <c r="AE86" s="30">
        <f t="shared" si="5"/>
        <v>2304.6</v>
      </c>
      <c r="AF86" s="41">
        <f t="shared" si="6"/>
        <v>1</v>
      </c>
      <c r="AG86" s="40">
        <f t="shared" si="7"/>
        <v>0</v>
      </c>
      <c r="AH86" s="32" t="str">
        <f>IF(OR($L86="",$H86="",$AG86&lt;=0),"",MAX(0,TODAY()-($H86+Settings!$J$6)))</f>
        <v/>
      </c>
      <c r="AI86" s="37"/>
      <c r="AJ86" s="33"/>
      <c r="AK86" s="31"/>
      <c r="AL86" s="31"/>
      <c r="AM86" s="31"/>
      <c r="AN86" s="34"/>
      <c r="AO86" s="44">
        <f t="shared" si="8"/>
        <v>0</v>
      </c>
      <c r="AP86" s="48">
        <f t="shared" si="9"/>
        <v>1920.5</v>
      </c>
      <c r="AQ86" s="33" t="s">
        <v>847</v>
      </c>
      <c r="AR86" s="49" t="str">
        <f t="shared" si="10"/>
        <v/>
      </c>
      <c r="AS86" s="49" t="str">
        <f t="shared" si="11"/>
        <v/>
      </c>
      <c r="AT86" s="32">
        <f t="shared" si="12"/>
        <v>2026</v>
      </c>
    </row>
    <row r="87" ht="18.0" customHeight="1">
      <c r="A87" s="31" t="s">
        <v>61</v>
      </c>
      <c r="B87" s="31" t="s">
        <v>62</v>
      </c>
      <c r="C87" s="31" t="s">
        <v>251</v>
      </c>
      <c r="D87" s="32">
        <v>2.2004282E7</v>
      </c>
      <c r="E87" s="33" t="s">
        <v>179</v>
      </c>
      <c r="F87" s="34">
        <v>46184.0</v>
      </c>
      <c r="G87" s="34"/>
      <c r="H87" s="34">
        <v>46175.0</v>
      </c>
      <c r="I87" s="31" t="s">
        <v>73</v>
      </c>
      <c r="J87" s="31" t="s">
        <v>76</v>
      </c>
      <c r="K87" s="31">
        <v>65.0</v>
      </c>
      <c r="L87" s="37">
        <v>3736.5</v>
      </c>
      <c r="M87" s="30">
        <f t="shared" si="1"/>
        <v>57.48461538</v>
      </c>
      <c r="N87" s="38">
        <v>0.2</v>
      </c>
      <c r="O87" s="30">
        <f>IF($L87="","",$L87*IF($N87="",Settings!$J$11,$N87))</f>
        <v>747.3</v>
      </c>
      <c r="P87" s="30">
        <f t="shared" si="2"/>
        <v>4483.8</v>
      </c>
      <c r="Q87" s="31" t="s">
        <v>79</v>
      </c>
      <c r="R87" s="37"/>
      <c r="S87" s="30">
        <f>IF($L87="","",IF($Q87&lt;&gt;"Yes",0,IF($R87&lt;&gt;"",$R87,ROUND($L87*Settings!$J$4,2))))</f>
        <v>373.65</v>
      </c>
      <c r="T87" s="40">
        <f t="shared" si="3"/>
        <v>4857.45</v>
      </c>
      <c r="U87" s="30">
        <f t="shared" si="4"/>
        <v>2615.55</v>
      </c>
      <c r="V87" s="37">
        <v>4816.92</v>
      </c>
      <c r="W87" s="31" t="s">
        <v>80</v>
      </c>
      <c r="X87" s="34">
        <v>46177.0</v>
      </c>
      <c r="Y87" s="37"/>
      <c r="Z87" s="31"/>
      <c r="AA87" s="34"/>
      <c r="AB87" s="37"/>
      <c r="AC87" s="31"/>
      <c r="AD87" s="34"/>
      <c r="AE87" s="30">
        <f t="shared" si="5"/>
        <v>4816.92</v>
      </c>
      <c r="AF87" s="41">
        <f t="shared" si="6"/>
        <v>1</v>
      </c>
      <c r="AG87" s="40">
        <f t="shared" si="7"/>
        <v>0</v>
      </c>
      <c r="AH87" s="32" t="str">
        <f>IF(OR($L87="",$H87="",$AG87&lt;=0),"",MAX(0,TODAY()-($H87+Settings!$J$6)))</f>
        <v/>
      </c>
      <c r="AI87" s="37">
        <v>373.65</v>
      </c>
      <c r="AJ87" s="33"/>
      <c r="AK87" s="31"/>
      <c r="AL87" s="31"/>
      <c r="AM87" s="31" t="s">
        <v>80</v>
      </c>
      <c r="AN87" s="34">
        <v>46198.0</v>
      </c>
      <c r="AO87" s="44">
        <f t="shared" si="8"/>
        <v>0</v>
      </c>
      <c r="AP87" s="48">
        <f t="shared" si="9"/>
        <v>3736.5</v>
      </c>
      <c r="AQ87" s="33"/>
      <c r="AR87" s="49">
        <f t="shared" si="10"/>
        <v>46184</v>
      </c>
      <c r="AS87" s="49">
        <f t="shared" si="11"/>
        <v>46174</v>
      </c>
      <c r="AT87" s="32">
        <f t="shared" si="12"/>
        <v>2026</v>
      </c>
    </row>
    <row r="88" ht="18.0" customHeight="1">
      <c r="A88" s="31" t="s">
        <v>61</v>
      </c>
      <c r="B88" s="31" t="s">
        <v>62</v>
      </c>
      <c r="C88" s="31" t="s">
        <v>63</v>
      </c>
      <c r="D88" s="32">
        <v>2.2004283E7</v>
      </c>
      <c r="E88" s="33" t="s">
        <v>150</v>
      </c>
      <c r="F88" s="34">
        <v>46191.0</v>
      </c>
      <c r="G88" s="34"/>
      <c r="H88" s="34">
        <v>46177.0</v>
      </c>
      <c r="I88" s="31" t="s">
        <v>73</v>
      </c>
      <c r="J88" s="31" t="s">
        <v>76</v>
      </c>
      <c r="K88" s="31">
        <v>60.0</v>
      </c>
      <c r="L88" s="37"/>
      <c r="M88" s="30" t="str">
        <f t="shared" si="1"/>
        <v/>
      </c>
      <c r="N88" s="38">
        <v>0.2</v>
      </c>
      <c r="O88" s="30" t="str">
        <f>IF($L88="","",$L88*IF($N88="",Settings!$J$11,$N88))</f>
        <v/>
      </c>
      <c r="P88" s="30" t="str">
        <f t="shared" si="2"/>
        <v/>
      </c>
      <c r="Q88" s="31" t="s">
        <v>79</v>
      </c>
      <c r="R88" s="37"/>
      <c r="S88" s="30" t="str">
        <f>IF($L88="","",IF($Q88&lt;&gt;"Yes",0,IF($R88&lt;&gt;"",$R88,ROUND($L88*Settings!$J$4,2))))</f>
        <v/>
      </c>
      <c r="T88" s="40" t="str">
        <f t="shared" si="3"/>
        <v/>
      </c>
      <c r="U88" s="30" t="str">
        <f t="shared" si="4"/>
        <v/>
      </c>
      <c r="V88" s="37">
        <v>6164.6</v>
      </c>
      <c r="W88" s="31" t="s">
        <v>80</v>
      </c>
      <c r="X88" s="34">
        <v>46181.0</v>
      </c>
      <c r="Y88" s="37"/>
      <c r="Z88" s="31"/>
      <c r="AA88" s="34"/>
      <c r="AB88" s="37"/>
      <c r="AC88" s="31"/>
      <c r="AD88" s="34"/>
      <c r="AE88" s="30" t="str">
        <f t="shared" si="5"/>
        <v/>
      </c>
      <c r="AF88" s="41" t="str">
        <f t="shared" si="6"/>
        <v/>
      </c>
      <c r="AG88" s="40" t="str">
        <f t="shared" si="7"/>
        <v/>
      </c>
      <c r="AH88" s="32" t="str">
        <f>IF(OR($L88="",$H88="",$AG88&lt;=0),"",MAX(0,TODAY()-($H88+Settings!$J$6)))</f>
        <v/>
      </c>
      <c r="AI88" s="37"/>
      <c r="AJ88" s="33"/>
      <c r="AK88" s="31"/>
      <c r="AL88" s="31"/>
      <c r="AM88" s="31" t="s">
        <v>80</v>
      </c>
      <c r="AN88" s="34"/>
      <c r="AO88" s="44">
        <f t="shared" si="8"/>
        <v>0</v>
      </c>
      <c r="AP88" s="48" t="str">
        <f t="shared" si="9"/>
        <v/>
      </c>
      <c r="AQ88" s="33"/>
      <c r="AR88" s="49" t="str">
        <f t="shared" si="10"/>
        <v/>
      </c>
      <c r="AS88" s="49" t="str">
        <f t="shared" si="11"/>
        <v/>
      </c>
      <c r="AT88" s="32" t="str">
        <f t="shared" si="12"/>
        <v/>
      </c>
    </row>
    <row r="89" ht="18.0" customHeight="1">
      <c r="A89" s="31" t="s">
        <v>61</v>
      </c>
      <c r="B89" s="31" t="s">
        <v>62</v>
      </c>
      <c r="C89" s="31" t="s">
        <v>63</v>
      </c>
      <c r="D89" s="32">
        <v>2.2004284E7</v>
      </c>
      <c r="E89" s="33" t="s">
        <v>180</v>
      </c>
      <c r="F89" s="34">
        <v>46189.0</v>
      </c>
      <c r="G89" s="34"/>
      <c r="H89" s="34">
        <v>46178.0</v>
      </c>
      <c r="I89" s="31" t="s">
        <v>73</v>
      </c>
      <c r="J89" s="31" t="s">
        <v>76</v>
      </c>
      <c r="K89" s="31">
        <v>100.0</v>
      </c>
      <c r="L89" s="37">
        <v>7214.5</v>
      </c>
      <c r="M89" s="30">
        <f t="shared" si="1"/>
        <v>72.145</v>
      </c>
      <c r="N89" s="38">
        <v>0.2</v>
      </c>
      <c r="O89" s="30">
        <f>IF($L89="","",$L89*IF($N89="",Settings!$J$11,$N89))</f>
        <v>1442.9</v>
      </c>
      <c r="P89" s="30">
        <f t="shared" si="2"/>
        <v>8657.4</v>
      </c>
      <c r="Q89" s="31" t="s">
        <v>79</v>
      </c>
      <c r="R89" s="37"/>
      <c r="S89" s="30">
        <f>IF($L89="","",IF($Q89&lt;&gt;"Yes",0,IF($R89&lt;&gt;"",$R89,ROUND($L89*Settings!$J$4,2))))</f>
        <v>721.45</v>
      </c>
      <c r="T89" s="40">
        <f t="shared" si="3"/>
        <v>9378.85</v>
      </c>
      <c r="U89" s="30">
        <f t="shared" si="4"/>
        <v>5050.15</v>
      </c>
      <c r="V89" s="37">
        <v>6966.05</v>
      </c>
      <c r="W89" s="31" t="s">
        <v>80</v>
      </c>
      <c r="X89" s="34">
        <v>46183.0</v>
      </c>
      <c r="Y89" s="37">
        <v>2120.03</v>
      </c>
      <c r="Z89" s="31" t="s">
        <v>80</v>
      </c>
      <c r="AA89" s="34"/>
      <c r="AB89" s="37"/>
      <c r="AC89" s="31"/>
      <c r="AD89" s="34"/>
      <c r="AE89" s="30">
        <f t="shared" si="5"/>
        <v>9086.08</v>
      </c>
      <c r="AF89" s="41">
        <f t="shared" si="6"/>
        <v>1</v>
      </c>
      <c r="AG89" s="40">
        <f t="shared" si="7"/>
        <v>0</v>
      </c>
      <c r="AH89" s="32" t="str">
        <f>IF(OR($L89="",$H89="",$AG89&lt;=0),"",MAX(0,TODAY()-($H89+Settings!$J$6)))</f>
        <v/>
      </c>
      <c r="AI89" s="37">
        <v>721.45</v>
      </c>
      <c r="AJ89" s="33"/>
      <c r="AK89" s="31"/>
      <c r="AL89" s="31"/>
      <c r="AM89" s="31" t="s">
        <v>80</v>
      </c>
      <c r="AN89" s="34">
        <v>46198.0</v>
      </c>
      <c r="AO89" s="44">
        <f t="shared" si="8"/>
        <v>0</v>
      </c>
      <c r="AP89" s="48">
        <f t="shared" si="9"/>
        <v>7214.5</v>
      </c>
      <c r="AQ89" s="33"/>
      <c r="AR89" s="49">
        <f t="shared" si="10"/>
        <v>46189</v>
      </c>
      <c r="AS89" s="49">
        <f t="shared" si="11"/>
        <v>46174</v>
      </c>
      <c r="AT89" s="32">
        <f t="shared" si="12"/>
        <v>2026</v>
      </c>
    </row>
    <row r="90" ht="18.0" customHeight="1">
      <c r="A90" s="31" t="s">
        <v>61</v>
      </c>
      <c r="B90" s="31" t="s">
        <v>62</v>
      </c>
      <c r="C90" s="31" t="s">
        <v>63</v>
      </c>
      <c r="D90" s="32">
        <v>2.2004285E7</v>
      </c>
      <c r="E90" s="33" t="s">
        <v>181</v>
      </c>
      <c r="F90" s="34">
        <v>46191.0</v>
      </c>
      <c r="G90" s="34"/>
      <c r="H90" s="34">
        <v>46180.0</v>
      </c>
      <c r="I90" s="31" t="s">
        <v>83</v>
      </c>
      <c r="J90" s="31" t="s">
        <v>76</v>
      </c>
      <c r="K90" s="31">
        <v>80.0</v>
      </c>
      <c r="L90" s="37">
        <v>11415.1</v>
      </c>
      <c r="M90" s="30">
        <f t="shared" si="1"/>
        <v>142.68875</v>
      </c>
      <c r="N90" s="38">
        <v>0.2</v>
      </c>
      <c r="O90" s="30">
        <f>IF($L90="","",$L90*IF($N90="",Settings!$J$11,$N90))</f>
        <v>2283.02</v>
      </c>
      <c r="P90" s="30">
        <f t="shared" si="2"/>
        <v>13698.12</v>
      </c>
      <c r="Q90" s="31" t="s">
        <v>79</v>
      </c>
      <c r="R90" s="37"/>
      <c r="S90" s="30">
        <f>IF($L90="","",IF($Q90&lt;&gt;"Yes",0,IF($R90&lt;&gt;"",$R90,ROUND($L90*Settings!$J$4,2))))</f>
        <v>1141.51</v>
      </c>
      <c r="T90" s="40">
        <f t="shared" si="3"/>
        <v>14839.63</v>
      </c>
      <c r="U90" s="30">
        <f t="shared" si="4"/>
        <v>7990.57</v>
      </c>
      <c r="V90" s="37">
        <v>6000.0</v>
      </c>
      <c r="W90" s="31" t="s">
        <v>80</v>
      </c>
      <c r="X90" s="34">
        <v>46181.0</v>
      </c>
      <c r="Y90" s="37">
        <v>8839.63</v>
      </c>
      <c r="Z90" s="31" t="s">
        <v>80</v>
      </c>
      <c r="AA90" s="34">
        <v>46184.0</v>
      </c>
      <c r="AB90" s="37"/>
      <c r="AC90" s="31"/>
      <c r="AD90" s="34"/>
      <c r="AE90" s="30">
        <f t="shared" si="5"/>
        <v>14839.63</v>
      </c>
      <c r="AF90" s="41">
        <f t="shared" si="6"/>
        <v>1</v>
      </c>
      <c r="AG90" s="40">
        <f t="shared" si="7"/>
        <v>0</v>
      </c>
      <c r="AH90" s="32" t="str">
        <f>IF(OR($L90="",$H90="",$AG90&lt;=0),"",MAX(0,TODAY()-($H90+Settings!$J$6)))</f>
        <v/>
      </c>
      <c r="AI90" s="37">
        <v>1141.51</v>
      </c>
      <c r="AJ90" s="33"/>
      <c r="AK90" s="31"/>
      <c r="AL90" s="31"/>
      <c r="AM90" s="31" t="s">
        <v>80</v>
      </c>
      <c r="AN90" s="34">
        <v>46202.0</v>
      </c>
      <c r="AO90" s="44">
        <f t="shared" si="8"/>
        <v>0</v>
      </c>
      <c r="AP90" s="48">
        <f t="shared" si="9"/>
        <v>11415.1</v>
      </c>
      <c r="AQ90" s="33"/>
      <c r="AR90" s="49">
        <f t="shared" si="10"/>
        <v>46191</v>
      </c>
      <c r="AS90" s="49">
        <f t="shared" si="11"/>
        <v>46174</v>
      </c>
      <c r="AT90" s="32">
        <f t="shared" si="12"/>
        <v>2026</v>
      </c>
    </row>
    <row r="91" ht="18.0" customHeight="1">
      <c r="A91" s="31" t="s">
        <v>61</v>
      </c>
      <c r="B91" s="31" t="s">
        <v>62</v>
      </c>
      <c r="C91" s="31" t="s">
        <v>63</v>
      </c>
      <c r="D91" s="32">
        <v>2.2004286E7</v>
      </c>
      <c r="E91" s="33" t="s">
        <v>195</v>
      </c>
      <c r="F91" s="34">
        <v>46192.0</v>
      </c>
      <c r="G91" s="34"/>
      <c r="H91" s="34">
        <v>46182.0</v>
      </c>
      <c r="I91" s="31" t="s">
        <v>83</v>
      </c>
      <c r="J91" s="31" t="s">
        <v>76</v>
      </c>
      <c r="K91" s="31">
        <v>17.0</v>
      </c>
      <c r="L91" s="37">
        <v>723.6</v>
      </c>
      <c r="M91" s="30">
        <f t="shared" si="1"/>
        <v>42.56470588</v>
      </c>
      <c r="N91" s="38">
        <v>0.2</v>
      </c>
      <c r="O91" s="30">
        <f>IF($L91="","",$L91*IF($N91="",Settings!$J$11,$N91))</f>
        <v>144.72</v>
      </c>
      <c r="P91" s="30">
        <f t="shared" si="2"/>
        <v>868.32</v>
      </c>
      <c r="Q91" s="31" t="s">
        <v>84</v>
      </c>
      <c r="R91" s="37"/>
      <c r="S91" s="30">
        <f>IF($L91="","",IF($Q91&lt;&gt;"Yes",0,IF($R91&lt;&gt;"",$R91,ROUND($L91*Settings!$J$4,2))))</f>
        <v>0</v>
      </c>
      <c r="T91" s="40">
        <f t="shared" si="3"/>
        <v>868.32</v>
      </c>
      <c r="U91" s="30">
        <f t="shared" si="4"/>
        <v>434.16</v>
      </c>
      <c r="V91" s="37"/>
      <c r="W91" s="31"/>
      <c r="X91" s="34"/>
      <c r="Y91" s="37"/>
      <c r="Z91" s="31"/>
      <c r="AA91" s="34"/>
      <c r="AB91" s="37"/>
      <c r="AC91" s="31"/>
      <c r="AD91" s="34"/>
      <c r="AE91" s="30">
        <f t="shared" si="5"/>
        <v>0</v>
      </c>
      <c r="AF91" s="41">
        <f t="shared" si="6"/>
        <v>1</v>
      </c>
      <c r="AG91" s="40">
        <f t="shared" si="7"/>
        <v>0</v>
      </c>
      <c r="AH91" s="32" t="str">
        <f>IF(OR($L91="",$H91="",$AG91&lt;=0),"",MAX(0,TODAY()-($H91+Settings!$J$6)))</f>
        <v/>
      </c>
      <c r="AI91" s="37"/>
      <c r="AJ91" s="33"/>
      <c r="AK91" s="31"/>
      <c r="AL91" s="31"/>
      <c r="AM91" s="31"/>
      <c r="AN91" s="34"/>
      <c r="AO91" s="44">
        <f t="shared" si="8"/>
        <v>0</v>
      </c>
      <c r="AP91" s="48">
        <f t="shared" si="9"/>
        <v>723.6</v>
      </c>
      <c r="AQ91" s="33"/>
      <c r="AR91" s="49">
        <f t="shared" si="10"/>
        <v>46192</v>
      </c>
      <c r="AS91" s="49">
        <f t="shared" si="11"/>
        <v>46174</v>
      </c>
      <c r="AT91" s="32">
        <f t="shared" si="12"/>
        <v>2026</v>
      </c>
    </row>
    <row r="92" ht="18.0" customHeight="1">
      <c r="A92" s="31" t="s">
        <v>61</v>
      </c>
      <c r="B92" s="31" t="s">
        <v>62</v>
      </c>
      <c r="C92" s="31" t="s">
        <v>63</v>
      </c>
      <c r="D92" s="32">
        <v>2.2004287E7</v>
      </c>
      <c r="E92" s="33" t="s">
        <v>195</v>
      </c>
      <c r="F92" s="34">
        <v>46191.0</v>
      </c>
      <c r="G92" s="34"/>
      <c r="H92" s="34">
        <v>46182.0</v>
      </c>
      <c r="I92" s="31" t="s">
        <v>83</v>
      </c>
      <c r="J92" s="31" t="s">
        <v>76</v>
      </c>
      <c r="K92" s="31">
        <v>20.0</v>
      </c>
      <c r="L92" s="37">
        <v>745.7</v>
      </c>
      <c r="M92" s="30">
        <f t="shared" si="1"/>
        <v>37.285</v>
      </c>
      <c r="N92" s="38">
        <v>0.2</v>
      </c>
      <c r="O92" s="30">
        <f>IF($L92="","",$L92*IF($N92="",Settings!$J$11,$N92))</f>
        <v>149.14</v>
      </c>
      <c r="P92" s="30">
        <f t="shared" si="2"/>
        <v>894.84</v>
      </c>
      <c r="Q92" s="31" t="s">
        <v>84</v>
      </c>
      <c r="R92" s="37"/>
      <c r="S92" s="30">
        <f>IF($L92="","",IF($Q92&lt;&gt;"Yes",0,IF($R92&lt;&gt;"",$R92,ROUND($L92*Settings!$J$4,2))))</f>
        <v>0</v>
      </c>
      <c r="T92" s="40">
        <f t="shared" si="3"/>
        <v>894.84</v>
      </c>
      <c r="U92" s="30">
        <f t="shared" si="4"/>
        <v>447.42</v>
      </c>
      <c r="V92" s="37"/>
      <c r="W92" s="31"/>
      <c r="X92" s="34">
        <v>46188.0</v>
      </c>
      <c r="Y92" s="37"/>
      <c r="Z92" s="31"/>
      <c r="AA92" s="34"/>
      <c r="AB92" s="37"/>
      <c r="AC92" s="31"/>
      <c r="AD92" s="34"/>
      <c r="AE92" s="30">
        <f t="shared" si="5"/>
        <v>0</v>
      </c>
      <c r="AF92" s="41">
        <f t="shared" si="6"/>
        <v>1</v>
      </c>
      <c r="AG92" s="40">
        <f t="shared" si="7"/>
        <v>0</v>
      </c>
      <c r="AH92" s="32" t="str">
        <f>IF(OR($L92="",$H92="",$AG92&lt;=0),"",MAX(0,TODAY()-($H92+Settings!$J$6)))</f>
        <v/>
      </c>
      <c r="AI92" s="37"/>
      <c r="AJ92" s="33"/>
      <c r="AK92" s="31"/>
      <c r="AL92" s="31"/>
      <c r="AM92" s="31"/>
      <c r="AN92" s="34"/>
      <c r="AO92" s="44">
        <f t="shared" si="8"/>
        <v>0</v>
      </c>
      <c r="AP92" s="48">
        <f t="shared" si="9"/>
        <v>745.7</v>
      </c>
      <c r="AQ92" s="33"/>
      <c r="AR92" s="49">
        <f t="shared" si="10"/>
        <v>46191</v>
      </c>
      <c r="AS92" s="49">
        <f t="shared" si="11"/>
        <v>46174</v>
      </c>
      <c r="AT92" s="32">
        <f t="shared" si="12"/>
        <v>2026</v>
      </c>
    </row>
    <row r="93" ht="18.0" customHeight="1">
      <c r="A93" s="31" t="s">
        <v>61</v>
      </c>
      <c r="B93" s="31" t="s">
        <v>62</v>
      </c>
      <c r="C93" s="31" t="s">
        <v>63</v>
      </c>
      <c r="D93" s="32">
        <v>2.2004288E7</v>
      </c>
      <c r="E93" s="33" t="s">
        <v>170</v>
      </c>
      <c r="F93" s="34">
        <v>46196.0</v>
      </c>
      <c r="G93" s="34"/>
      <c r="H93" s="34">
        <v>46184.0</v>
      </c>
      <c r="I93" s="31" t="s">
        <v>83</v>
      </c>
      <c r="J93" s="31" t="s">
        <v>76</v>
      </c>
      <c r="K93" s="31">
        <v>75.0</v>
      </c>
      <c r="L93" s="37">
        <v>3329.3</v>
      </c>
      <c r="M93" s="30">
        <f t="shared" si="1"/>
        <v>44.39066667</v>
      </c>
      <c r="N93" s="38">
        <v>0.2</v>
      </c>
      <c r="O93" s="30">
        <f>IF($L93="","",$L93*IF($N93="",Settings!$J$11,$N93))</f>
        <v>665.86</v>
      </c>
      <c r="P93" s="30">
        <f t="shared" si="2"/>
        <v>3995.16</v>
      </c>
      <c r="Q93" s="31" t="s">
        <v>79</v>
      </c>
      <c r="R93" s="37"/>
      <c r="S93" s="30">
        <f>IF($L93="","",IF($Q93&lt;&gt;"Yes",0,IF($R93&lt;&gt;"",$R93,ROUND($L93*Settings!$J$4,2))))</f>
        <v>332.93</v>
      </c>
      <c r="T93" s="40">
        <f t="shared" si="3"/>
        <v>4328.09</v>
      </c>
      <c r="U93" s="30">
        <f t="shared" si="4"/>
        <v>2330.51</v>
      </c>
      <c r="V93" s="37">
        <v>4328.09</v>
      </c>
      <c r="W93" s="31" t="s">
        <v>80</v>
      </c>
      <c r="X93" s="34"/>
      <c r="Y93" s="37"/>
      <c r="Z93" s="31"/>
      <c r="AA93" s="34"/>
      <c r="AB93" s="37"/>
      <c r="AC93" s="31"/>
      <c r="AD93" s="34"/>
      <c r="AE93" s="30">
        <f t="shared" si="5"/>
        <v>4328.09</v>
      </c>
      <c r="AF93" s="41">
        <f t="shared" si="6"/>
        <v>1</v>
      </c>
      <c r="AG93" s="40">
        <f t="shared" si="7"/>
        <v>0</v>
      </c>
      <c r="AH93" s="32" t="str">
        <f>IF(OR($L93="",$H93="",$AG93&lt;=0),"",MAX(0,TODAY()-($H93+Settings!$J$6)))</f>
        <v/>
      </c>
      <c r="AI93" s="37">
        <v>332.93</v>
      </c>
      <c r="AJ93" s="33"/>
      <c r="AK93" s="31"/>
      <c r="AL93" s="31"/>
      <c r="AM93" s="31" t="s">
        <v>80</v>
      </c>
      <c r="AN93" s="34">
        <v>46198.0</v>
      </c>
      <c r="AO93" s="44">
        <f t="shared" si="8"/>
        <v>0</v>
      </c>
      <c r="AP93" s="48">
        <f t="shared" si="9"/>
        <v>3329.3</v>
      </c>
      <c r="AQ93" s="33"/>
      <c r="AR93" s="49">
        <f t="shared" si="10"/>
        <v>46196</v>
      </c>
      <c r="AS93" s="49">
        <f t="shared" si="11"/>
        <v>46174</v>
      </c>
      <c r="AT93" s="32">
        <f t="shared" si="12"/>
        <v>2026</v>
      </c>
    </row>
    <row r="94" ht="18.0" customHeight="1">
      <c r="A94" s="31" t="s">
        <v>61</v>
      </c>
      <c r="B94" s="31" t="s">
        <v>62</v>
      </c>
      <c r="C94" s="31" t="s">
        <v>63</v>
      </c>
      <c r="D94" s="32">
        <v>2.2004289E7</v>
      </c>
      <c r="E94" s="33" t="s">
        <v>139</v>
      </c>
      <c r="F94" s="34"/>
      <c r="G94" s="34"/>
      <c r="H94" s="34">
        <v>46064.0</v>
      </c>
      <c r="I94" s="31" t="s">
        <v>83</v>
      </c>
      <c r="J94" s="31" t="s">
        <v>76</v>
      </c>
      <c r="K94" s="31">
        <v>95.0</v>
      </c>
      <c r="L94" s="37">
        <v>1508.5</v>
      </c>
      <c r="M94" s="30">
        <f t="shared" si="1"/>
        <v>15.87894737</v>
      </c>
      <c r="N94" s="38">
        <v>0.2</v>
      </c>
      <c r="O94" s="30">
        <f>IF($L94="","",$L94*IF($N94="",Settings!$J$11,$N94))</f>
        <v>301.7</v>
      </c>
      <c r="P94" s="30">
        <f t="shared" si="2"/>
        <v>1810.2</v>
      </c>
      <c r="Q94" s="31" t="s">
        <v>84</v>
      </c>
      <c r="R94" s="37"/>
      <c r="S94" s="30">
        <f>IF($L94="","",IF($Q94&lt;&gt;"Yes",0,IF($R94&lt;&gt;"",$R94,ROUND($L94*Settings!$J$4,2))))</f>
        <v>0</v>
      </c>
      <c r="T94" s="40">
        <f t="shared" si="3"/>
        <v>1810.2</v>
      </c>
      <c r="U94" s="30">
        <f t="shared" si="4"/>
        <v>905.1</v>
      </c>
      <c r="V94" s="37">
        <v>1810.2</v>
      </c>
      <c r="W94" s="31" t="s">
        <v>85</v>
      </c>
      <c r="X94" s="34">
        <v>46192.0</v>
      </c>
      <c r="Y94" s="37"/>
      <c r="Z94" s="31"/>
      <c r="AA94" s="34"/>
      <c r="AB94" s="37"/>
      <c r="AC94" s="31"/>
      <c r="AD94" s="34"/>
      <c r="AE94" s="30">
        <f t="shared" si="5"/>
        <v>1810.2</v>
      </c>
      <c r="AF94" s="41">
        <f t="shared" si="6"/>
        <v>1</v>
      </c>
      <c r="AG94" s="40">
        <f t="shared" si="7"/>
        <v>0</v>
      </c>
      <c r="AH94" s="32" t="str">
        <f>IF(OR($L94="",$H94="",$AG94&lt;=0),"",MAX(0,TODAY()-($H94+Settings!$J$6)))</f>
        <v/>
      </c>
      <c r="AI94" s="37"/>
      <c r="AJ94" s="33"/>
      <c r="AK94" s="31"/>
      <c r="AL94" s="31"/>
      <c r="AM94" s="31"/>
      <c r="AN94" s="34"/>
      <c r="AO94" s="44">
        <f t="shared" si="8"/>
        <v>0</v>
      </c>
      <c r="AP94" s="48">
        <f t="shared" si="9"/>
        <v>1508.5</v>
      </c>
      <c r="AQ94" s="33" t="s">
        <v>898</v>
      </c>
      <c r="AR94" s="49" t="str">
        <f t="shared" si="10"/>
        <v/>
      </c>
      <c r="AS94" s="49" t="str">
        <f t="shared" si="11"/>
        <v/>
      </c>
      <c r="AT94" s="32">
        <f t="shared" si="12"/>
        <v>2026</v>
      </c>
    </row>
    <row r="95" ht="18.0" customHeight="1">
      <c r="A95" s="31" t="s">
        <v>61</v>
      </c>
      <c r="B95" s="31" t="s">
        <v>62</v>
      </c>
      <c r="C95" s="31" t="s">
        <v>63</v>
      </c>
      <c r="D95" s="32">
        <v>2.200429E7</v>
      </c>
      <c r="E95" s="33" t="s">
        <v>900</v>
      </c>
      <c r="F95" s="34">
        <v>46191.0</v>
      </c>
      <c r="G95" s="34"/>
      <c r="H95" s="34">
        <v>46188.0</v>
      </c>
      <c r="I95" s="31" t="s">
        <v>83</v>
      </c>
      <c r="J95" s="31" t="s">
        <v>76</v>
      </c>
      <c r="K95" s="31">
        <v>1.0</v>
      </c>
      <c r="L95" s="37">
        <v>11272.0</v>
      </c>
      <c r="M95" s="30">
        <f t="shared" si="1"/>
        <v>11272</v>
      </c>
      <c r="N95" s="38">
        <v>0.2</v>
      </c>
      <c r="O95" s="30">
        <f>IF($L95="","",$L95*IF($N95="",Settings!$J$11,$N95))</f>
        <v>2254.4</v>
      </c>
      <c r="P95" s="30">
        <f t="shared" si="2"/>
        <v>13526.4</v>
      </c>
      <c r="Q95" s="31" t="s">
        <v>84</v>
      </c>
      <c r="R95" s="37"/>
      <c r="S95" s="30">
        <f>IF($L95="","",IF($Q95&lt;&gt;"Yes",0,IF($R95&lt;&gt;"",$R95,ROUND($L95*Settings!$J$4,2))))</f>
        <v>0</v>
      </c>
      <c r="T95" s="40">
        <f t="shared" si="3"/>
        <v>13526.4</v>
      </c>
      <c r="U95" s="30">
        <f t="shared" si="4"/>
        <v>6763.2</v>
      </c>
      <c r="V95" s="37">
        <v>13562.4</v>
      </c>
      <c r="W95" s="31" t="s">
        <v>80</v>
      </c>
      <c r="X95" s="34">
        <v>46188.0</v>
      </c>
      <c r="Y95" s="37"/>
      <c r="Z95" s="31"/>
      <c r="AA95" s="34"/>
      <c r="AB95" s="37"/>
      <c r="AC95" s="31"/>
      <c r="AD95" s="34"/>
      <c r="AE95" s="30">
        <f t="shared" si="5"/>
        <v>13562.4</v>
      </c>
      <c r="AF95" s="41">
        <f t="shared" si="6"/>
        <v>1</v>
      </c>
      <c r="AG95" s="40">
        <f t="shared" si="7"/>
        <v>0</v>
      </c>
      <c r="AH95" s="32" t="str">
        <f>IF(OR($L95="",$H95="",$AG95&lt;=0),"",MAX(0,TODAY()-($H95+Settings!$J$6)))</f>
        <v/>
      </c>
      <c r="AI95" s="37"/>
      <c r="AJ95" s="33"/>
      <c r="AK95" s="31"/>
      <c r="AL95" s="31"/>
      <c r="AM95" s="31"/>
      <c r="AN95" s="34"/>
      <c r="AO95" s="44">
        <f t="shared" si="8"/>
        <v>0</v>
      </c>
      <c r="AP95" s="48">
        <f t="shared" si="9"/>
        <v>11272</v>
      </c>
      <c r="AQ95" s="33"/>
      <c r="AR95" s="49">
        <f t="shared" si="10"/>
        <v>46191</v>
      </c>
      <c r="AS95" s="49">
        <f t="shared" si="11"/>
        <v>46174</v>
      </c>
      <c r="AT95" s="32">
        <f t="shared" si="12"/>
        <v>2026</v>
      </c>
    </row>
    <row r="96" ht="18.0" customHeight="1">
      <c r="A96" s="31" t="s">
        <v>61</v>
      </c>
      <c r="B96" s="31" t="s">
        <v>62</v>
      </c>
      <c r="C96" s="31" t="s">
        <v>63</v>
      </c>
      <c r="D96" s="32">
        <v>2.2004291E7</v>
      </c>
      <c r="E96" s="33" t="s">
        <v>909</v>
      </c>
      <c r="F96" s="34">
        <v>46191.0</v>
      </c>
      <c r="G96" s="34"/>
      <c r="H96" s="34">
        <v>46188.0</v>
      </c>
      <c r="I96" s="31" t="s">
        <v>83</v>
      </c>
      <c r="J96" s="31" t="s">
        <v>76</v>
      </c>
      <c r="K96" s="31">
        <v>20.0</v>
      </c>
      <c r="L96" s="37">
        <v>2788.0</v>
      </c>
      <c r="M96" s="30">
        <f t="shared" si="1"/>
        <v>139.4</v>
      </c>
      <c r="N96" s="38">
        <v>0.2</v>
      </c>
      <c r="O96" s="30">
        <f>IF($L96="","",$L96*IF($N96="",Settings!$J$11,$N96))</f>
        <v>557.6</v>
      </c>
      <c r="P96" s="30">
        <f t="shared" si="2"/>
        <v>3345.6</v>
      </c>
      <c r="Q96" s="31" t="s">
        <v>84</v>
      </c>
      <c r="R96" s="37"/>
      <c r="S96" s="30">
        <f>IF($L96="","",IF($Q96&lt;&gt;"Yes",0,IF($R96&lt;&gt;"",$R96,ROUND($L96*Settings!$J$4,2))))</f>
        <v>0</v>
      </c>
      <c r="T96" s="40">
        <f t="shared" si="3"/>
        <v>3345.6</v>
      </c>
      <c r="U96" s="30">
        <f t="shared" si="4"/>
        <v>1672.8</v>
      </c>
      <c r="V96" s="37">
        <v>3345.6</v>
      </c>
      <c r="W96" s="31" t="s">
        <v>80</v>
      </c>
      <c r="X96" s="34">
        <v>46188.0</v>
      </c>
      <c r="Y96" s="37"/>
      <c r="Z96" s="31"/>
      <c r="AA96" s="34"/>
      <c r="AB96" s="37"/>
      <c r="AC96" s="31"/>
      <c r="AD96" s="34"/>
      <c r="AE96" s="30">
        <f t="shared" si="5"/>
        <v>3345.6</v>
      </c>
      <c r="AF96" s="41">
        <f t="shared" si="6"/>
        <v>1</v>
      </c>
      <c r="AG96" s="40">
        <f t="shared" si="7"/>
        <v>0</v>
      </c>
      <c r="AH96" s="32" t="str">
        <f>IF(OR($L96="",$H96="",$AG96&lt;=0),"",MAX(0,TODAY()-($H96+Settings!$J$6)))</f>
        <v/>
      </c>
      <c r="AI96" s="37"/>
      <c r="AJ96" s="33"/>
      <c r="AK96" s="31"/>
      <c r="AL96" s="31"/>
      <c r="AM96" s="31"/>
      <c r="AN96" s="34"/>
      <c r="AO96" s="44">
        <f t="shared" si="8"/>
        <v>0</v>
      </c>
      <c r="AP96" s="48">
        <f t="shared" si="9"/>
        <v>2788</v>
      </c>
      <c r="AQ96" s="33"/>
      <c r="AR96" s="49">
        <f t="shared" si="10"/>
        <v>46191</v>
      </c>
      <c r="AS96" s="49">
        <f t="shared" si="11"/>
        <v>46174</v>
      </c>
      <c r="AT96" s="32">
        <f t="shared" si="12"/>
        <v>2026</v>
      </c>
    </row>
    <row r="97" ht="18.0" customHeight="1">
      <c r="A97" s="31" t="s">
        <v>61</v>
      </c>
      <c r="B97" s="31" t="s">
        <v>62</v>
      </c>
      <c r="C97" s="31" t="s">
        <v>63</v>
      </c>
      <c r="D97" s="32">
        <v>2.2004292E7</v>
      </c>
      <c r="E97" s="33" t="s">
        <v>182</v>
      </c>
      <c r="F97" s="34">
        <v>46212.0</v>
      </c>
      <c r="G97" s="34"/>
      <c r="H97" s="34">
        <v>46188.0</v>
      </c>
      <c r="I97" s="31" t="s">
        <v>83</v>
      </c>
      <c r="J97" s="31" t="s">
        <v>76</v>
      </c>
      <c r="K97" s="31">
        <v>20.0</v>
      </c>
      <c r="L97" s="37">
        <v>2294.5</v>
      </c>
      <c r="M97" s="30">
        <f t="shared" si="1"/>
        <v>114.725</v>
      </c>
      <c r="N97" s="38">
        <v>0.2</v>
      </c>
      <c r="O97" s="30">
        <f>IF($L97="","",$L97*IF($N97="",Settings!$J$11,$N97))</f>
        <v>458.9</v>
      </c>
      <c r="P97" s="30">
        <f t="shared" si="2"/>
        <v>2753.4</v>
      </c>
      <c r="Q97" s="31" t="s">
        <v>79</v>
      </c>
      <c r="R97" s="37"/>
      <c r="S97" s="30">
        <f>IF($L97="","",IF($Q97&lt;&gt;"Yes",0,IF($R97&lt;&gt;"",$R97,ROUND($L97*Settings!$J$4,2))))</f>
        <v>229.45</v>
      </c>
      <c r="T97" s="40">
        <f t="shared" si="3"/>
        <v>2982.85</v>
      </c>
      <c r="U97" s="30">
        <f t="shared" si="4"/>
        <v>1606.15</v>
      </c>
      <c r="V97" s="37">
        <v>2753.4</v>
      </c>
      <c r="W97" s="31" t="s">
        <v>85</v>
      </c>
      <c r="X97" s="34">
        <v>46185.0</v>
      </c>
      <c r="Y97" s="37"/>
      <c r="Z97" s="31"/>
      <c r="AA97" s="34"/>
      <c r="AB97" s="37"/>
      <c r="AC97" s="31"/>
      <c r="AD97" s="34"/>
      <c r="AE97" s="30">
        <f t="shared" si="5"/>
        <v>2753.4</v>
      </c>
      <c r="AF97" s="41">
        <f t="shared" si="6"/>
        <v>1</v>
      </c>
      <c r="AG97" s="40">
        <f t="shared" si="7"/>
        <v>0</v>
      </c>
      <c r="AH97" s="32" t="str">
        <f>IF(OR($L97="",$H97="",$AG97&lt;=0),"",MAX(0,TODAY()-($H97+Settings!$J$6)))</f>
        <v/>
      </c>
      <c r="AI97" s="37">
        <v>229.45</v>
      </c>
      <c r="AJ97" s="33" t="s">
        <v>378</v>
      </c>
      <c r="AK97" s="31" t="s">
        <v>379</v>
      </c>
      <c r="AL97" s="31">
        <v>8.1253972E7</v>
      </c>
      <c r="AM97" s="31" t="s">
        <v>85</v>
      </c>
      <c r="AN97" s="34">
        <v>46180.0</v>
      </c>
      <c r="AO97" s="44">
        <f t="shared" si="8"/>
        <v>0</v>
      </c>
      <c r="AP97" s="48">
        <f t="shared" si="9"/>
        <v>2294.5</v>
      </c>
      <c r="AQ97" s="33"/>
      <c r="AR97" s="49">
        <f t="shared" si="10"/>
        <v>46212</v>
      </c>
      <c r="AS97" s="49">
        <f t="shared" si="11"/>
        <v>46204</v>
      </c>
      <c r="AT97" s="32">
        <f t="shared" si="12"/>
        <v>2026</v>
      </c>
    </row>
    <row r="98" ht="18.0" customHeight="1">
      <c r="A98" s="31" t="s">
        <v>61</v>
      </c>
      <c r="B98" s="31" t="s">
        <v>62</v>
      </c>
      <c r="C98" s="31" t="s">
        <v>63</v>
      </c>
      <c r="D98" s="32">
        <v>2.2004293E7</v>
      </c>
      <c r="E98" s="33" t="s">
        <v>182</v>
      </c>
      <c r="F98" s="34">
        <v>46213.0</v>
      </c>
      <c r="G98" s="34"/>
      <c r="H98" s="34">
        <v>46188.0</v>
      </c>
      <c r="I98" s="31" t="s">
        <v>83</v>
      </c>
      <c r="J98" s="31" t="s">
        <v>76</v>
      </c>
      <c r="K98" s="31">
        <v>10.0</v>
      </c>
      <c r="L98" s="37">
        <v>1583.1</v>
      </c>
      <c r="M98" s="30">
        <f t="shared" si="1"/>
        <v>158.31</v>
      </c>
      <c r="N98" s="38">
        <v>0.2</v>
      </c>
      <c r="O98" s="30">
        <f>IF($L98="","",$L98*IF($N98="",Settings!$J$11,$N98))</f>
        <v>316.62</v>
      </c>
      <c r="P98" s="30">
        <f t="shared" si="2"/>
        <v>1899.72</v>
      </c>
      <c r="Q98" s="31" t="s">
        <v>79</v>
      </c>
      <c r="R98" s="37"/>
      <c r="S98" s="30">
        <f>IF($L98="","",IF($Q98&lt;&gt;"Yes",0,IF($R98&lt;&gt;"",$R98,ROUND($L98*Settings!$J$4,2))))</f>
        <v>158.31</v>
      </c>
      <c r="T98" s="40">
        <f t="shared" si="3"/>
        <v>2058.03</v>
      </c>
      <c r="U98" s="30">
        <f t="shared" si="4"/>
        <v>1108.17</v>
      </c>
      <c r="V98" s="37">
        <v>1899.72</v>
      </c>
      <c r="W98" s="31" t="s">
        <v>85</v>
      </c>
      <c r="X98" s="34">
        <v>46185.0</v>
      </c>
      <c r="Y98" s="37"/>
      <c r="Z98" s="31"/>
      <c r="AA98" s="34"/>
      <c r="AB98" s="37"/>
      <c r="AC98" s="31"/>
      <c r="AD98" s="34"/>
      <c r="AE98" s="30">
        <f t="shared" si="5"/>
        <v>1899.72</v>
      </c>
      <c r="AF98" s="41">
        <f t="shared" si="6"/>
        <v>1</v>
      </c>
      <c r="AG98" s="40">
        <f t="shared" si="7"/>
        <v>0</v>
      </c>
      <c r="AH98" s="32" t="str">
        <f>IF(OR($L98="",$H98="",$AG98&lt;=0),"",MAX(0,TODAY()-($H98+Settings!$J$6)))</f>
        <v/>
      </c>
      <c r="AI98" s="37">
        <v>158.31</v>
      </c>
      <c r="AJ98" s="33"/>
      <c r="AK98" s="31"/>
      <c r="AL98" s="31"/>
      <c r="AM98" s="31"/>
      <c r="AN98" s="34"/>
      <c r="AO98" s="44">
        <f t="shared" si="8"/>
        <v>0</v>
      </c>
      <c r="AP98" s="48">
        <f t="shared" si="9"/>
        <v>1583.1</v>
      </c>
      <c r="AQ98" s="33"/>
      <c r="AR98" s="49">
        <f t="shared" si="10"/>
        <v>46213</v>
      </c>
      <c r="AS98" s="49">
        <f t="shared" si="11"/>
        <v>46204</v>
      </c>
      <c r="AT98" s="32">
        <f t="shared" si="12"/>
        <v>2026</v>
      </c>
    </row>
    <row r="99" ht="18.0" customHeight="1">
      <c r="A99" s="31" t="s">
        <v>61</v>
      </c>
      <c r="B99" s="31" t="s">
        <v>62</v>
      </c>
      <c r="C99" s="31" t="s">
        <v>63</v>
      </c>
      <c r="D99" s="32">
        <v>2.2004294E7</v>
      </c>
      <c r="E99" s="33" t="s">
        <v>922</v>
      </c>
      <c r="F99" s="34">
        <v>46217.0</v>
      </c>
      <c r="G99" s="34"/>
      <c r="H99" s="34">
        <v>46188.0</v>
      </c>
      <c r="I99" s="31" t="s">
        <v>83</v>
      </c>
      <c r="J99" s="31" t="s">
        <v>76</v>
      </c>
      <c r="K99" s="31">
        <v>20.0</v>
      </c>
      <c r="L99" s="37">
        <v>1038.0</v>
      </c>
      <c r="M99" s="30">
        <f t="shared" si="1"/>
        <v>51.9</v>
      </c>
      <c r="N99" s="38">
        <v>0.2</v>
      </c>
      <c r="O99" s="30">
        <f>IF($L99="","",$L99*IF($N99="",Settings!$J$11,$N99))</f>
        <v>207.6</v>
      </c>
      <c r="P99" s="30">
        <f t="shared" si="2"/>
        <v>1245.6</v>
      </c>
      <c r="Q99" s="31" t="s">
        <v>84</v>
      </c>
      <c r="R99" s="37"/>
      <c r="S99" s="30">
        <f>IF($L99="","",IF($Q99&lt;&gt;"Yes",0,IF($R99&lt;&gt;"",$R99,ROUND($L99*Settings!$J$4,2))))</f>
        <v>0</v>
      </c>
      <c r="T99" s="40">
        <f t="shared" si="3"/>
        <v>1245.6</v>
      </c>
      <c r="U99" s="30">
        <f t="shared" si="4"/>
        <v>622.8</v>
      </c>
      <c r="V99" s="37">
        <v>1245.6</v>
      </c>
      <c r="W99" s="31" t="s">
        <v>80</v>
      </c>
      <c r="X99" s="34">
        <v>46188.0</v>
      </c>
      <c r="Y99" s="37"/>
      <c r="Z99" s="31"/>
      <c r="AA99" s="34"/>
      <c r="AB99" s="37"/>
      <c r="AC99" s="31"/>
      <c r="AD99" s="34"/>
      <c r="AE99" s="30">
        <f t="shared" si="5"/>
        <v>1245.6</v>
      </c>
      <c r="AF99" s="41">
        <f t="shared" si="6"/>
        <v>1</v>
      </c>
      <c r="AG99" s="40">
        <f t="shared" si="7"/>
        <v>0</v>
      </c>
      <c r="AH99" s="32" t="str">
        <f>IF(OR($L99="",$H99="",$AG99&lt;=0),"",MAX(0,TODAY()-($H99+Settings!$J$6)))</f>
        <v/>
      </c>
      <c r="AI99" s="37"/>
      <c r="AJ99" s="33"/>
      <c r="AK99" s="31"/>
      <c r="AL99" s="31"/>
      <c r="AM99" s="31"/>
      <c r="AN99" s="34"/>
      <c r="AO99" s="44">
        <f t="shared" si="8"/>
        <v>0</v>
      </c>
      <c r="AP99" s="48">
        <f t="shared" si="9"/>
        <v>1038</v>
      </c>
      <c r="AQ99" s="33"/>
      <c r="AR99" s="49">
        <f t="shared" si="10"/>
        <v>46217</v>
      </c>
      <c r="AS99" s="49">
        <f t="shared" si="11"/>
        <v>46204</v>
      </c>
      <c r="AT99" s="32">
        <f t="shared" si="12"/>
        <v>2026</v>
      </c>
    </row>
    <row r="100" ht="18.0" customHeight="1">
      <c r="A100" s="31" t="s">
        <v>61</v>
      </c>
      <c r="B100" s="31" t="s">
        <v>62</v>
      </c>
      <c r="C100" s="31" t="s">
        <v>63</v>
      </c>
      <c r="D100" s="32">
        <v>2.2004295E7</v>
      </c>
      <c r="E100" s="33" t="s">
        <v>923</v>
      </c>
      <c r="F100" s="34">
        <v>46218.0</v>
      </c>
      <c r="G100" s="34"/>
      <c r="H100" s="34">
        <v>46188.0</v>
      </c>
      <c r="I100" s="31" t="s">
        <v>83</v>
      </c>
      <c r="J100" s="31" t="s">
        <v>76</v>
      </c>
      <c r="K100" s="31">
        <v>20.0</v>
      </c>
      <c r="L100" s="37">
        <v>1048.0</v>
      </c>
      <c r="M100" s="30">
        <f t="shared" si="1"/>
        <v>52.4</v>
      </c>
      <c r="N100" s="38">
        <v>0.2</v>
      </c>
      <c r="O100" s="30">
        <f>IF($L100="","",$L100*IF($N100="",Settings!$J$11,$N100))</f>
        <v>209.6</v>
      </c>
      <c r="P100" s="30">
        <f t="shared" si="2"/>
        <v>1257.6</v>
      </c>
      <c r="Q100" s="31" t="s">
        <v>84</v>
      </c>
      <c r="R100" s="37"/>
      <c r="S100" s="30">
        <f>IF($L100="","",IF($Q100&lt;&gt;"Yes",0,IF($R100&lt;&gt;"",$R100,ROUND($L100*Settings!$J$4,2))))</f>
        <v>0</v>
      </c>
      <c r="T100" s="40">
        <f t="shared" si="3"/>
        <v>1257.6</v>
      </c>
      <c r="U100" s="30">
        <f t="shared" si="4"/>
        <v>628.8</v>
      </c>
      <c r="V100" s="37">
        <v>1257.6</v>
      </c>
      <c r="W100" s="31" t="s">
        <v>80</v>
      </c>
      <c r="X100" s="34">
        <v>46188.0</v>
      </c>
      <c r="Y100" s="37"/>
      <c r="Z100" s="31"/>
      <c r="AA100" s="34"/>
      <c r="AB100" s="37"/>
      <c r="AC100" s="31"/>
      <c r="AD100" s="34"/>
      <c r="AE100" s="30">
        <f t="shared" si="5"/>
        <v>1257.6</v>
      </c>
      <c r="AF100" s="41">
        <f t="shared" si="6"/>
        <v>1</v>
      </c>
      <c r="AG100" s="40">
        <f t="shared" si="7"/>
        <v>0</v>
      </c>
      <c r="AH100" s="32" t="str">
        <f>IF(OR($L100="",$H100="",$AG100&lt;=0),"",MAX(0,TODAY()-($H100+Settings!$J$6)))</f>
        <v/>
      </c>
      <c r="AI100" s="37"/>
      <c r="AJ100" s="33"/>
      <c r="AK100" s="31"/>
      <c r="AL100" s="31"/>
      <c r="AM100" s="31"/>
      <c r="AN100" s="34"/>
      <c r="AO100" s="44">
        <f t="shared" si="8"/>
        <v>0</v>
      </c>
      <c r="AP100" s="48">
        <f t="shared" si="9"/>
        <v>1048</v>
      </c>
      <c r="AQ100" s="33"/>
      <c r="AR100" s="49">
        <f t="shared" si="10"/>
        <v>46218</v>
      </c>
      <c r="AS100" s="49">
        <f t="shared" si="11"/>
        <v>46204</v>
      </c>
      <c r="AT100" s="32">
        <f t="shared" si="12"/>
        <v>2026</v>
      </c>
    </row>
    <row r="101" ht="18.0" customHeight="1">
      <c r="A101" s="31" t="s">
        <v>61</v>
      </c>
      <c r="B101" s="31" t="s">
        <v>62</v>
      </c>
      <c r="C101" s="31" t="s">
        <v>63</v>
      </c>
      <c r="D101" s="32">
        <v>2.2004296E7</v>
      </c>
      <c r="E101" s="33" t="s">
        <v>924</v>
      </c>
      <c r="F101" s="34">
        <v>46193.0</v>
      </c>
      <c r="G101" s="34"/>
      <c r="H101" s="34">
        <v>46188.0</v>
      </c>
      <c r="I101" s="31" t="s">
        <v>83</v>
      </c>
      <c r="J101" s="31" t="s">
        <v>76</v>
      </c>
      <c r="K101" s="31">
        <v>50.0</v>
      </c>
      <c r="L101" s="37">
        <v>1110.0</v>
      </c>
      <c r="M101" s="30">
        <f t="shared" si="1"/>
        <v>22.2</v>
      </c>
      <c r="N101" s="38">
        <v>0.2</v>
      </c>
      <c r="O101" s="30">
        <f>IF($L101="","",$L101*IF($N101="",Settings!$J$11,$N101))</f>
        <v>222</v>
      </c>
      <c r="P101" s="30">
        <f t="shared" si="2"/>
        <v>1332</v>
      </c>
      <c r="Q101" s="31" t="s">
        <v>84</v>
      </c>
      <c r="R101" s="37"/>
      <c r="S101" s="30">
        <f>IF($L101="","",IF($Q101&lt;&gt;"Yes",0,IF($R101&lt;&gt;"",$R101,ROUND($L101*Settings!$J$4,2))))</f>
        <v>0</v>
      </c>
      <c r="T101" s="40">
        <f t="shared" si="3"/>
        <v>1332</v>
      </c>
      <c r="U101" s="30">
        <f t="shared" si="4"/>
        <v>666</v>
      </c>
      <c r="V101" s="37">
        <v>1332.0</v>
      </c>
      <c r="W101" s="31" t="s">
        <v>85</v>
      </c>
      <c r="X101" s="34">
        <v>46069.0</v>
      </c>
      <c r="Y101" s="37"/>
      <c r="Z101" s="31"/>
      <c r="AA101" s="34"/>
      <c r="AB101" s="37"/>
      <c r="AC101" s="31"/>
      <c r="AD101" s="34"/>
      <c r="AE101" s="30">
        <f t="shared" si="5"/>
        <v>1332</v>
      </c>
      <c r="AF101" s="41">
        <f t="shared" si="6"/>
        <v>1</v>
      </c>
      <c r="AG101" s="40">
        <f t="shared" si="7"/>
        <v>0</v>
      </c>
      <c r="AH101" s="32" t="str">
        <f>IF(OR($L101="",$H101="",$AG101&lt;=0),"",MAX(0,TODAY()-($H101+Settings!$J$6)))</f>
        <v/>
      </c>
      <c r="AI101" s="37"/>
      <c r="AJ101" s="33"/>
      <c r="AK101" s="31"/>
      <c r="AL101" s="31"/>
      <c r="AM101" s="31"/>
      <c r="AN101" s="34"/>
      <c r="AO101" s="44">
        <f t="shared" si="8"/>
        <v>0</v>
      </c>
      <c r="AP101" s="48">
        <f t="shared" si="9"/>
        <v>1110</v>
      </c>
      <c r="AQ101" s="33"/>
      <c r="AR101" s="49">
        <f t="shared" si="10"/>
        <v>46193</v>
      </c>
      <c r="AS101" s="49">
        <f t="shared" si="11"/>
        <v>46174</v>
      </c>
      <c r="AT101" s="32">
        <f t="shared" si="12"/>
        <v>2026</v>
      </c>
    </row>
    <row r="102" ht="18.0" customHeight="1">
      <c r="A102" s="31" t="s">
        <v>61</v>
      </c>
      <c r="B102" s="31" t="s">
        <v>62</v>
      </c>
      <c r="C102" s="31" t="s">
        <v>63</v>
      </c>
      <c r="D102" s="32">
        <v>2.2004297E7</v>
      </c>
      <c r="E102" s="33" t="s">
        <v>909</v>
      </c>
      <c r="F102" s="34">
        <v>46191.0</v>
      </c>
      <c r="G102" s="34"/>
      <c r="H102" s="34">
        <v>46188.0</v>
      </c>
      <c r="I102" s="31" t="s">
        <v>83</v>
      </c>
      <c r="J102" s="31" t="s">
        <v>76</v>
      </c>
      <c r="K102" s="31">
        <v>30.0</v>
      </c>
      <c r="L102" s="37">
        <v>5082.0</v>
      </c>
      <c r="M102" s="30">
        <f t="shared" si="1"/>
        <v>169.4</v>
      </c>
      <c r="N102" s="38">
        <v>0.2</v>
      </c>
      <c r="O102" s="30">
        <f>IF($L102="","",$L102*IF($N102="",Settings!$J$11,$N102))</f>
        <v>1016.4</v>
      </c>
      <c r="P102" s="30">
        <f t="shared" si="2"/>
        <v>6098.4</v>
      </c>
      <c r="Q102" s="31" t="s">
        <v>84</v>
      </c>
      <c r="R102" s="37"/>
      <c r="S102" s="30">
        <f>IF($L102="","",IF($Q102&lt;&gt;"Yes",0,IF($R102&lt;&gt;"",$R102,ROUND($L102*Settings!$J$4,2))))</f>
        <v>0</v>
      </c>
      <c r="T102" s="40">
        <f t="shared" si="3"/>
        <v>6098.4</v>
      </c>
      <c r="U102" s="30">
        <f t="shared" si="4"/>
        <v>3049.2</v>
      </c>
      <c r="V102" s="37"/>
      <c r="W102" s="31"/>
      <c r="X102" s="34"/>
      <c r="Y102" s="37"/>
      <c r="Z102" s="31"/>
      <c r="AA102" s="34"/>
      <c r="AB102" s="37"/>
      <c r="AC102" s="31"/>
      <c r="AD102" s="34"/>
      <c r="AE102" s="30">
        <f t="shared" si="5"/>
        <v>0</v>
      </c>
      <c r="AF102" s="41">
        <f t="shared" si="6"/>
        <v>1</v>
      </c>
      <c r="AG102" s="40">
        <f t="shared" si="7"/>
        <v>0</v>
      </c>
      <c r="AH102" s="32" t="str">
        <f>IF(OR($L102="",$H102="",$AG102&lt;=0),"",MAX(0,TODAY()-($H102+Settings!$J$6)))</f>
        <v/>
      </c>
      <c r="AI102" s="37"/>
      <c r="AJ102" s="33"/>
      <c r="AK102" s="31"/>
      <c r="AL102" s="31"/>
      <c r="AM102" s="31"/>
      <c r="AN102" s="34"/>
      <c r="AO102" s="44">
        <f t="shared" si="8"/>
        <v>0</v>
      </c>
      <c r="AP102" s="48">
        <f t="shared" si="9"/>
        <v>5082</v>
      </c>
      <c r="AQ102" s="33"/>
      <c r="AR102" s="49">
        <f t="shared" si="10"/>
        <v>46191</v>
      </c>
      <c r="AS102" s="49">
        <f t="shared" si="11"/>
        <v>46174</v>
      </c>
      <c r="AT102" s="32">
        <f t="shared" si="12"/>
        <v>2026</v>
      </c>
    </row>
    <row r="103" ht="18.0" customHeight="1">
      <c r="A103" s="31" t="s">
        <v>61</v>
      </c>
      <c r="B103" s="31" t="s">
        <v>62</v>
      </c>
      <c r="C103" s="31" t="s">
        <v>63</v>
      </c>
      <c r="D103" s="32">
        <v>2.2004298E7</v>
      </c>
      <c r="E103" s="33" t="s">
        <v>160</v>
      </c>
      <c r="F103" s="34">
        <v>46205.0</v>
      </c>
      <c r="G103" s="34"/>
      <c r="H103" s="34">
        <v>46192.0</v>
      </c>
      <c r="I103" s="31" t="s">
        <v>83</v>
      </c>
      <c r="J103" s="31" t="s">
        <v>76</v>
      </c>
      <c r="K103" s="31">
        <v>60.0</v>
      </c>
      <c r="L103" s="37">
        <v>4685.5</v>
      </c>
      <c r="M103" s="30">
        <f t="shared" si="1"/>
        <v>78.09166667</v>
      </c>
      <c r="N103" s="38">
        <v>0.2</v>
      </c>
      <c r="O103" s="30">
        <f>IF($L103="","",$L103*IF($N103="",Settings!$J$11,$N103))</f>
        <v>937.1</v>
      </c>
      <c r="P103" s="30">
        <f t="shared" si="2"/>
        <v>5622.6</v>
      </c>
      <c r="Q103" s="31" t="s">
        <v>79</v>
      </c>
      <c r="R103" s="37"/>
      <c r="S103" s="30">
        <f>IF($L103="","",IF($Q103&lt;&gt;"Yes",0,IF($R103&lt;&gt;"",$R103,ROUND($L103*Settings!$J$4,2))))</f>
        <v>468.55</v>
      </c>
      <c r="T103" s="40">
        <f t="shared" si="3"/>
        <v>6091.15</v>
      </c>
      <c r="U103" s="30">
        <f t="shared" si="4"/>
        <v>3279.85</v>
      </c>
      <c r="V103" s="37">
        <v>4822.26</v>
      </c>
      <c r="W103" s="31" t="s">
        <v>85</v>
      </c>
      <c r="X103" s="34">
        <v>46204.0</v>
      </c>
      <c r="Y103" s="37"/>
      <c r="Z103" s="31"/>
      <c r="AA103" s="34"/>
      <c r="AB103" s="37"/>
      <c r="AC103" s="31"/>
      <c r="AD103" s="34"/>
      <c r="AE103" s="30">
        <f t="shared" si="5"/>
        <v>4822.26</v>
      </c>
      <c r="AF103" s="41">
        <f t="shared" si="6"/>
        <v>1</v>
      </c>
      <c r="AG103" s="40">
        <f t="shared" si="7"/>
        <v>0</v>
      </c>
      <c r="AH103" s="32" t="str">
        <f>IF(OR($L103="",$H103="",$AG103&lt;=0),"",MAX(0,TODAY()-($H103+Settings!$J$6)))</f>
        <v/>
      </c>
      <c r="AI103" s="37">
        <v>468.55</v>
      </c>
      <c r="AJ103" s="33" t="s">
        <v>322</v>
      </c>
      <c r="AK103" s="31" t="s">
        <v>275</v>
      </c>
      <c r="AL103" s="31" t="s">
        <v>323</v>
      </c>
      <c r="AM103" s="31" t="s">
        <v>85</v>
      </c>
      <c r="AN103" s="34">
        <v>46214.0</v>
      </c>
      <c r="AO103" s="44">
        <f t="shared" si="8"/>
        <v>0</v>
      </c>
      <c r="AP103" s="48">
        <f t="shared" si="9"/>
        <v>4685.5</v>
      </c>
      <c r="AQ103" s="33"/>
      <c r="AR103" s="49">
        <f t="shared" si="10"/>
        <v>46205</v>
      </c>
      <c r="AS103" s="49">
        <f t="shared" si="11"/>
        <v>46204</v>
      </c>
      <c r="AT103" s="32">
        <f t="shared" si="12"/>
        <v>2026</v>
      </c>
    </row>
    <row r="104" ht="18.0" customHeight="1">
      <c r="A104" s="31" t="s">
        <v>61</v>
      </c>
      <c r="B104" s="31" t="s">
        <v>62</v>
      </c>
      <c r="C104" s="31" t="s">
        <v>63</v>
      </c>
      <c r="D104" s="32">
        <v>2.2004299E7</v>
      </c>
      <c r="E104" s="33" t="s">
        <v>197</v>
      </c>
      <c r="F104" s="34">
        <v>46203.0</v>
      </c>
      <c r="G104" s="34"/>
      <c r="H104" s="34">
        <v>46192.0</v>
      </c>
      <c r="I104" s="31" t="s">
        <v>73</v>
      </c>
      <c r="J104" s="31" t="s">
        <v>76</v>
      </c>
      <c r="K104" s="31">
        <v>18.0</v>
      </c>
      <c r="L104" s="37">
        <v>1131.0</v>
      </c>
      <c r="M104" s="30">
        <f t="shared" si="1"/>
        <v>62.83333333</v>
      </c>
      <c r="N104" s="38">
        <v>0.2</v>
      </c>
      <c r="O104" s="30">
        <f>IF($L104="","",$L104*IF($N104="",Settings!$J$11,$N104))</f>
        <v>226.2</v>
      </c>
      <c r="P104" s="30">
        <f t="shared" si="2"/>
        <v>1357.2</v>
      </c>
      <c r="Q104" s="31" t="s">
        <v>84</v>
      </c>
      <c r="R104" s="37"/>
      <c r="S104" s="30">
        <f>IF($L104="","",IF($Q104&lt;&gt;"Yes",0,IF($R104&lt;&gt;"",$R104,ROUND($L104*Settings!$J$4,2))))</f>
        <v>0</v>
      </c>
      <c r="T104" s="40">
        <f t="shared" si="3"/>
        <v>1357.2</v>
      </c>
      <c r="U104" s="30">
        <f t="shared" si="4"/>
        <v>678.6</v>
      </c>
      <c r="V104" s="37"/>
      <c r="W104" s="31"/>
      <c r="X104" s="34"/>
      <c r="Y104" s="37"/>
      <c r="Z104" s="31"/>
      <c r="AA104" s="34"/>
      <c r="AB104" s="37"/>
      <c r="AC104" s="31"/>
      <c r="AD104" s="34"/>
      <c r="AE104" s="30">
        <f t="shared" si="5"/>
        <v>0</v>
      </c>
      <c r="AF104" s="41">
        <f t="shared" si="6"/>
        <v>1</v>
      </c>
      <c r="AG104" s="40">
        <f t="shared" si="7"/>
        <v>0</v>
      </c>
      <c r="AH104" s="32" t="str">
        <f>IF(OR($L104="",$H104="",$AG104&lt;=0),"",MAX(0,TODAY()-($H104+Settings!$J$6)))</f>
        <v/>
      </c>
      <c r="AI104" s="37"/>
      <c r="AJ104" s="33"/>
      <c r="AK104" s="31"/>
      <c r="AL104" s="31"/>
      <c r="AM104" s="31"/>
      <c r="AN104" s="34"/>
      <c r="AO104" s="44">
        <f t="shared" si="8"/>
        <v>0</v>
      </c>
      <c r="AP104" s="48">
        <f t="shared" si="9"/>
        <v>1131</v>
      </c>
      <c r="AQ104" s="33"/>
      <c r="AR104" s="49">
        <f t="shared" si="10"/>
        <v>46203</v>
      </c>
      <c r="AS104" s="49">
        <f t="shared" si="11"/>
        <v>46174</v>
      </c>
      <c r="AT104" s="32">
        <f t="shared" si="12"/>
        <v>2026</v>
      </c>
    </row>
    <row r="105" ht="18.0" customHeight="1">
      <c r="A105" s="31" t="s">
        <v>61</v>
      </c>
      <c r="B105" s="31" t="s">
        <v>62</v>
      </c>
      <c r="C105" s="31" t="s">
        <v>251</v>
      </c>
      <c r="D105" s="32">
        <v>2.20043E7</v>
      </c>
      <c r="E105" s="33" t="s">
        <v>183</v>
      </c>
      <c r="F105" s="34">
        <v>46207.0</v>
      </c>
      <c r="G105" s="34"/>
      <c r="H105" s="34">
        <v>46195.0</v>
      </c>
      <c r="I105" s="31" t="s">
        <v>73</v>
      </c>
      <c r="J105" s="31" t="s">
        <v>76</v>
      </c>
      <c r="K105" s="31">
        <v>40.0</v>
      </c>
      <c r="L105" s="37">
        <v>1306.0</v>
      </c>
      <c r="M105" s="30">
        <f t="shared" si="1"/>
        <v>32.65</v>
      </c>
      <c r="N105" s="38">
        <v>0.2</v>
      </c>
      <c r="O105" s="30">
        <f>IF($L105="","",$L105*IF($N105="",Settings!$J$11,$N105))</f>
        <v>261.2</v>
      </c>
      <c r="P105" s="30">
        <f t="shared" si="2"/>
        <v>1567.2</v>
      </c>
      <c r="Q105" s="31" t="s">
        <v>79</v>
      </c>
      <c r="R105" s="37"/>
      <c r="S105" s="30">
        <f>IF($L105="","",IF($Q105&lt;&gt;"Yes",0,IF($R105&lt;&gt;"",$R105,ROUND($L105*Settings!$J$4,2))))</f>
        <v>130.6</v>
      </c>
      <c r="T105" s="40">
        <f t="shared" si="3"/>
        <v>1697.8</v>
      </c>
      <c r="U105" s="30">
        <f t="shared" si="4"/>
        <v>914.2</v>
      </c>
      <c r="V105" s="37">
        <v>6781.71</v>
      </c>
      <c r="W105" s="31" t="s">
        <v>80</v>
      </c>
      <c r="X105" s="34">
        <v>46197.0</v>
      </c>
      <c r="Y105" s="37"/>
      <c r="Z105" s="31"/>
      <c r="AA105" s="34"/>
      <c r="AB105" s="37"/>
      <c r="AC105" s="31"/>
      <c r="AD105" s="34"/>
      <c r="AE105" s="30">
        <f t="shared" si="5"/>
        <v>6781.71</v>
      </c>
      <c r="AF105" s="41">
        <f t="shared" si="6"/>
        <v>1</v>
      </c>
      <c r="AG105" s="40">
        <f t="shared" si="7"/>
        <v>0</v>
      </c>
      <c r="AH105" s="32" t="str">
        <f>IF(OR($L105="",$H105="",$AG105&lt;=0),"",MAX(0,TODAY()-($H105+Settings!$J$6)))</f>
        <v/>
      </c>
      <c r="AI105" s="37">
        <v>130.6</v>
      </c>
      <c r="AJ105" s="33"/>
      <c r="AK105" s="31"/>
      <c r="AL105" s="31"/>
      <c r="AM105" s="31" t="s">
        <v>80</v>
      </c>
      <c r="AN105" s="34">
        <v>46210.0</v>
      </c>
      <c r="AO105" s="44">
        <f t="shared" si="8"/>
        <v>0</v>
      </c>
      <c r="AP105" s="48">
        <f t="shared" si="9"/>
        <v>1306</v>
      </c>
      <c r="AQ105" s="33"/>
      <c r="AR105" s="49">
        <f t="shared" si="10"/>
        <v>46207</v>
      </c>
      <c r="AS105" s="49">
        <f t="shared" si="11"/>
        <v>46204</v>
      </c>
      <c r="AT105" s="32">
        <f t="shared" si="12"/>
        <v>2026</v>
      </c>
    </row>
    <row r="106" ht="18.0" customHeight="1">
      <c r="A106" s="31" t="s">
        <v>61</v>
      </c>
      <c r="B106" s="31" t="s">
        <v>62</v>
      </c>
      <c r="C106" s="31" t="s">
        <v>63</v>
      </c>
      <c r="D106" s="32">
        <v>2.2004301E7</v>
      </c>
      <c r="E106" s="33" t="s">
        <v>184</v>
      </c>
      <c r="F106" s="34">
        <v>46207.0</v>
      </c>
      <c r="G106" s="34"/>
      <c r="H106" s="34">
        <v>46196.0</v>
      </c>
      <c r="I106" s="31" t="s">
        <v>73</v>
      </c>
      <c r="J106" s="31" t="s">
        <v>76</v>
      </c>
      <c r="K106" s="31">
        <v>10.0</v>
      </c>
      <c r="L106" s="37">
        <v>3275.2</v>
      </c>
      <c r="M106" s="30">
        <f t="shared" si="1"/>
        <v>327.52</v>
      </c>
      <c r="N106" s="38">
        <v>0.2</v>
      </c>
      <c r="O106" s="30">
        <f>IF($L106="","",$L106*IF($N106="",Settings!$J$11,$N106))</f>
        <v>655.04</v>
      </c>
      <c r="P106" s="30">
        <f t="shared" si="2"/>
        <v>3930.24</v>
      </c>
      <c r="Q106" s="31" t="s">
        <v>79</v>
      </c>
      <c r="R106" s="37"/>
      <c r="S106" s="30">
        <f>IF($L106="","",IF($Q106&lt;&gt;"Yes",0,IF($R106&lt;&gt;"",$R106,ROUND($L106*Settings!$J$4,2))))</f>
        <v>327.52</v>
      </c>
      <c r="T106" s="40">
        <f t="shared" si="3"/>
        <v>4257.76</v>
      </c>
      <c r="U106" s="30">
        <f t="shared" si="4"/>
        <v>2292.64</v>
      </c>
      <c r="V106" s="37">
        <v>4257.76</v>
      </c>
      <c r="W106" s="31" t="s">
        <v>85</v>
      </c>
      <c r="X106" s="34">
        <v>46189.0</v>
      </c>
      <c r="Y106" s="37"/>
      <c r="Z106" s="31"/>
      <c r="AA106" s="34"/>
      <c r="AB106" s="37"/>
      <c r="AC106" s="31"/>
      <c r="AD106" s="34"/>
      <c r="AE106" s="30">
        <f t="shared" si="5"/>
        <v>4257.76</v>
      </c>
      <c r="AF106" s="41">
        <f t="shared" si="6"/>
        <v>1</v>
      </c>
      <c r="AG106" s="40">
        <f t="shared" si="7"/>
        <v>0</v>
      </c>
      <c r="AH106" s="32" t="str">
        <f>IF(OR($L106="",$H106="",$AG106&lt;=0),"",MAX(0,TODAY()-($H106+Settings!$J$6)))</f>
        <v/>
      </c>
      <c r="AI106" s="37">
        <v>327.52</v>
      </c>
      <c r="AJ106" s="33" t="s">
        <v>925</v>
      </c>
      <c r="AK106" s="31" t="s">
        <v>427</v>
      </c>
      <c r="AL106" s="31">
        <v>4.9834606E7</v>
      </c>
      <c r="AM106" s="31" t="s">
        <v>85</v>
      </c>
      <c r="AN106" s="34">
        <v>46275.0</v>
      </c>
      <c r="AO106" s="44">
        <f t="shared" si="8"/>
        <v>0</v>
      </c>
      <c r="AP106" s="48">
        <f t="shared" si="9"/>
        <v>3275.2</v>
      </c>
      <c r="AQ106" s="33"/>
      <c r="AR106" s="49">
        <f t="shared" si="10"/>
        <v>46207</v>
      </c>
      <c r="AS106" s="49">
        <f t="shared" si="11"/>
        <v>46204</v>
      </c>
      <c r="AT106" s="32">
        <f t="shared" si="12"/>
        <v>2026</v>
      </c>
    </row>
    <row r="107" ht="18.0" customHeight="1">
      <c r="A107" s="31" t="s">
        <v>61</v>
      </c>
      <c r="B107" s="31" t="s">
        <v>62</v>
      </c>
      <c r="C107" s="31" t="s">
        <v>251</v>
      </c>
      <c r="D107" s="32">
        <v>2.2004302E7</v>
      </c>
      <c r="E107" s="33" t="s">
        <v>185</v>
      </c>
      <c r="F107" s="34">
        <v>46199.0</v>
      </c>
      <c r="G107" s="34"/>
      <c r="H107" s="34">
        <v>46196.0</v>
      </c>
      <c r="I107" s="31" t="s">
        <v>73</v>
      </c>
      <c r="J107" s="31" t="s">
        <v>76</v>
      </c>
      <c r="K107" s="31">
        <v>8.0</v>
      </c>
      <c r="L107" s="37">
        <v>1254.4</v>
      </c>
      <c r="M107" s="30">
        <f t="shared" si="1"/>
        <v>156.8</v>
      </c>
      <c r="N107" s="38">
        <v>0.2</v>
      </c>
      <c r="O107" s="30">
        <f>IF($L107="","",$L107*IF($N107="",Settings!$J$11,$N107))</f>
        <v>250.88</v>
      </c>
      <c r="P107" s="30">
        <f t="shared" si="2"/>
        <v>1505.28</v>
      </c>
      <c r="Q107" s="31" t="s">
        <v>79</v>
      </c>
      <c r="R107" s="37"/>
      <c r="S107" s="30">
        <f>IF($L107="","",IF($Q107&lt;&gt;"Yes",0,IF($R107&lt;&gt;"",$R107,ROUND($L107*Settings!$J$4,2))))</f>
        <v>125.44</v>
      </c>
      <c r="T107" s="40">
        <f t="shared" si="3"/>
        <v>1630.72</v>
      </c>
      <c r="U107" s="30">
        <f t="shared" si="4"/>
        <v>878.08</v>
      </c>
      <c r="V107" s="37">
        <v>1630.72</v>
      </c>
      <c r="W107" s="31" t="s">
        <v>80</v>
      </c>
      <c r="X107" s="34">
        <v>46197.0</v>
      </c>
      <c r="Y107" s="37"/>
      <c r="Z107" s="31"/>
      <c r="AA107" s="34"/>
      <c r="AB107" s="37"/>
      <c r="AC107" s="31"/>
      <c r="AD107" s="34"/>
      <c r="AE107" s="30">
        <f t="shared" si="5"/>
        <v>1630.72</v>
      </c>
      <c r="AF107" s="41">
        <f t="shared" si="6"/>
        <v>1</v>
      </c>
      <c r="AG107" s="40">
        <f t="shared" si="7"/>
        <v>0</v>
      </c>
      <c r="AH107" s="32" t="str">
        <f>IF(OR($L107="",$H107="",$AG107&lt;=0),"",MAX(0,TODAY()-($H107+Settings!$J$6)))</f>
        <v/>
      </c>
      <c r="AI107" s="37">
        <v>125.44</v>
      </c>
      <c r="AJ107" s="33"/>
      <c r="AK107" s="31"/>
      <c r="AL107" s="31"/>
      <c r="AM107" s="31" t="s">
        <v>80</v>
      </c>
      <c r="AN107" s="34">
        <v>46203.0</v>
      </c>
      <c r="AO107" s="44">
        <f t="shared" si="8"/>
        <v>0</v>
      </c>
      <c r="AP107" s="48">
        <f t="shared" si="9"/>
        <v>1254.4</v>
      </c>
      <c r="AQ107" s="33"/>
      <c r="AR107" s="49">
        <f t="shared" si="10"/>
        <v>46199</v>
      </c>
      <c r="AS107" s="49">
        <f t="shared" si="11"/>
        <v>46174</v>
      </c>
      <c r="AT107" s="32">
        <f t="shared" si="12"/>
        <v>2026</v>
      </c>
    </row>
    <row r="108" ht="18.0" customHeight="1">
      <c r="A108" s="31" t="s">
        <v>61</v>
      </c>
      <c r="B108" s="31" t="s">
        <v>62</v>
      </c>
      <c r="C108" s="31" t="s">
        <v>251</v>
      </c>
      <c r="D108" s="32">
        <v>2.2004303E7</v>
      </c>
      <c r="E108" s="33" t="s">
        <v>203</v>
      </c>
      <c r="F108" s="34">
        <v>46203.0</v>
      </c>
      <c r="G108" s="34"/>
      <c r="H108" s="34">
        <v>46196.0</v>
      </c>
      <c r="I108" s="31" t="s">
        <v>73</v>
      </c>
      <c r="J108" s="31" t="s">
        <v>76</v>
      </c>
      <c r="K108" s="31">
        <v>20.0</v>
      </c>
      <c r="L108" s="37">
        <v>621.0</v>
      </c>
      <c r="M108" s="30">
        <f t="shared" si="1"/>
        <v>31.05</v>
      </c>
      <c r="N108" s="38">
        <v>0.2</v>
      </c>
      <c r="O108" s="30">
        <f>IF($L108="","",$L108*IF($N108="",Settings!$J$11,$N108))</f>
        <v>124.2</v>
      </c>
      <c r="P108" s="30">
        <f t="shared" si="2"/>
        <v>745.2</v>
      </c>
      <c r="Q108" s="31" t="s">
        <v>84</v>
      </c>
      <c r="R108" s="37"/>
      <c r="S108" s="30">
        <f>IF($L108="","",IF($Q108&lt;&gt;"Yes",0,IF($R108&lt;&gt;"",$R108,ROUND($L108*Settings!$J$4,2))))</f>
        <v>0</v>
      </c>
      <c r="T108" s="40">
        <f t="shared" si="3"/>
        <v>745.2</v>
      </c>
      <c r="U108" s="30">
        <f t="shared" si="4"/>
        <v>372.6</v>
      </c>
      <c r="V108" s="37">
        <v>745.2</v>
      </c>
      <c r="W108" s="31" t="s">
        <v>80</v>
      </c>
      <c r="X108" s="34">
        <v>46197.0</v>
      </c>
      <c r="Y108" s="37"/>
      <c r="Z108" s="31"/>
      <c r="AA108" s="34"/>
      <c r="AB108" s="37"/>
      <c r="AC108" s="31"/>
      <c r="AD108" s="34"/>
      <c r="AE108" s="30">
        <f t="shared" si="5"/>
        <v>745.2</v>
      </c>
      <c r="AF108" s="41">
        <f t="shared" si="6"/>
        <v>1</v>
      </c>
      <c r="AG108" s="40">
        <f t="shared" si="7"/>
        <v>0</v>
      </c>
      <c r="AH108" s="32" t="str">
        <f>IF(OR($L108="",$H108="",$AG108&lt;=0),"",MAX(0,TODAY()-($H108+Settings!$J$6)))</f>
        <v/>
      </c>
      <c r="AI108" s="37"/>
      <c r="AJ108" s="33"/>
      <c r="AK108" s="31"/>
      <c r="AL108" s="31"/>
      <c r="AM108" s="31"/>
      <c r="AN108" s="34"/>
      <c r="AO108" s="44">
        <f t="shared" si="8"/>
        <v>0</v>
      </c>
      <c r="AP108" s="48">
        <f t="shared" si="9"/>
        <v>621</v>
      </c>
      <c r="AQ108" s="33"/>
      <c r="AR108" s="49">
        <f t="shared" si="10"/>
        <v>46203</v>
      </c>
      <c r="AS108" s="49">
        <f t="shared" si="11"/>
        <v>46174</v>
      </c>
      <c r="AT108" s="32">
        <f t="shared" si="12"/>
        <v>2026</v>
      </c>
    </row>
    <row r="109" ht="18.0" customHeight="1">
      <c r="A109" s="31" t="s">
        <v>167</v>
      </c>
      <c r="B109" s="31" t="s">
        <v>62</v>
      </c>
      <c r="C109" s="31" t="s">
        <v>63</v>
      </c>
      <c r="D109" s="32">
        <v>2.2004304E7</v>
      </c>
      <c r="E109" s="33" t="s">
        <v>926</v>
      </c>
      <c r="F109" s="34">
        <v>46198.0</v>
      </c>
      <c r="G109" s="34"/>
      <c r="H109" s="34">
        <v>46198.0</v>
      </c>
      <c r="I109" s="31" t="s">
        <v>83</v>
      </c>
      <c r="J109" s="31" t="s">
        <v>76</v>
      </c>
      <c r="K109" s="31">
        <v>50.0</v>
      </c>
      <c r="L109" s="37">
        <v>2625.0</v>
      </c>
      <c r="M109" s="30">
        <f t="shared" si="1"/>
        <v>52.5</v>
      </c>
      <c r="N109" s="38">
        <v>0.2</v>
      </c>
      <c r="O109" s="30">
        <f>IF($L109="","",$L109*IF($N109="",Settings!$J$11,$N109))</f>
        <v>525</v>
      </c>
      <c r="P109" s="30">
        <f t="shared" si="2"/>
        <v>3150</v>
      </c>
      <c r="Q109" s="31" t="s">
        <v>84</v>
      </c>
      <c r="R109" s="37"/>
      <c r="S109" s="30">
        <f>IF($L109="","",IF($Q109&lt;&gt;"Yes",0,IF($R109&lt;&gt;"",$R109,ROUND($L109*Settings!$J$4,2))))</f>
        <v>0</v>
      </c>
      <c r="T109" s="40">
        <f t="shared" si="3"/>
        <v>3150</v>
      </c>
      <c r="U109" s="30">
        <f t="shared" si="4"/>
        <v>1575</v>
      </c>
      <c r="V109" s="37">
        <v>3150.0</v>
      </c>
      <c r="W109" s="31" t="s">
        <v>85</v>
      </c>
      <c r="X109" s="34">
        <v>46231.0</v>
      </c>
      <c r="Y109" s="37"/>
      <c r="Z109" s="31"/>
      <c r="AA109" s="34"/>
      <c r="AB109" s="37"/>
      <c r="AC109" s="31"/>
      <c r="AD109" s="34"/>
      <c r="AE109" s="30">
        <f t="shared" si="5"/>
        <v>3150</v>
      </c>
      <c r="AF109" s="41">
        <f t="shared" si="6"/>
        <v>1</v>
      </c>
      <c r="AG109" s="40">
        <f t="shared" si="7"/>
        <v>0</v>
      </c>
      <c r="AH109" s="32" t="str">
        <f>IF(OR($L109="",$H109="",$AG109&lt;=0),"",MAX(0,TODAY()-($H109+Settings!$J$6)))</f>
        <v/>
      </c>
      <c r="AI109" s="37"/>
      <c r="AJ109" s="33"/>
      <c r="AK109" s="31"/>
      <c r="AL109" s="31"/>
      <c r="AM109" s="31"/>
      <c r="AN109" s="34"/>
      <c r="AO109" s="44">
        <f t="shared" si="8"/>
        <v>0</v>
      </c>
      <c r="AP109" s="48">
        <f t="shared" si="9"/>
        <v>2625</v>
      </c>
      <c r="AQ109" s="33"/>
      <c r="AR109" s="49">
        <f t="shared" si="10"/>
        <v>46198</v>
      </c>
      <c r="AS109" s="49">
        <f t="shared" si="11"/>
        <v>46174</v>
      </c>
      <c r="AT109" s="32">
        <f t="shared" si="12"/>
        <v>2026</v>
      </c>
    </row>
    <row r="110" ht="18.0" customHeight="1">
      <c r="A110" s="31" t="s">
        <v>167</v>
      </c>
      <c r="B110" s="31" t="s">
        <v>62</v>
      </c>
      <c r="C110" s="31" t="s">
        <v>63</v>
      </c>
      <c r="D110" s="32">
        <v>2.2004305E7</v>
      </c>
      <c r="E110" s="33" t="s">
        <v>927</v>
      </c>
      <c r="F110" s="34">
        <v>46198.0</v>
      </c>
      <c r="G110" s="34"/>
      <c r="H110" s="34">
        <v>46198.0</v>
      </c>
      <c r="I110" s="31" t="s">
        <v>73</v>
      </c>
      <c r="J110" s="31" t="s">
        <v>76</v>
      </c>
      <c r="K110" s="31">
        <v>1.0</v>
      </c>
      <c r="L110" s="37">
        <v>1082.99</v>
      </c>
      <c r="M110" s="30">
        <f t="shared" si="1"/>
        <v>1082.99</v>
      </c>
      <c r="N110" s="38">
        <v>0.2</v>
      </c>
      <c r="O110" s="30">
        <f>IF($L110="","",$L110*IF($N110="",Settings!$J$11,$N110))</f>
        <v>216.598</v>
      </c>
      <c r="P110" s="30">
        <f t="shared" si="2"/>
        <v>1299.588</v>
      </c>
      <c r="Q110" s="31" t="s">
        <v>79</v>
      </c>
      <c r="R110" s="37"/>
      <c r="S110" s="30">
        <f>IF($L110="","",IF($Q110&lt;&gt;"Yes",0,IF($R110&lt;&gt;"",$R110,ROUND($L110*Settings!$J$4,2))))</f>
        <v>108.3</v>
      </c>
      <c r="T110" s="40">
        <f t="shared" si="3"/>
        <v>1407.888</v>
      </c>
      <c r="U110" s="30">
        <f t="shared" si="4"/>
        <v>758.09</v>
      </c>
      <c r="V110" s="37"/>
      <c r="W110" s="31"/>
      <c r="X110" s="34"/>
      <c r="Y110" s="37"/>
      <c r="Z110" s="31"/>
      <c r="AA110" s="34"/>
      <c r="AB110" s="37"/>
      <c r="AC110" s="31"/>
      <c r="AD110" s="34"/>
      <c r="AE110" s="30">
        <f t="shared" si="5"/>
        <v>0</v>
      </c>
      <c r="AF110" s="41">
        <f t="shared" si="6"/>
        <v>1</v>
      </c>
      <c r="AG110" s="40">
        <f t="shared" si="7"/>
        <v>0</v>
      </c>
      <c r="AH110" s="32" t="str">
        <f>IF(OR($L110="",$H110="",$AG110&lt;=0),"",MAX(0,TODAY()-($H110+Settings!$J$6)))</f>
        <v/>
      </c>
      <c r="AI110" s="37">
        <v>108.3</v>
      </c>
      <c r="AJ110" s="33"/>
      <c r="AK110" s="31"/>
      <c r="AL110" s="31"/>
      <c r="AM110" s="31"/>
      <c r="AN110" s="34"/>
      <c r="AO110" s="44">
        <f t="shared" si="8"/>
        <v>0</v>
      </c>
      <c r="AP110" s="48">
        <f t="shared" si="9"/>
        <v>1082.99</v>
      </c>
      <c r="AQ110" s="33"/>
      <c r="AR110" s="49">
        <f t="shared" si="10"/>
        <v>46198</v>
      </c>
      <c r="AS110" s="49">
        <f t="shared" si="11"/>
        <v>46174</v>
      </c>
      <c r="AT110" s="32">
        <f t="shared" si="12"/>
        <v>2026</v>
      </c>
    </row>
    <row r="111" ht="18.0" customHeight="1">
      <c r="A111" s="31" t="s">
        <v>61</v>
      </c>
      <c r="B111" s="31" t="s">
        <v>62</v>
      </c>
      <c r="C111" s="31" t="s">
        <v>63</v>
      </c>
      <c r="D111" s="32">
        <v>2.2004306E7</v>
      </c>
      <c r="E111" s="33" t="s">
        <v>143</v>
      </c>
      <c r="F111" s="34"/>
      <c r="G111" s="34"/>
      <c r="H111" s="34">
        <v>46203.0</v>
      </c>
      <c r="I111" s="31" t="s">
        <v>83</v>
      </c>
      <c r="J111" s="31" t="s">
        <v>76</v>
      </c>
      <c r="K111" s="31">
        <v>1.0</v>
      </c>
      <c r="L111" s="37">
        <v>1642.8</v>
      </c>
      <c r="M111" s="30">
        <f t="shared" si="1"/>
        <v>1642.8</v>
      </c>
      <c r="N111" s="38">
        <v>0.2</v>
      </c>
      <c r="O111" s="30">
        <f>IF($L111="","",$L111*IF($N111="",Settings!$J$11,$N111))</f>
        <v>328.56</v>
      </c>
      <c r="P111" s="30">
        <f t="shared" si="2"/>
        <v>1971.36</v>
      </c>
      <c r="Q111" s="31" t="s">
        <v>79</v>
      </c>
      <c r="R111" s="37"/>
      <c r="S111" s="30">
        <f>IF($L111="","",IF($Q111&lt;&gt;"Yes",0,IF($R111&lt;&gt;"",$R111,ROUND($L111*Settings!$J$4,2))))</f>
        <v>164.28</v>
      </c>
      <c r="T111" s="40">
        <f t="shared" si="3"/>
        <v>2135.64</v>
      </c>
      <c r="U111" s="30">
        <f t="shared" si="4"/>
        <v>1149.96</v>
      </c>
      <c r="V111" s="37">
        <v>1642.8</v>
      </c>
      <c r="W111" s="31" t="s">
        <v>85</v>
      </c>
      <c r="X111" s="34"/>
      <c r="Y111" s="37"/>
      <c r="Z111" s="31"/>
      <c r="AA111" s="34"/>
      <c r="AB111" s="37"/>
      <c r="AC111" s="31"/>
      <c r="AD111" s="34"/>
      <c r="AE111" s="30">
        <f t="shared" si="5"/>
        <v>1642.8</v>
      </c>
      <c r="AF111" s="41">
        <f t="shared" si="6"/>
        <v>1</v>
      </c>
      <c r="AG111" s="40">
        <f t="shared" si="7"/>
        <v>0</v>
      </c>
      <c r="AH111" s="32" t="str">
        <f>IF(OR($L111="",$H111="",$AG111&lt;=0),"",MAX(0,TODAY()-($H111+Settings!$J$6)))</f>
        <v/>
      </c>
      <c r="AI111" s="37">
        <v>164.28</v>
      </c>
      <c r="AJ111" s="33"/>
      <c r="AK111" s="31"/>
      <c r="AL111" s="31"/>
      <c r="AM111" s="31"/>
      <c r="AN111" s="34"/>
      <c r="AO111" s="44">
        <f t="shared" si="8"/>
        <v>0</v>
      </c>
      <c r="AP111" s="48">
        <f t="shared" si="9"/>
        <v>1642.8</v>
      </c>
      <c r="AQ111" s="33" t="s">
        <v>928</v>
      </c>
      <c r="AR111" s="49" t="str">
        <f t="shared" si="10"/>
        <v/>
      </c>
      <c r="AS111" s="49" t="str">
        <f t="shared" si="11"/>
        <v/>
      </c>
      <c r="AT111" s="32">
        <f t="shared" si="12"/>
        <v>2026</v>
      </c>
    </row>
    <row r="112" ht="18.0" customHeight="1">
      <c r="A112" s="31" t="s">
        <v>61</v>
      </c>
      <c r="B112" s="31" t="s">
        <v>62</v>
      </c>
      <c r="C112" s="31" t="s">
        <v>63</v>
      </c>
      <c r="D112" s="32">
        <v>2.2004307E7</v>
      </c>
      <c r="E112" s="33" t="s">
        <v>147</v>
      </c>
      <c r="F112" s="34">
        <v>46210.0</v>
      </c>
      <c r="G112" s="34"/>
      <c r="H112" s="34"/>
      <c r="I112" s="31" t="s">
        <v>83</v>
      </c>
      <c r="J112" s="31" t="s">
        <v>76</v>
      </c>
      <c r="K112" s="31">
        <v>30.0</v>
      </c>
      <c r="L112" s="37">
        <v>905.0</v>
      </c>
      <c r="M112" s="30">
        <f t="shared" si="1"/>
        <v>30.16666667</v>
      </c>
      <c r="N112" s="38">
        <v>0.2</v>
      </c>
      <c r="O112" s="30">
        <f>IF($L112="","",$L112*IF($N112="",Settings!$J$11,$N112))</f>
        <v>181</v>
      </c>
      <c r="P112" s="30">
        <f t="shared" si="2"/>
        <v>1086</v>
      </c>
      <c r="Q112" s="31" t="s">
        <v>84</v>
      </c>
      <c r="R112" s="37"/>
      <c r="S112" s="30">
        <f>IF($L112="","",IF($Q112&lt;&gt;"Yes",0,IF($R112&lt;&gt;"",$R112,ROUND($L112*Settings!$J$4,2))))</f>
        <v>0</v>
      </c>
      <c r="T112" s="40">
        <f t="shared" si="3"/>
        <v>1086</v>
      </c>
      <c r="U112" s="30">
        <f t="shared" si="4"/>
        <v>543</v>
      </c>
      <c r="V112" s="37">
        <v>1086.0</v>
      </c>
      <c r="W112" s="31" t="s">
        <v>85</v>
      </c>
      <c r="X112" s="34">
        <v>46244.0</v>
      </c>
      <c r="Y112" s="37"/>
      <c r="Z112" s="31"/>
      <c r="AA112" s="34"/>
      <c r="AB112" s="37"/>
      <c r="AC112" s="31"/>
      <c r="AD112" s="34"/>
      <c r="AE112" s="30">
        <f t="shared" si="5"/>
        <v>1086</v>
      </c>
      <c r="AF112" s="41">
        <f t="shared" si="6"/>
        <v>1</v>
      </c>
      <c r="AG112" s="40">
        <f t="shared" si="7"/>
        <v>0</v>
      </c>
      <c r="AH112" s="32" t="str">
        <f>IF(OR($L112="",$H112="",$AG112&lt;=0),"",MAX(0,TODAY()-($H112+Settings!$J$6)))</f>
        <v/>
      </c>
      <c r="AI112" s="37"/>
      <c r="AJ112" s="33"/>
      <c r="AK112" s="31"/>
      <c r="AL112" s="31"/>
      <c r="AM112" s="31"/>
      <c r="AN112" s="34"/>
      <c r="AO112" s="44">
        <f t="shared" si="8"/>
        <v>0</v>
      </c>
      <c r="AP112" s="48">
        <f t="shared" si="9"/>
        <v>905</v>
      </c>
      <c r="AQ112" s="33" t="s">
        <v>929</v>
      </c>
      <c r="AR112" s="49">
        <f t="shared" si="10"/>
        <v>46210</v>
      </c>
      <c r="AS112" s="49">
        <f t="shared" si="11"/>
        <v>46204</v>
      </c>
      <c r="AT112" s="32">
        <f t="shared" si="12"/>
        <v>2026</v>
      </c>
    </row>
    <row r="113" ht="18.0" customHeight="1">
      <c r="A113" s="31" t="s">
        <v>61</v>
      </c>
      <c r="B113" s="31" t="s">
        <v>62</v>
      </c>
      <c r="C113" s="31" t="s">
        <v>63</v>
      </c>
      <c r="D113" s="32">
        <v>2.2004308E7</v>
      </c>
      <c r="E113" s="33" t="s">
        <v>130</v>
      </c>
      <c r="F113" s="34">
        <v>46220.0</v>
      </c>
      <c r="G113" s="34"/>
      <c r="H113" s="34">
        <v>46204.0</v>
      </c>
      <c r="I113" s="31" t="s">
        <v>83</v>
      </c>
      <c r="J113" s="31" t="s">
        <v>76</v>
      </c>
      <c r="K113" s="31">
        <v>25.0</v>
      </c>
      <c r="L113" s="37">
        <v>2075.25</v>
      </c>
      <c r="M113" s="30">
        <f t="shared" si="1"/>
        <v>83.01</v>
      </c>
      <c r="N113" s="38">
        <v>0.2</v>
      </c>
      <c r="O113" s="30">
        <f>IF($L113="","",$L113*IF($N113="",Settings!$J$11,$N113))</f>
        <v>415.05</v>
      </c>
      <c r="P113" s="30">
        <f t="shared" si="2"/>
        <v>2490.3</v>
      </c>
      <c r="Q113" s="31" t="s">
        <v>79</v>
      </c>
      <c r="R113" s="37"/>
      <c r="S113" s="30">
        <f>IF($L113="","",IF($Q113&lt;&gt;"Yes",0,IF($R113&lt;&gt;"",$R113,ROUND($L113*Settings!$J$4,2))))</f>
        <v>207.53</v>
      </c>
      <c r="T113" s="40">
        <f t="shared" si="3"/>
        <v>2697.83</v>
      </c>
      <c r="U113" s="30">
        <f t="shared" si="4"/>
        <v>1452.68</v>
      </c>
      <c r="V113" s="37">
        <v>2697.82</v>
      </c>
      <c r="W113" s="31" t="s">
        <v>80</v>
      </c>
      <c r="X113" s="34">
        <v>46207.0</v>
      </c>
      <c r="Y113" s="37"/>
      <c r="Z113" s="31"/>
      <c r="AA113" s="34"/>
      <c r="AB113" s="37"/>
      <c r="AC113" s="31"/>
      <c r="AD113" s="34"/>
      <c r="AE113" s="30">
        <f t="shared" si="5"/>
        <v>2697.82</v>
      </c>
      <c r="AF113" s="41">
        <f t="shared" si="6"/>
        <v>1</v>
      </c>
      <c r="AG113" s="40">
        <f t="shared" si="7"/>
        <v>0</v>
      </c>
      <c r="AH113" s="32" t="str">
        <f>IF(OR($L113="",$H113="",$AG113&lt;=0),"",MAX(0,TODAY()-($H113+Settings!$J$6)))</f>
        <v/>
      </c>
      <c r="AI113" s="37">
        <v>207.53</v>
      </c>
      <c r="AJ113" s="33"/>
      <c r="AK113" s="31"/>
      <c r="AL113" s="31"/>
      <c r="AM113" s="31"/>
      <c r="AN113" s="34"/>
      <c r="AO113" s="44">
        <f t="shared" si="8"/>
        <v>0</v>
      </c>
      <c r="AP113" s="48">
        <f t="shared" si="9"/>
        <v>2075.25</v>
      </c>
      <c r="AQ113" s="33"/>
      <c r="AR113" s="49">
        <f t="shared" si="10"/>
        <v>46220</v>
      </c>
      <c r="AS113" s="49">
        <f t="shared" si="11"/>
        <v>46204</v>
      </c>
      <c r="AT113" s="32">
        <f t="shared" si="12"/>
        <v>2026</v>
      </c>
    </row>
    <row r="114" ht="18.0" customHeight="1">
      <c r="A114" s="31" t="s">
        <v>61</v>
      </c>
      <c r="B114" s="31" t="s">
        <v>62</v>
      </c>
      <c r="C114" s="31" t="s">
        <v>63</v>
      </c>
      <c r="D114" s="32">
        <v>2.2004309E7</v>
      </c>
      <c r="E114" s="33" t="s">
        <v>186</v>
      </c>
      <c r="F114" s="34">
        <v>46212.0</v>
      </c>
      <c r="G114" s="34"/>
      <c r="H114" s="34">
        <v>46205.0</v>
      </c>
      <c r="I114" s="31" t="s">
        <v>73</v>
      </c>
      <c r="J114" s="31" t="s">
        <v>76</v>
      </c>
      <c r="K114" s="31">
        <v>55.0</v>
      </c>
      <c r="L114" s="37">
        <v>5328.75</v>
      </c>
      <c r="M114" s="30">
        <f t="shared" si="1"/>
        <v>96.88636364</v>
      </c>
      <c r="N114" s="38">
        <v>0.2</v>
      </c>
      <c r="O114" s="30">
        <f>IF($L114="","",$L114*IF($N114="",Settings!$J$11,$N114))</f>
        <v>1065.75</v>
      </c>
      <c r="P114" s="30">
        <f t="shared" si="2"/>
        <v>6394.5</v>
      </c>
      <c r="Q114" s="31" t="s">
        <v>79</v>
      </c>
      <c r="R114" s="37"/>
      <c r="S114" s="30">
        <f>IF($L114="","",IF($Q114&lt;&gt;"Yes",0,IF($R114&lt;&gt;"",$R114,ROUND($L114*Settings!$J$4,2))))</f>
        <v>532.88</v>
      </c>
      <c r="T114" s="40">
        <f t="shared" si="3"/>
        <v>6927.38</v>
      </c>
      <c r="U114" s="30">
        <f t="shared" si="4"/>
        <v>3730.13</v>
      </c>
      <c r="V114" s="37">
        <v>6553.69</v>
      </c>
      <c r="W114" s="31" t="s">
        <v>80</v>
      </c>
      <c r="X114" s="34">
        <v>46205.0</v>
      </c>
      <c r="Y114" s="37"/>
      <c r="Z114" s="31"/>
      <c r="AA114" s="34"/>
      <c r="AB114" s="37"/>
      <c r="AC114" s="31"/>
      <c r="AD114" s="34"/>
      <c r="AE114" s="30">
        <f t="shared" si="5"/>
        <v>6553.69</v>
      </c>
      <c r="AF114" s="41">
        <f t="shared" si="6"/>
        <v>1</v>
      </c>
      <c r="AG114" s="40">
        <f t="shared" si="7"/>
        <v>0</v>
      </c>
      <c r="AH114" s="32" t="str">
        <f>IF(OR($L114="",$H114="",$AG114&lt;=0),"",MAX(0,TODAY()-($H114+Settings!$J$6)))</f>
        <v/>
      </c>
      <c r="AI114" s="37">
        <v>532.88</v>
      </c>
      <c r="AJ114" s="33"/>
      <c r="AK114" s="31"/>
      <c r="AL114" s="31"/>
      <c r="AM114" s="31" t="s">
        <v>80</v>
      </c>
      <c r="AN114" s="34">
        <v>46219.0</v>
      </c>
      <c r="AO114" s="44">
        <f t="shared" si="8"/>
        <v>0</v>
      </c>
      <c r="AP114" s="48">
        <f t="shared" si="9"/>
        <v>5328.75</v>
      </c>
      <c r="AQ114" s="33"/>
      <c r="AR114" s="49">
        <f t="shared" si="10"/>
        <v>46212</v>
      </c>
      <c r="AS114" s="49">
        <f t="shared" si="11"/>
        <v>46204</v>
      </c>
      <c r="AT114" s="32">
        <f t="shared" si="12"/>
        <v>2026</v>
      </c>
    </row>
    <row r="115" ht="18.0" customHeight="1">
      <c r="A115" s="31" t="s">
        <v>61</v>
      </c>
      <c r="B115" s="31" t="s">
        <v>62</v>
      </c>
      <c r="C115" s="31" t="s">
        <v>63</v>
      </c>
      <c r="D115" s="32">
        <v>2.200431E7</v>
      </c>
      <c r="E115" s="33" t="s">
        <v>188</v>
      </c>
      <c r="F115" s="34">
        <v>46224.0</v>
      </c>
      <c r="G115" s="34"/>
      <c r="H115" s="34">
        <v>46206.0</v>
      </c>
      <c r="I115" s="31" t="s">
        <v>83</v>
      </c>
      <c r="J115" s="31" t="s">
        <v>76</v>
      </c>
      <c r="K115" s="31">
        <v>40.0</v>
      </c>
      <c r="L115" s="37">
        <v>2495.0</v>
      </c>
      <c r="M115" s="30">
        <f t="shared" si="1"/>
        <v>62.375</v>
      </c>
      <c r="N115" s="38">
        <v>0.2</v>
      </c>
      <c r="O115" s="30">
        <f>IF($L115="","",$L115*IF($N115="",Settings!$J$11,$N115))</f>
        <v>499</v>
      </c>
      <c r="P115" s="30">
        <f t="shared" si="2"/>
        <v>2994</v>
      </c>
      <c r="Q115" s="31" t="s">
        <v>79</v>
      </c>
      <c r="R115" s="37"/>
      <c r="S115" s="30">
        <f>IF($L115="","",IF($Q115&lt;&gt;"Yes",0,IF($R115&lt;&gt;"",$R115,ROUND($L115*Settings!$J$4,2))))</f>
        <v>249.5</v>
      </c>
      <c r="T115" s="40">
        <f t="shared" si="3"/>
        <v>3243.5</v>
      </c>
      <c r="U115" s="30">
        <f t="shared" si="4"/>
        <v>1746.5</v>
      </c>
      <c r="V115" s="37">
        <v>3243.5</v>
      </c>
      <c r="W115" s="31" t="s">
        <v>85</v>
      </c>
      <c r="X115" s="34">
        <v>46213.0</v>
      </c>
      <c r="Y115" s="37"/>
      <c r="Z115" s="31"/>
      <c r="AA115" s="34"/>
      <c r="AB115" s="37"/>
      <c r="AC115" s="31"/>
      <c r="AD115" s="34"/>
      <c r="AE115" s="30">
        <f t="shared" si="5"/>
        <v>3243.5</v>
      </c>
      <c r="AF115" s="41">
        <f t="shared" si="6"/>
        <v>1</v>
      </c>
      <c r="AG115" s="40">
        <f t="shared" si="7"/>
        <v>0</v>
      </c>
      <c r="AH115" s="32" t="str">
        <f>IF(OR($L115="",$H115="",$AG115&lt;=0),"",MAX(0,TODAY()-($H115+Settings!$J$6)))</f>
        <v/>
      </c>
      <c r="AI115" s="37">
        <v>249.5</v>
      </c>
      <c r="AJ115" s="33" t="s">
        <v>930</v>
      </c>
      <c r="AK115" s="31" t="s">
        <v>931</v>
      </c>
      <c r="AL115" s="31">
        <v>2.187596E7</v>
      </c>
      <c r="AM115" s="31" t="s">
        <v>85</v>
      </c>
      <c r="AN115" s="34">
        <v>46253.0</v>
      </c>
      <c r="AO115" s="44">
        <f t="shared" si="8"/>
        <v>0</v>
      </c>
      <c r="AP115" s="48">
        <f t="shared" si="9"/>
        <v>2495</v>
      </c>
      <c r="AQ115" s="33"/>
      <c r="AR115" s="49">
        <f t="shared" si="10"/>
        <v>46224</v>
      </c>
      <c r="AS115" s="49">
        <f t="shared" si="11"/>
        <v>46204</v>
      </c>
      <c r="AT115" s="32">
        <f t="shared" si="12"/>
        <v>2026</v>
      </c>
    </row>
    <row r="116" ht="18.0" customHeight="1">
      <c r="A116" s="31" t="s">
        <v>61</v>
      </c>
      <c r="B116" s="31" t="s">
        <v>62</v>
      </c>
      <c r="C116" s="31" t="s">
        <v>251</v>
      </c>
      <c r="D116" s="32">
        <v>2.2004311E7</v>
      </c>
      <c r="E116" s="33" t="s">
        <v>932</v>
      </c>
      <c r="F116" s="34">
        <v>46270.0</v>
      </c>
      <c r="G116" s="34"/>
      <c r="H116" s="34">
        <v>46209.0</v>
      </c>
      <c r="I116" s="31" t="s">
        <v>73</v>
      </c>
      <c r="J116" s="31" t="s">
        <v>76</v>
      </c>
      <c r="K116" s="31">
        <v>45.0</v>
      </c>
      <c r="L116" s="37">
        <v>1491.0</v>
      </c>
      <c r="M116" s="30">
        <f t="shared" si="1"/>
        <v>33.13333333</v>
      </c>
      <c r="N116" s="38">
        <v>0.2</v>
      </c>
      <c r="O116" s="30">
        <f>IF($L116="","",$L116*IF($N116="",Settings!$J$11,$N116))</f>
        <v>298.2</v>
      </c>
      <c r="P116" s="30">
        <f t="shared" si="2"/>
        <v>1789.2</v>
      </c>
      <c r="Q116" s="31" t="s">
        <v>84</v>
      </c>
      <c r="R116" s="37"/>
      <c r="S116" s="30">
        <f>IF($L116="","",IF($Q116&lt;&gt;"Yes",0,IF($R116&lt;&gt;"",$R116,ROUND($L116*Settings!$J$4,2))))</f>
        <v>0</v>
      </c>
      <c r="T116" s="40">
        <f t="shared" si="3"/>
        <v>1789.2</v>
      </c>
      <c r="U116" s="30">
        <f t="shared" si="4"/>
        <v>894.6</v>
      </c>
      <c r="V116" s="37"/>
      <c r="W116" s="31"/>
      <c r="X116" s="34"/>
      <c r="Y116" s="37"/>
      <c r="Z116" s="31"/>
      <c r="AA116" s="34"/>
      <c r="AB116" s="37"/>
      <c r="AC116" s="31"/>
      <c r="AD116" s="34"/>
      <c r="AE116" s="30">
        <f t="shared" si="5"/>
        <v>0</v>
      </c>
      <c r="AF116" s="41">
        <f t="shared" si="6"/>
        <v>1</v>
      </c>
      <c r="AG116" s="40">
        <f t="shared" si="7"/>
        <v>0</v>
      </c>
      <c r="AH116" s="32" t="str">
        <f>IF(OR($L116="",$H116="",$AG116&lt;=0),"",MAX(0,TODAY()-($H116+Settings!$J$6)))</f>
        <v/>
      </c>
      <c r="AI116" s="37"/>
      <c r="AJ116" s="33"/>
      <c r="AK116" s="31"/>
      <c r="AL116" s="31"/>
      <c r="AM116" s="31"/>
      <c r="AN116" s="34"/>
      <c r="AO116" s="44">
        <f t="shared" si="8"/>
        <v>0</v>
      </c>
      <c r="AP116" s="48">
        <f t="shared" si="9"/>
        <v>1491</v>
      </c>
      <c r="AQ116" s="33"/>
      <c r="AR116" s="49">
        <f t="shared" si="10"/>
        <v>46270</v>
      </c>
      <c r="AS116" s="49">
        <f t="shared" si="11"/>
        <v>46266</v>
      </c>
      <c r="AT116" s="32">
        <f t="shared" si="12"/>
        <v>2026</v>
      </c>
    </row>
    <row r="117" ht="18.0" customHeight="1">
      <c r="A117" s="31" t="s">
        <v>61</v>
      </c>
      <c r="B117" s="31" t="s">
        <v>62</v>
      </c>
      <c r="C117" s="31" t="s">
        <v>63</v>
      </c>
      <c r="D117" s="32">
        <v>2.2004312E7</v>
      </c>
      <c r="E117" s="33" t="s">
        <v>144</v>
      </c>
      <c r="F117" s="34"/>
      <c r="G117" s="34"/>
      <c r="H117" s="34">
        <v>46210.0</v>
      </c>
      <c r="I117" s="31" t="s">
        <v>83</v>
      </c>
      <c r="J117" s="31" t="s">
        <v>76</v>
      </c>
      <c r="K117" s="31">
        <v>2.0</v>
      </c>
      <c r="L117" s="37">
        <v>89.8</v>
      </c>
      <c r="M117" s="30">
        <f t="shared" si="1"/>
        <v>44.9</v>
      </c>
      <c r="N117" s="38">
        <v>0.2</v>
      </c>
      <c r="O117" s="30">
        <f>IF($L117="","",$L117*IF($N117="",Settings!$J$11,$N117))</f>
        <v>17.96</v>
      </c>
      <c r="P117" s="30">
        <f t="shared" si="2"/>
        <v>107.76</v>
      </c>
      <c r="Q117" s="31" t="s">
        <v>84</v>
      </c>
      <c r="R117" s="37"/>
      <c r="S117" s="30">
        <f>IF($L117="","",IF($Q117&lt;&gt;"Yes",0,IF($R117&lt;&gt;"",$R117,ROUND($L117*Settings!$J$4,2))))</f>
        <v>0</v>
      </c>
      <c r="T117" s="40">
        <f t="shared" si="3"/>
        <v>107.76</v>
      </c>
      <c r="U117" s="30">
        <f t="shared" si="4"/>
        <v>53.88</v>
      </c>
      <c r="V117" s="37">
        <v>107.76</v>
      </c>
      <c r="W117" s="31" t="s">
        <v>80</v>
      </c>
      <c r="X117" s="34">
        <v>46211.0</v>
      </c>
      <c r="Y117" s="37"/>
      <c r="Z117" s="31"/>
      <c r="AA117" s="34"/>
      <c r="AB117" s="37"/>
      <c r="AC117" s="31"/>
      <c r="AD117" s="34"/>
      <c r="AE117" s="30">
        <f t="shared" si="5"/>
        <v>107.76</v>
      </c>
      <c r="AF117" s="41">
        <f t="shared" si="6"/>
        <v>1</v>
      </c>
      <c r="AG117" s="40">
        <f t="shared" si="7"/>
        <v>0</v>
      </c>
      <c r="AH117" s="32" t="str">
        <f>IF(OR($L117="",$H117="",$AG117&lt;=0),"",MAX(0,TODAY()-($H117+Settings!$J$6)))</f>
        <v/>
      </c>
      <c r="AI117" s="37"/>
      <c r="AJ117" s="33"/>
      <c r="AK117" s="31"/>
      <c r="AL117" s="31"/>
      <c r="AM117" s="31"/>
      <c r="AN117" s="34"/>
      <c r="AO117" s="44">
        <f t="shared" si="8"/>
        <v>0</v>
      </c>
      <c r="AP117" s="48">
        <f t="shared" si="9"/>
        <v>89.8</v>
      </c>
      <c r="AQ117" s="33" t="s">
        <v>933</v>
      </c>
      <c r="AR117" s="49" t="str">
        <f t="shared" si="10"/>
        <v/>
      </c>
      <c r="AS117" s="49" t="str">
        <f t="shared" si="11"/>
        <v/>
      </c>
      <c r="AT117" s="32">
        <f t="shared" si="12"/>
        <v>2026</v>
      </c>
    </row>
    <row r="118" ht="18.0" customHeight="1">
      <c r="A118" s="31" t="s">
        <v>61</v>
      </c>
      <c r="B118" s="31" t="s">
        <v>62</v>
      </c>
      <c r="C118" s="31" t="s">
        <v>63</v>
      </c>
      <c r="D118" s="32"/>
      <c r="E118" s="33" t="s">
        <v>152</v>
      </c>
      <c r="F118" s="34">
        <v>46280.0</v>
      </c>
      <c r="G118" s="34"/>
      <c r="H118" s="34">
        <v>46238.0</v>
      </c>
      <c r="I118" s="31" t="s">
        <v>83</v>
      </c>
      <c r="J118" s="31" t="s">
        <v>76</v>
      </c>
      <c r="K118" s="31">
        <v>30.0</v>
      </c>
      <c r="L118" s="37">
        <v>1847.2</v>
      </c>
      <c r="M118" s="30">
        <f t="shared" si="1"/>
        <v>61.57333333</v>
      </c>
      <c r="N118" s="38">
        <v>0.2</v>
      </c>
      <c r="O118" s="30">
        <f>IF($L118="","",$L118*IF($N118="",Settings!$J$11,$N118))</f>
        <v>369.44</v>
      </c>
      <c r="P118" s="30">
        <f t="shared" si="2"/>
        <v>2216.64</v>
      </c>
      <c r="Q118" s="31" t="s">
        <v>84</v>
      </c>
      <c r="R118" s="37"/>
      <c r="S118" s="30">
        <f>IF($L118="","",IF($Q118&lt;&gt;"Yes",0,IF($R118&lt;&gt;"",$R118,ROUND($L118*Settings!$J$4,2))))</f>
        <v>0</v>
      </c>
      <c r="T118" s="40">
        <f t="shared" si="3"/>
        <v>2216.64</v>
      </c>
      <c r="U118" s="30">
        <f t="shared" si="4"/>
        <v>1108.32</v>
      </c>
      <c r="V118" s="37">
        <v>4433.28</v>
      </c>
      <c r="W118" s="31" t="s">
        <v>85</v>
      </c>
      <c r="X118" s="34"/>
      <c r="Y118" s="37"/>
      <c r="Z118" s="31"/>
      <c r="AA118" s="34"/>
      <c r="AB118" s="37"/>
      <c r="AC118" s="31"/>
      <c r="AD118" s="34"/>
      <c r="AE118" s="30">
        <f t="shared" si="5"/>
        <v>4433.28</v>
      </c>
      <c r="AF118" s="41">
        <f t="shared" si="6"/>
        <v>1</v>
      </c>
      <c r="AG118" s="40">
        <f t="shared" si="7"/>
        <v>0</v>
      </c>
      <c r="AH118" s="32" t="str">
        <f>IF(OR($L118="",$H118="",$AG118&lt;=0),"",MAX(0,TODAY()-($H118+Settings!$J$6)))</f>
        <v/>
      </c>
      <c r="AI118" s="37"/>
      <c r="AJ118" s="33"/>
      <c r="AK118" s="31"/>
      <c r="AL118" s="31"/>
      <c r="AM118" s="31"/>
      <c r="AN118" s="34"/>
      <c r="AO118" s="44">
        <f t="shared" si="8"/>
        <v>0</v>
      </c>
      <c r="AP118" s="48">
        <f t="shared" si="9"/>
        <v>1847.2</v>
      </c>
      <c r="AQ118" s="33"/>
      <c r="AR118" s="49">
        <f t="shared" si="10"/>
        <v>46280</v>
      </c>
      <c r="AS118" s="49">
        <f t="shared" si="11"/>
        <v>46266</v>
      </c>
      <c r="AT118" s="32">
        <f t="shared" si="12"/>
        <v>2026</v>
      </c>
    </row>
    <row r="119" ht="18.0" customHeight="1">
      <c r="A119" s="31" t="s">
        <v>61</v>
      </c>
      <c r="B119" s="31" t="s">
        <v>62</v>
      </c>
      <c r="C119" s="31" t="s">
        <v>63</v>
      </c>
      <c r="D119" s="32">
        <v>2.2004314E7</v>
      </c>
      <c r="E119" s="33" t="s">
        <v>177</v>
      </c>
      <c r="F119" s="34">
        <v>46281.0</v>
      </c>
      <c r="G119" s="34"/>
      <c r="H119" s="34">
        <v>46238.0</v>
      </c>
      <c r="I119" s="31" t="s">
        <v>83</v>
      </c>
      <c r="J119" s="31" t="s">
        <v>76</v>
      </c>
      <c r="K119" s="31">
        <v>30.0</v>
      </c>
      <c r="L119" s="37">
        <v>1847.2</v>
      </c>
      <c r="M119" s="30">
        <f t="shared" si="1"/>
        <v>61.57333333</v>
      </c>
      <c r="N119" s="38">
        <v>0.2</v>
      </c>
      <c r="O119" s="30">
        <f>IF($L119="","",$L119*IF($N119="",Settings!$J$11,$N119))</f>
        <v>369.44</v>
      </c>
      <c r="P119" s="30">
        <f t="shared" si="2"/>
        <v>2216.64</v>
      </c>
      <c r="Q119" s="31" t="s">
        <v>84</v>
      </c>
      <c r="R119" s="37"/>
      <c r="S119" s="30">
        <f>IF($L119="","",IF($Q119&lt;&gt;"Yes",0,IF($R119&lt;&gt;"",$R119,ROUND($L119*Settings!$J$4,2))))</f>
        <v>0</v>
      </c>
      <c r="T119" s="40">
        <f t="shared" si="3"/>
        <v>2216.64</v>
      </c>
      <c r="U119" s="30">
        <f t="shared" si="4"/>
        <v>1108.32</v>
      </c>
      <c r="V119" s="37"/>
      <c r="W119" s="132" t="s">
        <v>85</v>
      </c>
      <c r="X119" s="34"/>
      <c r="Y119" s="37"/>
      <c r="Z119" s="31"/>
      <c r="AA119" s="34"/>
      <c r="AB119" s="37"/>
      <c r="AC119" s="31"/>
      <c r="AD119" s="34"/>
      <c r="AE119" s="30">
        <f t="shared" si="5"/>
        <v>0</v>
      </c>
      <c r="AF119" s="41">
        <f t="shared" si="6"/>
        <v>1</v>
      </c>
      <c r="AG119" s="40">
        <f t="shared" si="7"/>
        <v>0</v>
      </c>
      <c r="AH119" s="32" t="str">
        <f>IF(OR($L119="",$H119="",$AG119&lt;=0),"",MAX(0,TODAY()-($H119+Settings!$J$6)))</f>
        <v/>
      </c>
      <c r="AI119" s="37"/>
      <c r="AJ119" s="33"/>
      <c r="AK119" s="31"/>
      <c r="AL119" s="31"/>
      <c r="AM119" s="31"/>
      <c r="AN119" s="34"/>
      <c r="AO119" s="44">
        <f t="shared" si="8"/>
        <v>0</v>
      </c>
      <c r="AP119" s="48">
        <f t="shared" si="9"/>
        <v>1847.2</v>
      </c>
      <c r="AQ119" s="33"/>
      <c r="AR119" s="49">
        <f t="shared" si="10"/>
        <v>46281</v>
      </c>
      <c r="AS119" s="49">
        <f t="shared" si="11"/>
        <v>46266</v>
      </c>
      <c r="AT119" s="32">
        <f t="shared" si="12"/>
        <v>2026</v>
      </c>
    </row>
    <row r="120" ht="18.0" customHeight="1">
      <c r="A120" s="31" t="s">
        <v>61</v>
      </c>
      <c r="B120" s="31" t="s">
        <v>62</v>
      </c>
      <c r="C120" s="31" t="s">
        <v>63</v>
      </c>
      <c r="D120" s="32">
        <v>2.2004315E7</v>
      </c>
      <c r="E120" s="33" t="s">
        <v>139</v>
      </c>
      <c r="F120" s="34">
        <v>46240.0</v>
      </c>
      <c r="G120" s="34"/>
      <c r="H120" s="34">
        <v>46238.0</v>
      </c>
      <c r="I120" s="31" t="s">
        <v>83</v>
      </c>
      <c r="J120" s="31" t="s">
        <v>76</v>
      </c>
      <c r="K120" s="31">
        <v>25.0</v>
      </c>
      <c r="L120" s="37">
        <v>467.5</v>
      </c>
      <c r="M120" s="30">
        <f t="shared" si="1"/>
        <v>18.7</v>
      </c>
      <c r="N120" s="38">
        <v>0.2</v>
      </c>
      <c r="O120" s="30">
        <f>IF($L120="","",$L120*IF($N120="",Settings!$J$11,$N120))</f>
        <v>93.5</v>
      </c>
      <c r="P120" s="30">
        <f t="shared" si="2"/>
        <v>561</v>
      </c>
      <c r="Q120" s="31" t="s">
        <v>84</v>
      </c>
      <c r="R120" s="37"/>
      <c r="S120" s="30">
        <f>IF($L120="","",IF($Q120&lt;&gt;"Yes",0,IF($R120&lt;&gt;"",$R120,ROUND($L120*Settings!$J$4,2))))</f>
        <v>0</v>
      </c>
      <c r="T120" s="40">
        <f t="shared" si="3"/>
        <v>561</v>
      </c>
      <c r="U120" s="30">
        <f t="shared" si="4"/>
        <v>280.5</v>
      </c>
      <c r="V120" s="37">
        <v>561.0</v>
      </c>
      <c r="W120" s="31" t="s">
        <v>85</v>
      </c>
      <c r="X120" s="34">
        <v>46248.0</v>
      </c>
      <c r="Y120" s="37"/>
      <c r="Z120" s="31"/>
      <c r="AA120" s="34"/>
      <c r="AB120" s="37"/>
      <c r="AC120" s="31"/>
      <c r="AD120" s="34"/>
      <c r="AE120" s="30">
        <f t="shared" si="5"/>
        <v>561</v>
      </c>
      <c r="AF120" s="41">
        <f t="shared" si="6"/>
        <v>1</v>
      </c>
      <c r="AG120" s="40">
        <f t="shared" si="7"/>
        <v>0</v>
      </c>
      <c r="AH120" s="32" t="str">
        <f>IF(OR($L120="",$H120="",$AG120&lt;=0),"",MAX(0,TODAY()-($H120+Settings!$J$6)))</f>
        <v/>
      </c>
      <c r="AI120" s="37"/>
      <c r="AJ120" s="33"/>
      <c r="AK120" s="31"/>
      <c r="AL120" s="31"/>
      <c r="AM120" s="31"/>
      <c r="AN120" s="34"/>
      <c r="AO120" s="44">
        <f t="shared" si="8"/>
        <v>0</v>
      </c>
      <c r="AP120" s="48">
        <f t="shared" si="9"/>
        <v>467.5</v>
      </c>
      <c r="AQ120" s="33"/>
      <c r="AR120" s="49">
        <f t="shared" si="10"/>
        <v>46240</v>
      </c>
      <c r="AS120" s="49">
        <f t="shared" si="11"/>
        <v>46235</v>
      </c>
      <c r="AT120" s="32">
        <f t="shared" si="12"/>
        <v>2026</v>
      </c>
    </row>
    <row r="121" ht="18.0" customHeight="1">
      <c r="A121" s="31" t="s">
        <v>61</v>
      </c>
      <c r="B121" s="31" t="s">
        <v>62</v>
      </c>
      <c r="C121" s="31" t="s">
        <v>251</v>
      </c>
      <c r="D121" s="32">
        <v>2.2004316E7</v>
      </c>
      <c r="E121" s="33" t="s">
        <v>934</v>
      </c>
      <c r="F121" s="34">
        <v>46257.0</v>
      </c>
      <c r="G121" s="34"/>
      <c r="H121" s="34">
        <v>46238.0</v>
      </c>
      <c r="I121" s="31" t="s">
        <v>73</v>
      </c>
      <c r="J121" s="31" t="s">
        <v>76</v>
      </c>
      <c r="K121" s="31">
        <v>10.0</v>
      </c>
      <c r="L121" s="37">
        <v>467.5</v>
      </c>
      <c r="M121" s="30">
        <f t="shared" si="1"/>
        <v>46.75</v>
      </c>
      <c r="N121" s="38">
        <v>0.2</v>
      </c>
      <c r="O121" s="30">
        <f>IF($L121="","",$L121*IF($N121="",Settings!$J$11,$N121))</f>
        <v>93.5</v>
      </c>
      <c r="P121" s="30">
        <f t="shared" si="2"/>
        <v>561</v>
      </c>
      <c r="Q121" s="31" t="s">
        <v>84</v>
      </c>
      <c r="R121" s="37"/>
      <c r="S121" s="30">
        <f>IF($L121="","",IF($Q121&lt;&gt;"Yes",0,IF($R121&lt;&gt;"",$R121,ROUND($L121*Settings!$J$4,2))))</f>
        <v>0</v>
      </c>
      <c r="T121" s="40">
        <f t="shared" si="3"/>
        <v>561</v>
      </c>
      <c r="U121" s="30">
        <f t="shared" si="4"/>
        <v>280.5</v>
      </c>
      <c r="V121" s="37">
        <v>1164.15</v>
      </c>
      <c r="W121" s="31" t="s">
        <v>80</v>
      </c>
      <c r="X121" s="34">
        <v>46238.0</v>
      </c>
      <c r="Y121" s="37"/>
      <c r="Z121" s="31"/>
      <c r="AA121" s="34"/>
      <c r="AB121" s="37"/>
      <c r="AC121" s="31"/>
      <c r="AD121" s="34"/>
      <c r="AE121" s="30">
        <f t="shared" si="5"/>
        <v>1164.15</v>
      </c>
      <c r="AF121" s="41">
        <f t="shared" si="6"/>
        <v>1</v>
      </c>
      <c r="AG121" s="40">
        <f t="shared" si="7"/>
        <v>0</v>
      </c>
      <c r="AH121" s="32" t="str">
        <f>IF(OR($L121="",$H121="",$AG121&lt;=0),"",MAX(0,TODAY()-($H121+Settings!$J$6)))</f>
        <v/>
      </c>
      <c r="AI121" s="37"/>
      <c r="AJ121" s="33"/>
      <c r="AK121" s="31"/>
      <c r="AL121" s="31"/>
      <c r="AM121" s="31"/>
      <c r="AN121" s="34"/>
      <c r="AO121" s="44">
        <f t="shared" si="8"/>
        <v>0</v>
      </c>
      <c r="AP121" s="48">
        <f t="shared" si="9"/>
        <v>467.5</v>
      </c>
      <c r="AQ121" s="33"/>
      <c r="AR121" s="49">
        <f t="shared" si="10"/>
        <v>46257</v>
      </c>
      <c r="AS121" s="49">
        <f t="shared" si="11"/>
        <v>46235</v>
      </c>
      <c r="AT121" s="32">
        <f t="shared" si="12"/>
        <v>2026</v>
      </c>
    </row>
    <row r="122" ht="18.0" customHeight="1">
      <c r="A122" s="31" t="s">
        <v>61</v>
      </c>
      <c r="B122" s="31" t="s">
        <v>62</v>
      </c>
      <c r="C122" s="31" t="s">
        <v>63</v>
      </c>
      <c r="D122" s="32">
        <v>2.2004317E7</v>
      </c>
      <c r="E122" s="33" t="s">
        <v>191</v>
      </c>
      <c r="F122" s="34">
        <v>46282.0</v>
      </c>
      <c r="G122" s="34"/>
      <c r="H122" s="34">
        <v>46238.0</v>
      </c>
      <c r="I122" s="31" t="s">
        <v>83</v>
      </c>
      <c r="J122" s="132" t="s">
        <v>76</v>
      </c>
      <c r="K122" s="31">
        <v>30.0</v>
      </c>
      <c r="L122" s="37">
        <v>1847.2</v>
      </c>
      <c r="M122" s="30">
        <f t="shared" si="1"/>
        <v>61.57333333</v>
      </c>
      <c r="N122" s="38">
        <v>0.2</v>
      </c>
      <c r="O122" s="30">
        <f>IF($L122="","",$L122*IF($N122="",Settings!$J$11,$N122))</f>
        <v>369.44</v>
      </c>
      <c r="P122" s="30">
        <f t="shared" si="2"/>
        <v>2216.64</v>
      </c>
      <c r="Q122" s="31" t="s">
        <v>84</v>
      </c>
      <c r="R122" s="37"/>
      <c r="S122" s="30">
        <f>IF($L122="","",IF($Q122&lt;&gt;"Yes",0,IF($R122&lt;&gt;"",$R122,ROUND($L122*Settings!$J$4,2))))</f>
        <v>0</v>
      </c>
      <c r="T122" s="40">
        <f t="shared" si="3"/>
        <v>2216.64</v>
      </c>
      <c r="U122" s="30">
        <f t="shared" si="4"/>
        <v>1108.32</v>
      </c>
      <c r="V122" s="133">
        <v>2216.64</v>
      </c>
      <c r="W122" s="132" t="s">
        <v>85</v>
      </c>
      <c r="X122" s="134">
        <v>46244.0</v>
      </c>
      <c r="Y122" s="37"/>
      <c r="Z122" s="31"/>
      <c r="AA122" s="34"/>
      <c r="AB122" s="37"/>
      <c r="AC122" s="31"/>
      <c r="AD122" s="34"/>
      <c r="AE122" s="30">
        <f t="shared" si="5"/>
        <v>2216.64</v>
      </c>
      <c r="AF122" s="41">
        <f t="shared" si="6"/>
        <v>1</v>
      </c>
      <c r="AG122" s="40">
        <f t="shared" si="7"/>
        <v>0</v>
      </c>
      <c r="AH122" s="32" t="str">
        <f>IF(OR($L122="",$H122="",$AG122&lt;=0),"",MAX(0,TODAY()-($H122+Settings!$J$6)))</f>
        <v/>
      </c>
      <c r="AI122" s="37"/>
      <c r="AJ122" s="33"/>
      <c r="AK122" s="31"/>
      <c r="AL122" s="31"/>
      <c r="AM122" s="31"/>
      <c r="AN122" s="34"/>
      <c r="AO122" s="44">
        <f t="shared" si="8"/>
        <v>0</v>
      </c>
      <c r="AP122" s="48">
        <f t="shared" si="9"/>
        <v>1847.2</v>
      </c>
      <c r="AQ122" s="33"/>
      <c r="AR122" s="49">
        <f t="shared" si="10"/>
        <v>46282</v>
      </c>
      <c r="AS122" s="49">
        <f t="shared" si="11"/>
        <v>46266</v>
      </c>
      <c r="AT122" s="32">
        <f t="shared" si="12"/>
        <v>2026</v>
      </c>
    </row>
    <row r="123" ht="18.0" customHeight="1">
      <c r="A123" s="31" t="s">
        <v>61</v>
      </c>
      <c r="B123" s="31" t="s">
        <v>62</v>
      </c>
      <c r="C123" s="31" t="s">
        <v>63</v>
      </c>
      <c r="D123" s="32">
        <v>2.2004318E7</v>
      </c>
      <c r="E123" s="135" t="s">
        <v>935</v>
      </c>
      <c r="F123" s="34">
        <v>46288.0</v>
      </c>
      <c r="G123" s="34"/>
      <c r="H123" s="34">
        <v>46238.0</v>
      </c>
      <c r="I123" s="31" t="s">
        <v>83</v>
      </c>
      <c r="J123" s="132" t="s">
        <v>119</v>
      </c>
      <c r="K123" s="31">
        <v>20.0</v>
      </c>
      <c r="L123" s="37">
        <v>1847.2</v>
      </c>
      <c r="M123" s="30">
        <f t="shared" si="1"/>
        <v>92.36</v>
      </c>
      <c r="N123" s="38">
        <v>0.2</v>
      </c>
      <c r="O123" s="30">
        <f>IF($L123="","",$L123*IF($N123="",Settings!$J$11,$N123))</f>
        <v>369.44</v>
      </c>
      <c r="P123" s="30">
        <f t="shared" si="2"/>
        <v>2216.64</v>
      </c>
      <c r="Q123" s="31" t="s">
        <v>84</v>
      </c>
      <c r="R123" s="37"/>
      <c r="S123" s="30">
        <f>IF($L123="","",IF($Q123&lt;&gt;"Yes",0,IF($R123&lt;&gt;"",$R123,ROUND($L123*Settings!$J$4,2))))</f>
        <v>0</v>
      </c>
      <c r="T123" s="40">
        <f t="shared" si="3"/>
        <v>2216.64</v>
      </c>
      <c r="U123" s="30">
        <f t="shared" si="4"/>
        <v>1108.32</v>
      </c>
      <c r="V123" s="37"/>
      <c r="W123" s="31"/>
      <c r="X123" s="34"/>
      <c r="Y123" s="37"/>
      <c r="Z123" s="31"/>
      <c r="AA123" s="34"/>
      <c r="AB123" s="37"/>
      <c r="AC123" s="31"/>
      <c r="AD123" s="34"/>
      <c r="AE123" s="30">
        <f t="shared" si="5"/>
        <v>0</v>
      </c>
      <c r="AF123" s="41">
        <f t="shared" si="6"/>
        <v>0</v>
      </c>
      <c r="AG123" s="40">
        <f t="shared" si="7"/>
        <v>0</v>
      </c>
      <c r="AH123" s="32" t="str">
        <f>IF(OR($L123="",$H123="",$AG123&lt;=0),"",MAX(0,TODAY()-($H123+Settings!$J$6)))</f>
        <v/>
      </c>
      <c r="AI123" s="37"/>
      <c r="AJ123" s="33"/>
      <c r="AK123" s="31"/>
      <c r="AL123" s="31"/>
      <c r="AM123" s="31"/>
      <c r="AN123" s="34"/>
      <c r="AO123" s="44">
        <f t="shared" si="8"/>
        <v>0</v>
      </c>
      <c r="AP123" s="48">
        <f t="shared" si="9"/>
        <v>1847.2</v>
      </c>
      <c r="AQ123" s="33" t="s">
        <v>936</v>
      </c>
      <c r="AR123" s="49">
        <f t="shared" si="10"/>
        <v>46288</v>
      </c>
      <c r="AS123" s="49">
        <f t="shared" si="11"/>
        <v>46266</v>
      </c>
      <c r="AT123" s="32">
        <f t="shared" si="12"/>
        <v>2026</v>
      </c>
    </row>
    <row r="124" ht="18.0" customHeight="1">
      <c r="A124" s="31" t="s">
        <v>61</v>
      </c>
      <c r="B124" s="31" t="s">
        <v>62</v>
      </c>
      <c r="C124" s="31" t="s">
        <v>63</v>
      </c>
      <c r="D124" s="32">
        <v>2.2004319E7</v>
      </c>
      <c r="E124" s="33" t="s">
        <v>139</v>
      </c>
      <c r="F124" s="34">
        <v>46253.0</v>
      </c>
      <c r="G124" s="34"/>
      <c r="H124" s="34">
        <v>46245.0</v>
      </c>
      <c r="I124" s="31" t="s">
        <v>83</v>
      </c>
      <c r="J124" s="132" t="s">
        <v>76</v>
      </c>
      <c r="K124" s="31">
        <v>20.0</v>
      </c>
      <c r="L124" s="37">
        <v>328.0</v>
      </c>
      <c r="M124" s="30">
        <f t="shared" si="1"/>
        <v>16.4</v>
      </c>
      <c r="N124" s="38">
        <v>0.2</v>
      </c>
      <c r="O124" s="30">
        <f>IF($L124="","",$L124*IF($N124="",Settings!$J$11,$N124))</f>
        <v>65.6</v>
      </c>
      <c r="P124" s="30">
        <f t="shared" si="2"/>
        <v>393.6</v>
      </c>
      <c r="Q124" s="31" t="s">
        <v>84</v>
      </c>
      <c r="R124" s="37"/>
      <c r="S124" s="30">
        <f>IF($L124="","",IF($Q124&lt;&gt;"Yes",0,IF($R124&lt;&gt;"",$R124,ROUND($L124*Settings!$J$4,2))))</f>
        <v>0</v>
      </c>
      <c r="T124" s="40">
        <f t="shared" si="3"/>
        <v>393.6</v>
      </c>
      <c r="U124" s="30">
        <f t="shared" si="4"/>
        <v>196.8</v>
      </c>
      <c r="V124" s="133">
        <v>393.6</v>
      </c>
      <c r="W124" s="132" t="s">
        <v>85</v>
      </c>
      <c r="X124" s="134">
        <v>46255.0</v>
      </c>
      <c r="Y124" s="37"/>
      <c r="Z124" s="31"/>
      <c r="AA124" s="34"/>
      <c r="AB124" s="37"/>
      <c r="AC124" s="31"/>
      <c r="AD124" s="34"/>
      <c r="AE124" s="30">
        <f t="shared" si="5"/>
        <v>393.6</v>
      </c>
      <c r="AF124" s="41">
        <f t="shared" si="6"/>
        <v>1</v>
      </c>
      <c r="AG124" s="40">
        <f t="shared" si="7"/>
        <v>0</v>
      </c>
      <c r="AH124" s="32" t="str">
        <f>IF(OR($L124="",$H124="",$AG124&lt;=0),"",MAX(0,TODAY()-($H124+Settings!$J$6)))</f>
        <v/>
      </c>
      <c r="AI124" s="37"/>
      <c r="AJ124" s="33"/>
      <c r="AK124" s="31"/>
      <c r="AL124" s="31"/>
      <c r="AM124" s="31"/>
      <c r="AN124" s="34"/>
      <c r="AO124" s="44">
        <f t="shared" si="8"/>
        <v>0</v>
      </c>
      <c r="AP124" s="48">
        <f t="shared" si="9"/>
        <v>328</v>
      </c>
      <c r="AQ124" s="33"/>
      <c r="AR124" s="49">
        <f t="shared" si="10"/>
        <v>46253</v>
      </c>
      <c r="AS124" s="49">
        <f t="shared" si="11"/>
        <v>46235</v>
      </c>
      <c r="AT124" s="32">
        <f t="shared" si="12"/>
        <v>2026</v>
      </c>
    </row>
    <row r="125" ht="18.0" customHeight="1">
      <c r="A125" s="31" t="s">
        <v>61</v>
      </c>
      <c r="B125" s="31" t="s">
        <v>62</v>
      </c>
      <c r="C125" s="31" t="s">
        <v>63</v>
      </c>
      <c r="D125" s="32">
        <v>2.200432E7</v>
      </c>
      <c r="E125" s="33" t="s">
        <v>189</v>
      </c>
      <c r="F125" s="34">
        <v>46263.0</v>
      </c>
      <c r="G125" s="34"/>
      <c r="H125" s="34">
        <v>46245.0</v>
      </c>
      <c r="I125" s="31" t="s">
        <v>83</v>
      </c>
      <c r="J125" s="31" t="s">
        <v>76</v>
      </c>
      <c r="K125" s="31">
        <v>85.0</v>
      </c>
      <c r="L125" s="37">
        <v>4042.5</v>
      </c>
      <c r="M125" s="30">
        <f t="shared" si="1"/>
        <v>47.55882353</v>
      </c>
      <c r="N125" s="38">
        <v>0.2</v>
      </c>
      <c r="O125" s="30">
        <f>IF($L125="","",$L125*IF($N125="",Settings!$J$11,$N125))</f>
        <v>808.5</v>
      </c>
      <c r="P125" s="30">
        <f t="shared" si="2"/>
        <v>4851</v>
      </c>
      <c r="Q125" s="31" t="s">
        <v>79</v>
      </c>
      <c r="R125" s="37"/>
      <c r="S125" s="30">
        <f>IF($L125="","",IF($Q125&lt;&gt;"Yes",0,IF($R125&lt;&gt;"",$R125,ROUND($L125*Settings!$J$4,2))))</f>
        <v>404.25</v>
      </c>
      <c r="T125" s="40">
        <f t="shared" si="3"/>
        <v>5255.25</v>
      </c>
      <c r="U125" s="30">
        <f t="shared" si="4"/>
        <v>2829.75</v>
      </c>
      <c r="V125" s="37">
        <v>5513.3</v>
      </c>
      <c r="W125" s="31" t="s">
        <v>85</v>
      </c>
      <c r="X125" s="34">
        <v>46255.0</v>
      </c>
      <c r="Y125" s="37"/>
      <c r="Z125" s="31"/>
      <c r="AA125" s="34"/>
      <c r="AB125" s="37"/>
      <c r="AC125" s="31"/>
      <c r="AD125" s="34"/>
      <c r="AE125" s="30">
        <f t="shared" si="5"/>
        <v>5513.3</v>
      </c>
      <c r="AF125" s="41">
        <f t="shared" si="6"/>
        <v>1</v>
      </c>
      <c r="AG125" s="40">
        <f t="shared" si="7"/>
        <v>0</v>
      </c>
      <c r="AH125" s="32" t="str">
        <f>IF(OR($L125="",$H125="",$AG125&lt;=0),"",MAX(0,TODAY()-($H125+Settings!$J$6)))</f>
        <v/>
      </c>
      <c r="AI125" s="37">
        <v>404.25</v>
      </c>
      <c r="AJ125" s="33"/>
      <c r="AK125" s="31"/>
      <c r="AL125" s="31"/>
      <c r="AM125" s="31" t="s">
        <v>85</v>
      </c>
      <c r="AN125" s="34">
        <v>46275.0</v>
      </c>
      <c r="AO125" s="44">
        <f t="shared" si="8"/>
        <v>0</v>
      </c>
      <c r="AP125" s="48">
        <f t="shared" si="9"/>
        <v>4042.5</v>
      </c>
      <c r="AQ125" s="33"/>
      <c r="AR125" s="49">
        <f t="shared" si="10"/>
        <v>46263</v>
      </c>
      <c r="AS125" s="49">
        <f t="shared" si="11"/>
        <v>46235</v>
      </c>
      <c r="AT125" s="32">
        <f t="shared" si="12"/>
        <v>2026</v>
      </c>
    </row>
    <row r="126" ht="18.0" customHeight="1">
      <c r="A126" s="31" t="s">
        <v>61</v>
      </c>
      <c r="B126" s="31" t="s">
        <v>62</v>
      </c>
      <c r="C126" s="31" t="s">
        <v>251</v>
      </c>
      <c r="D126" s="32">
        <v>2.2004321E7</v>
      </c>
      <c r="E126" s="33" t="s">
        <v>937</v>
      </c>
      <c r="F126" s="34">
        <v>46291.0</v>
      </c>
      <c r="G126" s="34"/>
      <c r="H126" s="34">
        <v>46247.0</v>
      </c>
      <c r="I126" s="31" t="s">
        <v>83</v>
      </c>
      <c r="J126" s="132" t="s">
        <v>76</v>
      </c>
      <c r="K126" s="31">
        <v>180.0</v>
      </c>
      <c r="L126" s="37">
        <v>17199.9</v>
      </c>
      <c r="M126" s="30">
        <f t="shared" si="1"/>
        <v>95.555</v>
      </c>
      <c r="N126" s="38">
        <v>0.2</v>
      </c>
      <c r="O126" s="30">
        <f>IF($L126="","",$L126*IF($N126="",Settings!$J$11,$N126))</f>
        <v>3439.98</v>
      </c>
      <c r="P126" s="30">
        <f t="shared" si="2"/>
        <v>20639.88</v>
      </c>
      <c r="Q126" s="31" t="s">
        <v>79</v>
      </c>
      <c r="R126" s="37"/>
      <c r="S126" s="30">
        <f>IF($L126="","",IF($Q126&lt;&gt;"Yes",0,IF($R126&lt;&gt;"",$R126,ROUND($L126*Settings!$J$4,2))))</f>
        <v>1719.99</v>
      </c>
      <c r="T126" s="40">
        <f t="shared" si="3"/>
        <v>22359.87</v>
      </c>
      <c r="U126" s="30">
        <f t="shared" si="4"/>
        <v>12039.93</v>
      </c>
      <c r="V126" s="37">
        <v>10200.0</v>
      </c>
      <c r="W126" s="31" t="s">
        <v>80</v>
      </c>
      <c r="X126" s="34">
        <v>46258.0</v>
      </c>
      <c r="Y126" s="37">
        <v>7972.05</v>
      </c>
      <c r="Z126" s="31" t="s">
        <v>80</v>
      </c>
      <c r="AA126" s="34">
        <v>46283.0</v>
      </c>
      <c r="AB126" s="37"/>
      <c r="AC126" s="31"/>
      <c r="AD126" s="34"/>
      <c r="AE126" s="30">
        <f t="shared" si="5"/>
        <v>18172.05</v>
      </c>
      <c r="AF126" s="41">
        <f t="shared" si="6"/>
        <v>1</v>
      </c>
      <c r="AG126" s="40">
        <f t="shared" si="7"/>
        <v>0</v>
      </c>
      <c r="AH126" s="32" t="str">
        <f>IF(OR($L126="",$H126="",$AG126&lt;=0),"",MAX(0,TODAY()-($H126+Settings!$J$6)))</f>
        <v/>
      </c>
      <c r="AI126" s="37">
        <v>1719.99</v>
      </c>
      <c r="AJ126" s="33"/>
      <c r="AK126" s="31"/>
      <c r="AL126" s="31"/>
      <c r="AM126" s="31"/>
      <c r="AN126" s="34"/>
      <c r="AO126" s="44">
        <f t="shared" si="8"/>
        <v>0</v>
      </c>
      <c r="AP126" s="48">
        <f t="shared" si="9"/>
        <v>17199.9</v>
      </c>
      <c r="AQ126" s="33"/>
      <c r="AR126" s="49">
        <f t="shared" si="10"/>
        <v>46291</v>
      </c>
      <c r="AS126" s="49">
        <f t="shared" si="11"/>
        <v>46266</v>
      </c>
      <c r="AT126" s="32">
        <f t="shared" si="12"/>
        <v>2026</v>
      </c>
    </row>
    <row r="127" ht="18.0" customHeight="1">
      <c r="A127" s="31" t="s">
        <v>61</v>
      </c>
      <c r="B127" s="31" t="s">
        <v>62</v>
      </c>
      <c r="C127" s="31" t="s">
        <v>63</v>
      </c>
      <c r="D127" s="32">
        <v>2.2004322E7</v>
      </c>
      <c r="E127" s="33" t="s">
        <v>190</v>
      </c>
      <c r="F127" s="34">
        <v>46253.0</v>
      </c>
      <c r="G127" s="34"/>
      <c r="H127" s="34">
        <v>46247.0</v>
      </c>
      <c r="I127" s="31" t="s">
        <v>73</v>
      </c>
      <c r="J127" s="31" t="s">
        <v>76</v>
      </c>
      <c r="K127" s="31">
        <v>27.0</v>
      </c>
      <c r="L127" s="37">
        <v>825.0</v>
      </c>
      <c r="M127" s="30">
        <f t="shared" si="1"/>
        <v>30.55555556</v>
      </c>
      <c r="N127" s="38">
        <v>0.2</v>
      </c>
      <c r="O127" s="30">
        <f>IF($L127="","",$L127*IF($N127="",Settings!$J$11,$N127))</f>
        <v>165</v>
      </c>
      <c r="P127" s="30">
        <f t="shared" si="2"/>
        <v>990</v>
      </c>
      <c r="Q127" s="31" t="s">
        <v>84</v>
      </c>
      <c r="R127" s="37"/>
      <c r="S127" s="30">
        <f>IF($L127="","",IF($Q127&lt;&gt;"Yes",0,IF($R127&lt;&gt;"",$R127,ROUND($L127*Settings!$J$4,2))))</f>
        <v>0</v>
      </c>
      <c r="T127" s="40">
        <f t="shared" si="3"/>
        <v>990</v>
      </c>
      <c r="U127" s="30">
        <f t="shared" si="4"/>
        <v>495</v>
      </c>
      <c r="V127" s="37"/>
      <c r="W127" s="31"/>
      <c r="X127" s="34"/>
      <c r="Y127" s="37"/>
      <c r="Z127" s="31"/>
      <c r="AA127" s="34"/>
      <c r="AB127" s="37"/>
      <c r="AC127" s="31"/>
      <c r="AD127" s="34"/>
      <c r="AE127" s="30">
        <f t="shared" si="5"/>
        <v>0</v>
      </c>
      <c r="AF127" s="41">
        <f t="shared" si="6"/>
        <v>1</v>
      </c>
      <c r="AG127" s="40">
        <f t="shared" si="7"/>
        <v>0</v>
      </c>
      <c r="AH127" s="32" t="str">
        <f>IF(OR($L127="",$H127="",$AG127&lt;=0),"",MAX(0,TODAY()-($H127+Settings!$J$6)))</f>
        <v/>
      </c>
      <c r="AI127" s="37"/>
      <c r="AJ127" s="33"/>
      <c r="AK127" s="31"/>
      <c r="AL127" s="31"/>
      <c r="AM127" s="31" t="s">
        <v>80</v>
      </c>
      <c r="AN127" s="34">
        <v>46283.0</v>
      </c>
      <c r="AO127" s="44">
        <f t="shared" si="8"/>
        <v>0</v>
      </c>
      <c r="AP127" s="48">
        <f t="shared" si="9"/>
        <v>825</v>
      </c>
      <c r="AQ127" s="33"/>
      <c r="AR127" s="49">
        <f t="shared" si="10"/>
        <v>46253</v>
      </c>
      <c r="AS127" s="49">
        <f t="shared" si="11"/>
        <v>46235</v>
      </c>
      <c r="AT127" s="32">
        <f t="shared" si="12"/>
        <v>2026</v>
      </c>
    </row>
    <row r="128" ht="18.0" customHeight="1">
      <c r="A128" s="31" t="s">
        <v>61</v>
      </c>
      <c r="B128" s="31" t="s">
        <v>62</v>
      </c>
      <c r="C128" s="31" t="s">
        <v>63</v>
      </c>
      <c r="D128" s="32">
        <v>2.2004323E7</v>
      </c>
      <c r="E128" s="33" t="s">
        <v>938</v>
      </c>
      <c r="F128" s="34">
        <v>46282.0</v>
      </c>
      <c r="G128" s="34"/>
      <c r="H128" s="34">
        <v>46247.0</v>
      </c>
      <c r="I128" s="31" t="s">
        <v>73</v>
      </c>
      <c r="J128" s="31" t="s">
        <v>76</v>
      </c>
      <c r="K128" s="31">
        <v>75.0</v>
      </c>
      <c r="L128" s="37">
        <v>5432.25</v>
      </c>
      <c r="M128" s="30">
        <f t="shared" si="1"/>
        <v>72.43</v>
      </c>
      <c r="N128" s="38">
        <v>0.2</v>
      </c>
      <c r="O128" s="30">
        <f>IF($L128="","",$L128*IF($N128="",Settings!$J$11,$N128))</f>
        <v>1086.45</v>
      </c>
      <c r="P128" s="30">
        <f t="shared" si="2"/>
        <v>6518.7</v>
      </c>
      <c r="Q128" s="31" t="s">
        <v>79</v>
      </c>
      <c r="R128" s="37"/>
      <c r="S128" s="30">
        <f>IF($L128="","",IF($Q128&lt;&gt;"Yes",0,IF($R128&lt;&gt;"",$R128,ROUND($L128*Settings!$J$4,2))))</f>
        <v>543.23</v>
      </c>
      <c r="T128" s="40">
        <f t="shared" si="3"/>
        <v>7061.93</v>
      </c>
      <c r="U128" s="30">
        <f t="shared" si="4"/>
        <v>3802.58</v>
      </c>
      <c r="V128" s="37">
        <v>3259.34</v>
      </c>
      <c r="W128" s="31" t="s">
        <v>85</v>
      </c>
      <c r="X128" s="34">
        <v>46266.0</v>
      </c>
      <c r="Y128" s="37">
        <v>3400.1</v>
      </c>
      <c r="Z128" s="31" t="s">
        <v>80</v>
      </c>
      <c r="AA128" s="34">
        <v>46280.0</v>
      </c>
      <c r="AB128" s="37"/>
      <c r="AC128" s="31"/>
      <c r="AD128" s="34"/>
      <c r="AE128" s="30">
        <f t="shared" si="5"/>
        <v>6659.44</v>
      </c>
      <c r="AF128" s="41">
        <f t="shared" si="6"/>
        <v>1</v>
      </c>
      <c r="AG128" s="40">
        <f t="shared" si="7"/>
        <v>0</v>
      </c>
      <c r="AH128" s="32" t="str">
        <f>IF(OR($L128="",$H128="",$AG128&lt;=0),"",MAX(0,TODAY()-($H128+Settings!$J$6)))</f>
        <v/>
      </c>
      <c r="AI128" s="37">
        <v>543.23</v>
      </c>
      <c r="AJ128" s="33"/>
      <c r="AK128" s="31"/>
      <c r="AL128" s="31"/>
      <c r="AM128" s="31"/>
      <c r="AN128" s="34"/>
      <c r="AO128" s="44">
        <f t="shared" si="8"/>
        <v>0</v>
      </c>
      <c r="AP128" s="48">
        <f t="shared" si="9"/>
        <v>5432.25</v>
      </c>
      <c r="AQ128" s="33"/>
      <c r="AR128" s="49">
        <f t="shared" si="10"/>
        <v>46282</v>
      </c>
      <c r="AS128" s="49">
        <f t="shared" si="11"/>
        <v>46266</v>
      </c>
      <c r="AT128" s="32">
        <f t="shared" si="12"/>
        <v>2026</v>
      </c>
    </row>
    <row r="129" ht="18.0" customHeight="1">
      <c r="A129" s="31" t="s">
        <v>61</v>
      </c>
      <c r="B129" s="31" t="s">
        <v>296</v>
      </c>
      <c r="C129" s="31" t="s">
        <v>63</v>
      </c>
      <c r="D129" s="32">
        <v>2.2004324E7</v>
      </c>
      <c r="E129" s="33" t="s">
        <v>939</v>
      </c>
      <c r="F129" s="34">
        <v>46282.0</v>
      </c>
      <c r="G129" s="34"/>
      <c r="H129" s="34">
        <v>46258.0</v>
      </c>
      <c r="I129" s="31" t="s">
        <v>83</v>
      </c>
      <c r="J129" s="31" t="s">
        <v>76</v>
      </c>
      <c r="K129" s="31">
        <v>50.0</v>
      </c>
      <c r="L129" s="37">
        <v>312.0</v>
      </c>
      <c r="M129" s="30">
        <f t="shared" si="1"/>
        <v>6.24</v>
      </c>
      <c r="N129" s="38">
        <v>0.2</v>
      </c>
      <c r="O129" s="30">
        <f>IF($L129="","",$L129*IF($N129="",Settings!$J$11,$N129))</f>
        <v>62.4</v>
      </c>
      <c r="P129" s="30">
        <f t="shared" si="2"/>
        <v>374.4</v>
      </c>
      <c r="Q129" s="31" t="s">
        <v>84</v>
      </c>
      <c r="R129" s="37"/>
      <c r="S129" s="30">
        <f>IF($L129="","",IF($Q129&lt;&gt;"Yes",0,IF($R129&lt;&gt;"",$R129,ROUND($L129*Settings!$J$4,2))))</f>
        <v>0</v>
      </c>
      <c r="T129" s="40">
        <f t="shared" si="3"/>
        <v>374.4</v>
      </c>
      <c r="U129" s="30">
        <f t="shared" si="4"/>
        <v>187.2</v>
      </c>
      <c r="V129" s="37">
        <v>374.0</v>
      </c>
      <c r="W129" s="31" t="s">
        <v>85</v>
      </c>
      <c r="X129" s="34">
        <v>46268.0</v>
      </c>
      <c r="Y129" s="37"/>
      <c r="Z129" s="31"/>
      <c r="AA129" s="34"/>
      <c r="AB129" s="37"/>
      <c r="AC129" s="31"/>
      <c r="AD129" s="34"/>
      <c r="AE129" s="30">
        <f t="shared" si="5"/>
        <v>374</v>
      </c>
      <c r="AF129" s="41">
        <f t="shared" si="6"/>
        <v>1</v>
      </c>
      <c r="AG129" s="40">
        <f t="shared" si="7"/>
        <v>0</v>
      </c>
      <c r="AH129" s="32" t="str">
        <f>IF(OR($L129="",$H129="",$AG129&lt;=0),"",MAX(0,TODAY()-($H129+Settings!$J$6)))</f>
        <v/>
      </c>
      <c r="AI129" s="37"/>
      <c r="AJ129" s="33"/>
      <c r="AK129" s="31"/>
      <c r="AL129" s="31"/>
      <c r="AM129" s="31"/>
      <c r="AN129" s="34"/>
      <c r="AO129" s="44">
        <f t="shared" si="8"/>
        <v>0</v>
      </c>
      <c r="AP129" s="48">
        <f t="shared" si="9"/>
        <v>312</v>
      </c>
      <c r="AQ129" s="33"/>
      <c r="AR129" s="49">
        <f t="shared" si="10"/>
        <v>46282</v>
      </c>
      <c r="AS129" s="49">
        <f t="shared" si="11"/>
        <v>46266</v>
      </c>
      <c r="AT129" s="32">
        <f t="shared" si="12"/>
        <v>2026</v>
      </c>
    </row>
    <row r="130" ht="18.0" customHeight="1">
      <c r="A130" s="31" t="s">
        <v>61</v>
      </c>
      <c r="B130" s="31" t="s">
        <v>296</v>
      </c>
      <c r="C130" s="31" t="s">
        <v>251</v>
      </c>
      <c r="D130" s="32">
        <v>2.2004325E7</v>
      </c>
      <c r="E130" s="33" t="s">
        <v>151</v>
      </c>
      <c r="F130" s="34">
        <v>46312.0</v>
      </c>
      <c r="G130" s="34"/>
      <c r="H130" s="34">
        <v>46258.0</v>
      </c>
      <c r="I130" s="31" t="s">
        <v>73</v>
      </c>
      <c r="J130" s="31" t="s">
        <v>103</v>
      </c>
      <c r="K130" s="31">
        <v>50.0</v>
      </c>
      <c r="L130" s="37"/>
      <c r="M130" s="30" t="str">
        <f t="shared" si="1"/>
        <v/>
      </c>
      <c r="N130" s="136">
        <v>0.2</v>
      </c>
      <c r="O130" s="30" t="str">
        <f>IF($L130="","",$L130*IF($N130="",Settings!$J$11,$N130))</f>
        <v/>
      </c>
      <c r="P130" s="30" t="str">
        <f t="shared" si="2"/>
        <v/>
      </c>
      <c r="Q130" s="31" t="s">
        <v>84</v>
      </c>
      <c r="R130" s="37"/>
      <c r="S130" s="30" t="str">
        <f>IF($L130="","",IF($Q130&lt;&gt;"Yes",0,IF($R130&lt;&gt;"",$R130,ROUND($L130*Settings!$J$4,2))))</f>
        <v/>
      </c>
      <c r="T130" s="40" t="str">
        <f t="shared" si="3"/>
        <v/>
      </c>
      <c r="U130" s="30" t="str">
        <f t="shared" si="4"/>
        <v/>
      </c>
      <c r="V130" s="37"/>
      <c r="W130" s="31"/>
      <c r="X130" s="34"/>
      <c r="Y130" s="37"/>
      <c r="Z130" s="31"/>
      <c r="AA130" s="34"/>
      <c r="AB130" s="37"/>
      <c r="AC130" s="31"/>
      <c r="AD130" s="34"/>
      <c r="AE130" s="30" t="str">
        <f t="shared" si="5"/>
        <v/>
      </c>
      <c r="AF130" s="41" t="str">
        <f t="shared" si="6"/>
        <v/>
      </c>
      <c r="AG130" s="40" t="str">
        <f t="shared" si="7"/>
        <v/>
      </c>
      <c r="AH130" s="32" t="str">
        <f>IF(OR($L130="",$H130="",$AG130&lt;=0),"",MAX(0,TODAY()-($H130+Settings!$J$6)))</f>
        <v/>
      </c>
      <c r="AI130" s="37"/>
      <c r="AJ130" s="33"/>
      <c r="AK130" s="31"/>
      <c r="AL130" s="31"/>
      <c r="AM130" s="31"/>
      <c r="AN130" s="34"/>
      <c r="AO130" s="44">
        <f t="shared" si="8"/>
        <v>0</v>
      </c>
      <c r="AP130" s="48" t="str">
        <f t="shared" si="9"/>
        <v/>
      </c>
      <c r="AQ130" s="33"/>
      <c r="AR130" s="49" t="str">
        <f t="shared" si="10"/>
        <v/>
      </c>
      <c r="AS130" s="49" t="str">
        <f t="shared" si="11"/>
        <v/>
      </c>
      <c r="AT130" s="32" t="str">
        <f t="shared" si="12"/>
        <v/>
      </c>
    </row>
    <row r="131" ht="18.0" customHeight="1">
      <c r="A131" s="31" t="s">
        <v>61</v>
      </c>
      <c r="B131" s="31" t="s">
        <v>62</v>
      </c>
      <c r="C131" s="31" t="s">
        <v>63</v>
      </c>
      <c r="D131" s="32">
        <v>2.2004326E7</v>
      </c>
      <c r="E131" s="33" t="s">
        <v>940</v>
      </c>
      <c r="F131" s="34">
        <v>46262.0</v>
      </c>
      <c r="G131" s="34"/>
      <c r="H131" s="34">
        <v>46259.0</v>
      </c>
      <c r="I131" s="31" t="s">
        <v>73</v>
      </c>
      <c r="J131" s="31" t="s">
        <v>76</v>
      </c>
      <c r="K131" s="31">
        <v>1.0</v>
      </c>
      <c r="L131" s="37">
        <v>92.5</v>
      </c>
      <c r="M131" s="30">
        <f t="shared" si="1"/>
        <v>92.5</v>
      </c>
      <c r="N131" s="136">
        <v>0.2</v>
      </c>
      <c r="O131" s="30">
        <f>IF($L131="","",$L131*IF($N131="",Settings!$J$11,$N131))</f>
        <v>18.5</v>
      </c>
      <c r="P131" s="30">
        <f t="shared" si="2"/>
        <v>111</v>
      </c>
      <c r="Q131" s="31" t="s">
        <v>84</v>
      </c>
      <c r="R131" s="37"/>
      <c r="S131" s="30">
        <f>IF($L131="","",IF($Q131&lt;&gt;"Yes",0,IF($R131&lt;&gt;"",$R131,ROUND($L131*Settings!$J$4,2))))</f>
        <v>0</v>
      </c>
      <c r="T131" s="40">
        <f t="shared" si="3"/>
        <v>111</v>
      </c>
      <c r="U131" s="30">
        <f t="shared" si="4"/>
        <v>55.5</v>
      </c>
      <c r="V131" s="37"/>
      <c r="W131" s="31"/>
      <c r="X131" s="34"/>
      <c r="Y131" s="37"/>
      <c r="Z131" s="31"/>
      <c r="AA131" s="34"/>
      <c r="AB131" s="37"/>
      <c r="AC131" s="31"/>
      <c r="AD131" s="34"/>
      <c r="AE131" s="30">
        <f t="shared" si="5"/>
        <v>0</v>
      </c>
      <c r="AF131" s="41">
        <f t="shared" si="6"/>
        <v>1</v>
      </c>
      <c r="AG131" s="40">
        <f t="shared" si="7"/>
        <v>0</v>
      </c>
      <c r="AH131" s="32" t="str">
        <f>IF(OR($L131="",$H131="",$AG131&lt;=0),"",MAX(0,TODAY()-($H131+Settings!$J$6)))</f>
        <v/>
      </c>
      <c r="AI131" s="37"/>
      <c r="AJ131" s="33"/>
      <c r="AK131" s="31"/>
      <c r="AL131" s="31"/>
      <c r="AM131" s="31"/>
      <c r="AN131" s="34"/>
      <c r="AO131" s="44">
        <f t="shared" si="8"/>
        <v>0</v>
      </c>
      <c r="AP131" s="48">
        <f t="shared" si="9"/>
        <v>92.5</v>
      </c>
      <c r="AQ131" s="33"/>
      <c r="AR131" s="49">
        <f t="shared" si="10"/>
        <v>46262</v>
      </c>
      <c r="AS131" s="49">
        <f t="shared" si="11"/>
        <v>46235</v>
      </c>
      <c r="AT131" s="32">
        <f t="shared" si="12"/>
        <v>2026</v>
      </c>
    </row>
    <row r="132" ht="18.0" customHeight="1">
      <c r="A132" s="31" t="s">
        <v>61</v>
      </c>
      <c r="B132" s="31" t="s">
        <v>62</v>
      </c>
      <c r="C132" s="31" t="s">
        <v>63</v>
      </c>
      <c r="D132" s="32">
        <v>2.2004327E7</v>
      </c>
      <c r="E132" s="135" t="s">
        <v>139</v>
      </c>
      <c r="F132" s="34">
        <v>46266.0</v>
      </c>
      <c r="G132" s="34"/>
      <c r="H132" s="34">
        <v>46259.0</v>
      </c>
      <c r="I132" s="31" t="s">
        <v>83</v>
      </c>
      <c r="J132" s="132" t="s">
        <v>76</v>
      </c>
      <c r="K132" s="31">
        <v>20.0</v>
      </c>
      <c r="L132" s="37">
        <v>1010.0</v>
      </c>
      <c r="M132" s="30">
        <f t="shared" si="1"/>
        <v>50.5</v>
      </c>
      <c r="N132" s="136">
        <v>0.2</v>
      </c>
      <c r="O132" s="30">
        <f>IF($L132="","",$L132*IF($N132="",Settings!$J$11,$N132))</f>
        <v>202</v>
      </c>
      <c r="P132" s="30">
        <f t="shared" si="2"/>
        <v>1212</v>
      </c>
      <c r="Q132" s="31" t="s">
        <v>84</v>
      </c>
      <c r="R132" s="37"/>
      <c r="S132" s="30">
        <f>IF($L132="","",IF($Q132&lt;&gt;"Yes",0,IF($R132&lt;&gt;"",$R132,ROUND($L132*Settings!$J$4,2))))</f>
        <v>0</v>
      </c>
      <c r="T132" s="40">
        <f t="shared" si="3"/>
        <v>1212</v>
      </c>
      <c r="U132" s="30">
        <f t="shared" si="4"/>
        <v>606</v>
      </c>
      <c r="V132" s="133">
        <v>1212.0</v>
      </c>
      <c r="W132" s="132" t="s">
        <v>85</v>
      </c>
      <c r="X132" s="134">
        <v>46289.0</v>
      </c>
      <c r="Y132" s="37"/>
      <c r="Z132" s="31"/>
      <c r="AA132" s="34"/>
      <c r="AB132" s="37"/>
      <c r="AC132" s="31"/>
      <c r="AD132" s="34"/>
      <c r="AE132" s="30">
        <f t="shared" si="5"/>
        <v>1212</v>
      </c>
      <c r="AF132" s="41">
        <f t="shared" si="6"/>
        <v>1</v>
      </c>
      <c r="AG132" s="40">
        <f t="shared" si="7"/>
        <v>0</v>
      </c>
      <c r="AH132" s="32" t="str">
        <f>IF(OR($L132="",$H132="",$AG132&lt;=0),"",MAX(0,TODAY()-($H132+Settings!$J$6)))</f>
        <v/>
      </c>
      <c r="AI132" s="37"/>
      <c r="AJ132" s="33"/>
      <c r="AK132" s="31"/>
      <c r="AL132" s="31"/>
      <c r="AM132" s="31"/>
      <c r="AN132" s="34"/>
      <c r="AO132" s="44">
        <f t="shared" si="8"/>
        <v>0</v>
      </c>
      <c r="AP132" s="48">
        <f t="shared" si="9"/>
        <v>1010</v>
      </c>
      <c r="AQ132" s="33"/>
      <c r="AR132" s="49">
        <f t="shared" si="10"/>
        <v>46266</v>
      </c>
      <c r="AS132" s="49">
        <f t="shared" si="11"/>
        <v>46266</v>
      </c>
      <c r="AT132" s="32">
        <f t="shared" si="12"/>
        <v>2026</v>
      </c>
    </row>
    <row r="133" ht="18.0" customHeight="1">
      <c r="A133" s="31" t="s">
        <v>61</v>
      </c>
      <c r="B133" s="31" t="s">
        <v>62</v>
      </c>
      <c r="C133" s="31" t="s">
        <v>63</v>
      </c>
      <c r="D133" s="32">
        <v>2.2004328E7</v>
      </c>
      <c r="E133" s="33" t="s">
        <v>195</v>
      </c>
      <c r="F133" s="34">
        <v>46314.0</v>
      </c>
      <c r="G133" s="34"/>
      <c r="H133" s="34">
        <v>46261.0</v>
      </c>
      <c r="I133" s="31" t="s">
        <v>83</v>
      </c>
      <c r="J133" s="132" t="s">
        <v>76</v>
      </c>
      <c r="K133" s="31">
        <v>14.0</v>
      </c>
      <c r="L133" s="37">
        <v>835.2</v>
      </c>
      <c r="M133" s="30">
        <f t="shared" si="1"/>
        <v>59.65714286</v>
      </c>
      <c r="N133" s="136">
        <v>0.2</v>
      </c>
      <c r="O133" s="30">
        <f>IF($L133="","",$L133*IF($N133="",Settings!$J$11,$N133))</f>
        <v>167.04</v>
      </c>
      <c r="P133" s="30">
        <f t="shared" si="2"/>
        <v>1002.24</v>
      </c>
      <c r="Q133" s="31" t="s">
        <v>84</v>
      </c>
      <c r="R133" s="37"/>
      <c r="S133" s="30">
        <f>IF($L133="","",IF($Q133&lt;&gt;"Yes",0,IF($R133&lt;&gt;"",$R133,ROUND($L133*Settings!$J$4,2))))</f>
        <v>0</v>
      </c>
      <c r="T133" s="40">
        <f t="shared" si="3"/>
        <v>1002.24</v>
      </c>
      <c r="U133" s="30">
        <f t="shared" si="4"/>
        <v>501.12</v>
      </c>
      <c r="V133" s="133">
        <v>1002.24</v>
      </c>
      <c r="W133" s="132" t="s">
        <v>85</v>
      </c>
      <c r="X133" s="134">
        <v>46294.0</v>
      </c>
      <c r="Y133" s="37"/>
      <c r="Z133" s="31"/>
      <c r="AA133" s="34"/>
      <c r="AB133" s="37"/>
      <c r="AC133" s="31"/>
      <c r="AD133" s="34"/>
      <c r="AE133" s="30">
        <f t="shared" si="5"/>
        <v>1002.24</v>
      </c>
      <c r="AF133" s="41">
        <f t="shared" si="6"/>
        <v>1</v>
      </c>
      <c r="AG133" s="40">
        <f t="shared" si="7"/>
        <v>0</v>
      </c>
      <c r="AH133" s="32" t="str">
        <f>IF(OR($L133="",$H133="",$AG133&lt;=0),"",MAX(0,TODAY()-($H133+Settings!$J$6)))</f>
        <v/>
      </c>
      <c r="AI133" s="37"/>
      <c r="AJ133" s="33"/>
      <c r="AK133" s="31"/>
      <c r="AL133" s="31"/>
      <c r="AM133" s="31"/>
      <c r="AN133" s="34"/>
      <c r="AO133" s="44">
        <f t="shared" si="8"/>
        <v>0</v>
      </c>
      <c r="AP133" s="48">
        <f t="shared" si="9"/>
        <v>835.2</v>
      </c>
      <c r="AQ133" s="33"/>
      <c r="AR133" s="49">
        <f t="shared" si="10"/>
        <v>46314</v>
      </c>
      <c r="AS133" s="49">
        <f t="shared" si="11"/>
        <v>46296</v>
      </c>
      <c r="AT133" s="32">
        <f t="shared" si="12"/>
        <v>2026</v>
      </c>
    </row>
    <row r="134" ht="18.0" customHeight="1">
      <c r="A134" s="31" t="s">
        <v>61</v>
      </c>
      <c r="B134" s="31" t="s">
        <v>62</v>
      </c>
      <c r="C134" s="31" t="s">
        <v>63</v>
      </c>
      <c r="D134" s="32">
        <v>2.2004329E7</v>
      </c>
      <c r="E134" s="33" t="s">
        <v>941</v>
      </c>
      <c r="F134" s="34">
        <v>46274.0</v>
      </c>
      <c r="G134" s="34"/>
      <c r="H134" s="34">
        <v>46262.0</v>
      </c>
      <c r="I134" s="31" t="s">
        <v>83</v>
      </c>
      <c r="J134" s="132" t="s">
        <v>76</v>
      </c>
      <c r="K134" s="31">
        <v>47.0</v>
      </c>
      <c r="L134" s="37">
        <v>5892.25</v>
      </c>
      <c r="M134" s="30">
        <f t="shared" si="1"/>
        <v>125.3670213</v>
      </c>
      <c r="N134" s="136">
        <v>0.2</v>
      </c>
      <c r="O134" s="30">
        <f>IF($L134="","",$L134*IF($N134="",Settings!$J$11,$N134))</f>
        <v>1178.45</v>
      </c>
      <c r="P134" s="30">
        <f t="shared" si="2"/>
        <v>7070.7</v>
      </c>
      <c r="Q134" s="31" t="s">
        <v>79</v>
      </c>
      <c r="R134" s="37"/>
      <c r="S134" s="30">
        <f>IF($L134="","",IF($Q134&lt;&gt;"Yes",0,IF($R134&lt;&gt;"",$R134,ROUND($L134*Settings!$J$4,2))))</f>
        <v>589.23</v>
      </c>
      <c r="T134" s="40">
        <f t="shared" si="3"/>
        <v>7659.93</v>
      </c>
      <c r="U134" s="30">
        <f t="shared" si="4"/>
        <v>4124.58</v>
      </c>
      <c r="V134" s="133">
        <v>7520.7</v>
      </c>
      <c r="W134" s="132" t="s">
        <v>85</v>
      </c>
      <c r="X134" s="134">
        <v>46266.0</v>
      </c>
      <c r="Y134" s="37"/>
      <c r="Z134" s="31"/>
      <c r="AA134" s="34"/>
      <c r="AB134" s="37"/>
      <c r="AC134" s="31"/>
      <c r="AD134" s="34"/>
      <c r="AE134" s="30">
        <f t="shared" si="5"/>
        <v>7520.7</v>
      </c>
      <c r="AF134" s="41">
        <f t="shared" si="6"/>
        <v>1</v>
      </c>
      <c r="AG134" s="40">
        <f t="shared" si="7"/>
        <v>0</v>
      </c>
      <c r="AH134" s="32" t="str">
        <f>IF(OR($L134="",$H134="",$AG134&lt;=0),"",MAX(0,TODAY()-($H134+Settings!$J$6)))</f>
        <v/>
      </c>
      <c r="AI134" s="133">
        <v>280.8</v>
      </c>
      <c r="AJ134" s="33" t="s">
        <v>318</v>
      </c>
      <c r="AK134" s="31" t="s">
        <v>817</v>
      </c>
      <c r="AL134" s="31">
        <v>1.0793388E7</v>
      </c>
      <c r="AM134" s="31"/>
      <c r="AN134" s="34"/>
      <c r="AO134" s="44">
        <f t="shared" si="8"/>
        <v>308.43</v>
      </c>
      <c r="AP134" s="48">
        <f t="shared" si="9"/>
        <v>6200.68</v>
      </c>
      <c r="AQ134" s="33" t="s">
        <v>942</v>
      </c>
      <c r="AR134" s="49">
        <f t="shared" si="10"/>
        <v>46274</v>
      </c>
      <c r="AS134" s="49">
        <f t="shared" si="11"/>
        <v>46266</v>
      </c>
      <c r="AT134" s="32">
        <f t="shared" si="12"/>
        <v>2026</v>
      </c>
    </row>
    <row r="135" ht="18.0" customHeight="1">
      <c r="A135" s="31" t="s">
        <v>61</v>
      </c>
      <c r="B135" s="31" t="s">
        <v>62</v>
      </c>
      <c r="C135" s="31" t="s">
        <v>251</v>
      </c>
      <c r="D135" s="32">
        <v>2.200433E7</v>
      </c>
      <c r="E135" s="33" t="s">
        <v>943</v>
      </c>
      <c r="F135" s="34">
        <v>46270.0</v>
      </c>
      <c r="G135" s="34"/>
      <c r="H135" s="34">
        <v>46266.0</v>
      </c>
      <c r="I135" s="31" t="s">
        <v>73</v>
      </c>
      <c r="J135" s="31" t="s">
        <v>76</v>
      </c>
      <c r="K135" s="31">
        <v>12.0</v>
      </c>
      <c r="L135" s="37">
        <v>2209.6</v>
      </c>
      <c r="M135" s="30">
        <f t="shared" si="1"/>
        <v>184.1333333</v>
      </c>
      <c r="N135" s="136">
        <v>0.2</v>
      </c>
      <c r="O135" s="30">
        <f>IF($L135="","",$L135*IF($N135="",Settings!$J$11,$N135))</f>
        <v>441.92</v>
      </c>
      <c r="P135" s="30">
        <f t="shared" si="2"/>
        <v>2651.52</v>
      </c>
      <c r="Q135" s="31" t="s">
        <v>79</v>
      </c>
      <c r="R135" s="37"/>
      <c r="S135" s="30">
        <f>IF($L135="","",IF($Q135&lt;&gt;"Yes",0,IF($R135&lt;&gt;"",$R135,ROUND($L135*Settings!$J$4,2))))</f>
        <v>220.96</v>
      </c>
      <c r="T135" s="40">
        <f t="shared" si="3"/>
        <v>2872.48</v>
      </c>
      <c r="U135" s="30">
        <f t="shared" si="4"/>
        <v>1546.72</v>
      </c>
      <c r="V135" s="37">
        <v>2872.48</v>
      </c>
      <c r="W135" s="31" t="s">
        <v>80</v>
      </c>
      <c r="X135" s="34">
        <v>46267.0</v>
      </c>
      <c r="Y135" s="37"/>
      <c r="Z135" s="31"/>
      <c r="AA135" s="34"/>
      <c r="AB135" s="37"/>
      <c r="AC135" s="31"/>
      <c r="AD135" s="34"/>
      <c r="AE135" s="30">
        <f t="shared" si="5"/>
        <v>2872.48</v>
      </c>
      <c r="AF135" s="41">
        <f t="shared" si="6"/>
        <v>1</v>
      </c>
      <c r="AG135" s="40">
        <f t="shared" si="7"/>
        <v>0</v>
      </c>
      <c r="AH135" s="32" t="str">
        <f>IF(OR($L135="",$H135="",$AG135&lt;=0),"",MAX(0,TODAY()-($H135+Settings!$J$6)))</f>
        <v/>
      </c>
      <c r="AI135" s="37">
        <v>220.96</v>
      </c>
      <c r="AJ135" s="33"/>
      <c r="AK135" s="31"/>
      <c r="AL135" s="31"/>
      <c r="AM135" s="31"/>
      <c r="AN135" s="34"/>
      <c r="AO135" s="44">
        <f t="shared" si="8"/>
        <v>0</v>
      </c>
      <c r="AP135" s="48">
        <f t="shared" si="9"/>
        <v>2209.6</v>
      </c>
      <c r="AQ135" s="33"/>
      <c r="AR135" s="49">
        <f t="shared" si="10"/>
        <v>46270</v>
      </c>
      <c r="AS135" s="49">
        <f t="shared" si="11"/>
        <v>46266</v>
      </c>
      <c r="AT135" s="32">
        <f t="shared" si="12"/>
        <v>2026</v>
      </c>
    </row>
    <row r="136" ht="18.0" customHeight="1">
      <c r="A136" s="31" t="s">
        <v>61</v>
      </c>
      <c r="B136" s="31" t="s">
        <v>62</v>
      </c>
      <c r="C136" s="31" t="s">
        <v>63</v>
      </c>
      <c r="D136" s="32">
        <v>2.2004331E7</v>
      </c>
      <c r="E136" s="33" t="s">
        <v>944</v>
      </c>
      <c r="F136" s="34">
        <v>46281.0</v>
      </c>
      <c r="G136" s="34"/>
      <c r="H136" s="34">
        <v>46266.0</v>
      </c>
      <c r="I136" s="31" t="s">
        <v>73</v>
      </c>
      <c r="J136" s="132" t="s">
        <v>76</v>
      </c>
      <c r="K136" s="31">
        <v>70.0</v>
      </c>
      <c r="L136" s="37">
        <v>1596.0</v>
      </c>
      <c r="M136" s="30">
        <f t="shared" si="1"/>
        <v>22.8</v>
      </c>
      <c r="N136" s="136">
        <v>0.2</v>
      </c>
      <c r="O136" s="30">
        <f>IF($L136="","",$L136*IF($N136="",Settings!$J$11,$N136))</f>
        <v>319.2</v>
      </c>
      <c r="P136" s="30">
        <f t="shared" si="2"/>
        <v>1915.2</v>
      </c>
      <c r="Q136" s="31" t="s">
        <v>79</v>
      </c>
      <c r="R136" s="37"/>
      <c r="S136" s="30">
        <f>IF($L136="","",IF($Q136&lt;&gt;"Yes",0,IF($R136&lt;&gt;"",$R136,ROUND($L136*Settings!$J$4,2))))</f>
        <v>159.6</v>
      </c>
      <c r="T136" s="40">
        <f t="shared" si="3"/>
        <v>2074.8</v>
      </c>
      <c r="U136" s="30">
        <f t="shared" si="4"/>
        <v>1117.2</v>
      </c>
      <c r="V136" s="37">
        <v>2015.2</v>
      </c>
      <c r="W136" s="31" t="s">
        <v>85</v>
      </c>
      <c r="X136" s="34">
        <v>46268.0</v>
      </c>
      <c r="Y136" s="37"/>
      <c r="Z136" s="31"/>
      <c r="AA136" s="34"/>
      <c r="AB136" s="37"/>
      <c r="AC136" s="31"/>
      <c r="AD136" s="34"/>
      <c r="AE136" s="30">
        <f t="shared" si="5"/>
        <v>2015.2</v>
      </c>
      <c r="AF136" s="41">
        <f t="shared" si="6"/>
        <v>1</v>
      </c>
      <c r="AG136" s="40">
        <f t="shared" si="7"/>
        <v>0</v>
      </c>
      <c r="AH136" s="32" t="str">
        <f>IF(OR($L136="",$H136="",$AG136&lt;=0),"",MAX(0,TODAY()-($H136+Settings!$J$6)))</f>
        <v/>
      </c>
      <c r="AI136" s="37">
        <v>159.6</v>
      </c>
      <c r="AJ136" s="33"/>
      <c r="AK136" s="31"/>
      <c r="AL136" s="31"/>
      <c r="AM136" s="31"/>
      <c r="AN136" s="34"/>
      <c r="AO136" s="44">
        <f t="shared" si="8"/>
        <v>0</v>
      </c>
      <c r="AP136" s="48">
        <f t="shared" si="9"/>
        <v>1596</v>
      </c>
      <c r="AQ136" s="33"/>
      <c r="AR136" s="49">
        <f t="shared" si="10"/>
        <v>46281</v>
      </c>
      <c r="AS136" s="49">
        <f t="shared" si="11"/>
        <v>46266</v>
      </c>
      <c r="AT136" s="32">
        <f t="shared" si="12"/>
        <v>2026</v>
      </c>
    </row>
    <row r="137" ht="18.0" customHeight="1">
      <c r="A137" s="31" t="s">
        <v>61</v>
      </c>
      <c r="B137" s="31" t="s">
        <v>62</v>
      </c>
      <c r="C137" s="31" t="s">
        <v>63</v>
      </c>
      <c r="D137" s="32">
        <v>2.2004332E7</v>
      </c>
      <c r="E137" s="33" t="s">
        <v>196</v>
      </c>
      <c r="F137" s="34">
        <v>46336.0</v>
      </c>
      <c r="G137" s="34"/>
      <c r="H137" s="34">
        <v>46266.0</v>
      </c>
      <c r="I137" s="31" t="s">
        <v>73</v>
      </c>
      <c r="J137" s="31"/>
      <c r="K137" s="31">
        <v>70.0</v>
      </c>
      <c r="L137" s="37">
        <v>3175.55</v>
      </c>
      <c r="M137" s="30">
        <f t="shared" si="1"/>
        <v>45.365</v>
      </c>
      <c r="N137" s="136">
        <v>0.2</v>
      </c>
      <c r="O137" s="30">
        <f>IF($L137="","",$L137*IF($N137="",Settings!$J$11,$N137))</f>
        <v>635.11</v>
      </c>
      <c r="P137" s="30">
        <f t="shared" si="2"/>
        <v>3810.66</v>
      </c>
      <c r="Q137" s="31" t="s">
        <v>79</v>
      </c>
      <c r="R137" s="37"/>
      <c r="S137" s="30">
        <f>IF($L137="","",IF($Q137&lt;&gt;"Yes",0,IF($R137&lt;&gt;"",$R137,ROUND($L137*Settings!$J$4,2))))</f>
        <v>317.56</v>
      </c>
      <c r="T137" s="40">
        <f t="shared" si="3"/>
        <v>4128.22</v>
      </c>
      <c r="U137" s="30">
        <f t="shared" si="4"/>
        <v>2222.89</v>
      </c>
      <c r="V137" s="37"/>
      <c r="W137" s="31"/>
      <c r="X137" s="34"/>
      <c r="Y137" s="37"/>
      <c r="Z137" s="31"/>
      <c r="AA137" s="34"/>
      <c r="AB137" s="37"/>
      <c r="AC137" s="31"/>
      <c r="AD137" s="34"/>
      <c r="AE137" s="30">
        <f t="shared" si="5"/>
        <v>0</v>
      </c>
      <c r="AF137" s="41">
        <f t="shared" si="6"/>
        <v>0</v>
      </c>
      <c r="AG137" s="40">
        <f t="shared" si="7"/>
        <v>4128.22</v>
      </c>
      <c r="AH137" s="32">
        <f>IF(OR($L137="",$H137="",$AG137&lt;=0),"",MAX(0,TODAY()-($H137+Settings!$J$6)))</f>
        <v>1</v>
      </c>
      <c r="AI137" s="37"/>
      <c r="AJ137" s="33"/>
      <c r="AK137" s="31"/>
      <c r="AL137" s="31"/>
      <c r="AM137" s="31"/>
      <c r="AN137" s="34"/>
      <c r="AO137" s="44">
        <f t="shared" si="8"/>
        <v>0</v>
      </c>
      <c r="AP137" s="48">
        <f t="shared" si="9"/>
        <v>3175.55</v>
      </c>
      <c r="AQ137" s="33"/>
      <c r="AR137" s="49">
        <f t="shared" si="10"/>
        <v>46336</v>
      </c>
      <c r="AS137" s="49">
        <f t="shared" si="11"/>
        <v>46327</v>
      </c>
      <c r="AT137" s="32">
        <f t="shared" si="12"/>
        <v>2026</v>
      </c>
    </row>
    <row r="138" ht="18.0" customHeight="1">
      <c r="A138" s="31" t="s">
        <v>61</v>
      </c>
      <c r="B138" s="31" t="s">
        <v>62</v>
      </c>
      <c r="C138" s="31" t="s">
        <v>63</v>
      </c>
      <c r="D138" s="32">
        <v>2.2004333E7</v>
      </c>
      <c r="E138" s="33" t="s">
        <v>139</v>
      </c>
      <c r="F138" s="34">
        <v>46295.0</v>
      </c>
      <c r="G138" s="34"/>
      <c r="H138" s="34">
        <v>46267.0</v>
      </c>
      <c r="I138" s="31" t="s">
        <v>83</v>
      </c>
      <c r="J138" s="132" t="s">
        <v>76</v>
      </c>
      <c r="K138" s="31">
        <v>20.0</v>
      </c>
      <c r="L138" s="37">
        <v>576.0</v>
      </c>
      <c r="M138" s="30">
        <f t="shared" si="1"/>
        <v>28.8</v>
      </c>
      <c r="N138" s="136">
        <v>0.2</v>
      </c>
      <c r="O138" s="30">
        <f>IF($L138="","",$L138*IF($N138="",Settings!$J$11,$N138))</f>
        <v>115.2</v>
      </c>
      <c r="P138" s="30">
        <f t="shared" si="2"/>
        <v>691.2</v>
      </c>
      <c r="Q138" s="31" t="s">
        <v>84</v>
      </c>
      <c r="R138" s="37"/>
      <c r="S138" s="30">
        <f>IF($L138="","",IF($Q138&lt;&gt;"Yes",0,IF($R138&lt;&gt;"",$R138,ROUND($L138*Settings!$J$4,2))))</f>
        <v>0</v>
      </c>
      <c r="T138" s="40">
        <f t="shared" si="3"/>
        <v>691.2</v>
      </c>
      <c r="U138" s="30">
        <f t="shared" si="4"/>
        <v>345.6</v>
      </c>
      <c r="V138" s="133">
        <v>691.2</v>
      </c>
      <c r="W138" s="132" t="s">
        <v>85</v>
      </c>
      <c r="X138" s="134">
        <v>46289.0</v>
      </c>
      <c r="Y138" s="37"/>
      <c r="Z138" s="31"/>
      <c r="AA138" s="34"/>
      <c r="AB138" s="37"/>
      <c r="AC138" s="31"/>
      <c r="AD138" s="34"/>
      <c r="AE138" s="30">
        <f t="shared" si="5"/>
        <v>691.2</v>
      </c>
      <c r="AF138" s="41">
        <f t="shared" si="6"/>
        <v>1</v>
      </c>
      <c r="AG138" s="40">
        <f t="shared" si="7"/>
        <v>0</v>
      </c>
      <c r="AH138" s="32" t="str">
        <f>IF(OR($L138="",$H138="",$AG138&lt;=0),"",MAX(0,TODAY()-($H138+Settings!$J$6)))</f>
        <v/>
      </c>
      <c r="AI138" s="37"/>
      <c r="AJ138" s="33"/>
      <c r="AK138" s="31"/>
      <c r="AL138" s="31"/>
      <c r="AM138" s="31"/>
      <c r="AN138" s="34"/>
      <c r="AO138" s="44">
        <f t="shared" si="8"/>
        <v>0</v>
      </c>
      <c r="AP138" s="48">
        <f t="shared" si="9"/>
        <v>576</v>
      </c>
      <c r="AQ138" s="33"/>
      <c r="AR138" s="49">
        <f t="shared" si="10"/>
        <v>46295</v>
      </c>
      <c r="AS138" s="49">
        <f t="shared" si="11"/>
        <v>46266</v>
      </c>
      <c r="AT138" s="32">
        <f t="shared" si="12"/>
        <v>2026</v>
      </c>
    </row>
    <row r="139" ht="18.0" customHeight="1">
      <c r="A139" s="31" t="s">
        <v>61</v>
      </c>
      <c r="B139" s="31" t="s">
        <v>62</v>
      </c>
      <c r="C139" s="31" t="s">
        <v>63</v>
      </c>
      <c r="D139" s="32">
        <v>2.2004334E7</v>
      </c>
      <c r="E139" s="33" t="s">
        <v>197</v>
      </c>
      <c r="F139" s="34">
        <v>46275.0</v>
      </c>
      <c r="G139" s="34"/>
      <c r="H139" s="34">
        <v>46267.0</v>
      </c>
      <c r="I139" s="31" t="s">
        <v>73</v>
      </c>
      <c r="J139" s="132" t="s">
        <v>76</v>
      </c>
      <c r="K139" s="31">
        <v>30.0</v>
      </c>
      <c r="L139" s="37">
        <v>1216.5</v>
      </c>
      <c r="M139" s="30">
        <f t="shared" si="1"/>
        <v>40.55</v>
      </c>
      <c r="N139" s="136">
        <v>0.2</v>
      </c>
      <c r="O139" s="30">
        <f>IF($L139="","",$L139*IF($N139="",Settings!$J$11,$N139))</f>
        <v>243.3</v>
      </c>
      <c r="P139" s="30">
        <f t="shared" si="2"/>
        <v>1459.8</v>
      </c>
      <c r="Q139" s="31" t="s">
        <v>84</v>
      </c>
      <c r="R139" s="37"/>
      <c r="S139" s="30">
        <f>IF($L139="","",IF($Q139&lt;&gt;"Yes",0,IF($R139&lt;&gt;"",$R139,ROUND($L139*Settings!$J$4,2))))</f>
        <v>0</v>
      </c>
      <c r="T139" s="40">
        <f t="shared" si="3"/>
        <v>1459.8</v>
      </c>
      <c r="U139" s="30">
        <f t="shared" si="4"/>
        <v>729.9</v>
      </c>
      <c r="V139" s="133">
        <v>1459.8</v>
      </c>
      <c r="W139" s="132" t="s">
        <v>80</v>
      </c>
      <c r="X139" s="134">
        <v>46272.0</v>
      </c>
      <c r="Y139" s="37"/>
      <c r="Z139" s="31"/>
      <c r="AA139" s="34"/>
      <c r="AB139" s="37"/>
      <c r="AC139" s="31"/>
      <c r="AD139" s="34"/>
      <c r="AE139" s="30">
        <f t="shared" si="5"/>
        <v>1459.8</v>
      </c>
      <c r="AF139" s="41">
        <f t="shared" si="6"/>
        <v>1</v>
      </c>
      <c r="AG139" s="40">
        <f t="shared" si="7"/>
        <v>0</v>
      </c>
      <c r="AH139" s="32" t="str">
        <f>IF(OR($L139="",$H139="",$AG139&lt;=0),"",MAX(0,TODAY()-($H139+Settings!$J$6)))</f>
        <v/>
      </c>
      <c r="AI139" s="37"/>
      <c r="AJ139" s="33"/>
      <c r="AK139" s="31"/>
      <c r="AL139" s="31"/>
      <c r="AM139" s="31"/>
      <c r="AN139" s="34"/>
      <c r="AO139" s="44">
        <f t="shared" si="8"/>
        <v>0</v>
      </c>
      <c r="AP139" s="48">
        <f t="shared" si="9"/>
        <v>1216.5</v>
      </c>
      <c r="AQ139" s="33"/>
      <c r="AR139" s="49">
        <f t="shared" si="10"/>
        <v>46275</v>
      </c>
      <c r="AS139" s="49">
        <f t="shared" si="11"/>
        <v>46266</v>
      </c>
      <c r="AT139" s="32">
        <f t="shared" si="12"/>
        <v>2026</v>
      </c>
    </row>
    <row r="140" ht="18.0" customHeight="1">
      <c r="A140" s="31" t="s">
        <v>61</v>
      </c>
      <c r="B140" s="31" t="s">
        <v>62</v>
      </c>
      <c r="C140" s="31" t="s">
        <v>251</v>
      </c>
      <c r="D140" s="32">
        <v>2.2004335E7</v>
      </c>
      <c r="E140" s="33" t="s">
        <v>945</v>
      </c>
      <c r="F140" s="34">
        <v>46277.0</v>
      </c>
      <c r="G140" s="34"/>
      <c r="H140" s="34">
        <v>46268.0</v>
      </c>
      <c r="I140" s="31" t="s">
        <v>73</v>
      </c>
      <c r="J140" s="31" t="s">
        <v>114</v>
      </c>
      <c r="K140" s="31">
        <v>8.0</v>
      </c>
      <c r="L140" s="37">
        <v>1256.0</v>
      </c>
      <c r="M140" s="30">
        <f t="shared" si="1"/>
        <v>157</v>
      </c>
      <c r="N140" s="136">
        <v>0.2</v>
      </c>
      <c r="O140" s="30">
        <f>IF($L140="","",$L140*IF($N140="",Settings!$J$11,$N140))</f>
        <v>251.2</v>
      </c>
      <c r="P140" s="30">
        <f t="shared" si="2"/>
        <v>1507.2</v>
      </c>
      <c r="Q140" s="31" t="s">
        <v>79</v>
      </c>
      <c r="R140" s="37"/>
      <c r="S140" s="30">
        <f>IF($L140="","",IF($Q140&lt;&gt;"Yes",0,IF($R140&lt;&gt;"",$R140,ROUND($L140*Settings!$J$4,2))))</f>
        <v>125.6</v>
      </c>
      <c r="T140" s="40">
        <f t="shared" si="3"/>
        <v>1632.8</v>
      </c>
      <c r="U140" s="30">
        <f t="shared" si="4"/>
        <v>879.2</v>
      </c>
      <c r="V140" s="37">
        <v>1632.8</v>
      </c>
      <c r="W140" s="31" t="s">
        <v>85</v>
      </c>
      <c r="X140" s="34">
        <v>46267.0</v>
      </c>
      <c r="Y140" s="37"/>
      <c r="Z140" s="31"/>
      <c r="AA140" s="34"/>
      <c r="AB140" s="37"/>
      <c r="AC140" s="31"/>
      <c r="AD140" s="34"/>
      <c r="AE140" s="30">
        <f t="shared" si="5"/>
        <v>1632.8</v>
      </c>
      <c r="AF140" s="41">
        <f t="shared" si="6"/>
        <v>1</v>
      </c>
      <c r="AG140" s="40">
        <f t="shared" si="7"/>
        <v>0</v>
      </c>
      <c r="AH140" s="32" t="str">
        <f>IF(OR($L140="",$H140="",$AG140&lt;=0),"",MAX(0,TODAY()-($H140+Settings!$J$6)))</f>
        <v/>
      </c>
      <c r="AI140" s="37">
        <v>125.6</v>
      </c>
      <c r="AJ140" s="33" t="s">
        <v>946</v>
      </c>
      <c r="AK140" s="31" t="s">
        <v>947</v>
      </c>
      <c r="AL140" s="31">
        <v>6.1618571E7</v>
      </c>
      <c r="AM140" s="31" t="s">
        <v>85</v>
      </c>
      <c r="AN140" s="34"/>
      <c r="AO140" s="44">
        <f t="shared" si="8"/>
        <v>0</v>
      </c>
      <c r="AP140" s="48">
        <f t="shared" si="9"/>
        <v>1256</v>
      </c>
      <c r="AQ140" s="33"/>
      <c r="AR140" s="49">
        <f t="shared" si="10"/>
        <v>46277</v>
      </c>
      <c r="AS140" s="49">
        <f t="shared" si="11"/>
        <v>46266</v>
      </c>
      <c r="AT140" s="32">
        <f t="shared" si="12"/>
        <v>2026</v>
      </c>
    </row>
    <row r="141" ht="18.0" customHeight="1">
      <c r="A141" s="31" t="s">
        <v>61</v>
      </c>
      <c r="B141" s="31" t="s">
        <v>62</v>
      </c>
      <c r="C141" s="31" t="s">
        <v>63</v>
      </c>
      <c r="D141" s="32">
        <v>2.2004336E7</v>
      </c>
      <c r="E141" s="33" t="s">
        <v>948</v>
      </c>
      <c r="F141" s="34">
        <v>46296.0</v>
      </c>
      <c r="G141" s="34"/>
      <c r="H141" s="34">
        <v>46268.0</v>
      </c>
      <c r="I141" s="31" t="s">
        <v>83</v>
      </c>
      <c r="J141" s="31" t="s">
        <v>108</v>
      </c>
      <c r="K141" s="31">
        <v>32.0</v>
      </c>
      <c r="L141" s="37">
        <v>3877.6</v>
      </c>
      <c r="M141" s="30">
        <f t="shared" si="1"/>
        <v>121.175</v>
      </c>
      <c r="N141" s="136">
        <v>0.2</v>
      </c>
      <c r="O141" s="30">
        <f>IF($L141="","",$L141*IF($N141="",Settings!$J$11,$N141))</f>
        <v>775.52</v>
      </c>
      <c r="P141" s="30">
        <f t="shared" si="2"/>
        <v>4653.12</v>
      </c>
      <c r="Q141" s="31" t="s">
        <v>79</v>
      </c>
      <c r="R141" s="37"/>
      <c r="S141" s="30">
        <f>IF($L141="","",IF($Q141&lt;&gt;"Yes",0,IF($R141&lt;&gt;"",$R141,ROUND($L141*Settings!$J$4,2))))</f>
        <v>387.76</v>
      </c>
      <c r="T141" s="40">
        <f t="shared" si="3"/>
        <v>5040.88</v>
      </c>
      <c r="U141" s="30">
        <f t="shared" si="4"/>
        <v>2714.32</v>
      </c>
      <c r="V141" s="37">
        <v>4903.12</v>
      </c>
      <c r="W141" s="31" t="s">
        <v>85</v>
      </c>
      <c r="X141" s="34">
        <v>46279.0</v>
      </c>
      <c r="Y141" s="37"/>
      <c r="Z141" s="31"/>
      <c r="AA141" s="34"/>
      <c r="AB141" s="37"/>
      <c r="AC141" s="31"/>
      <c r="AD141" s="34"/>
      <c r="AE141" s="30">
        <f t="shared" si="5"/>
        <v>4903.12</v>
      </c>
      <c r="AF141" s="41">
        <f t="shared" si="6"/>
        <v>1</v>
      </c>
      <c r="AG141" s="40">
        <f t="shared" si="7"/>
        <v>0</v>
      </c>
      <c r="AH141" s="32" t="str">
        <f>IF(OR($L141="",$H141="",$AG141&lt;=0),"",MAX(0,TODAY()-($H141+Settings!$J$6)))</f>
        <v/>
      </c>
      <c r="AI141" s="37">
        <v>387.76</v>
      </c>
      <c r="AJ141" s="33"/>
      <c r="AK141" s="31"/>
      <c r="AL141" s="31"/>
      <c r="AM141" s="31"/>
      <c r="AN141" s="34"/>
      <c r="AO141" s="44">
        <f t="shared" si="8"/>
        <v>0</v>
      </c>
      <c r="AP141" s="48">
        <f t="shared" si="9"/>
        <v>3877.6</v>
      </c>
      <c r="AQ141" s="33" t="s">
        <v>949</v>
      </c>
      <c r="AR141" s="49">
        <f t="shared" si="10"/>
        <v>46296</v>
      </c>
      <c r="AS141" s="49">
        <f t="shared" si="11"/>
        <v>46296</v>
      </c>
      <c r="AT141" s="32">
        <f t="shared" si="12"/>
        <v>2026</v>
      </c>
    </row>
    <row r="142" ht="18.0" customHeight="1">
      <c r="A142" s="31" t="s">
        <v>61</v>
      </c>
      <c r="B142" s="31" t="s">
        <v>62</v>
      </c>
      <c r="C142" s="31" t="s">
        <v>63</v>
      </c>
      <c r="D142" s="32">
        <v>2.2004337E7</v>
      </c>
      <c r="E142" s="33" t="s">
        <v>198</v>
      </c>
      <c r="F142" s="34">
        <v>46288.0</v>
      </c>
      <c r="G142" s="34"/>
      <c r="H142" s="34">
        <v>46272.0</v>
      </c>
      <c r="I142" s="31" t="s">
        <v>83</v>
      </c>
      <c r="J142" s="132" t="s">
        <v>76</v>
      </c>
      <c r="K142" s="31">
        <v>10.0</v>
      </c>
      <c r="L142" s="37">
        <v>885.0</v>
      </c>
      <c r="M142" s="30">
        <f t="shared" si="1"/>
        <v>88.5</v>
      </c>
      <c r="N142" s="136">
        <v>0.2</v>
      </c>
      <c r="O142" s="30">
        <f>IF($L142="","",$L142*IF($N142="",Settings!$J$11,$N142))</f>
        <v>177</v>
      </c>
      <c r="P142" s="30">
        <f t="shared" si="2"/>
        <v>1062</v>
      </c>
      <c r="Q142" s="31" t="s">
        <v>84</v>
      </c>
      <c r="R142" s="37"/>
      <c r="S142" s="30">
        <f>IF($L142="","",IF($Q142&lt;&gt;"Yes",0,IF($R142&lt;&gt;"",$R142,ROUND($L142*Settings!$J$4,2))))</f>
        <v>0</v>
      </c>
      <c r="T142" s="40">
        <f t="shared" si="3"/>
        <v>1062</v>
      </c>
      <c r="U142" s="30">
        <f t="shared" si="4"/>
        <v>531</v>
      </c>
      <c r="V142" s="133">
        <v>1062.0</v>
      </c>
      <c r="W142" s="132" t="s">
        <v>85</v>
      </c>
      <c r="X142" s="134">
        <v>46275.0</v>
      </c>
      <c r="Y142" s="37"/>
      <c r="Z142" s="31"/>
      <c r="AA142" s="34"/>
      <c r="AB142" s="37"/>
      <c r="AC142" s="31"/>
      <c r="AD142" s="34"/>
      <c r="AE142" s="30">
        <f t="shared" si="5"/>
        <v>1062</v>
      </c>
      <c r="AF142" s="41">
        <f t="shared" si="6"/>
        <v>1</v>
      </c>
      <c r="AG142" s="40">
        <f t="shared" si="7"/>
        <v>0</v>
      </c>
      <c r="AH142" s="32" t="str">
        <f>IF(OR($L142="",$H142="",$AG142&lt;=0),"",MAX(0,TODAY()-($H142+Settings!$J$6)))</f>
        <v/>
      </c>
      <c r="AI142" s="37"/>
      <c r="AJ142" s="33"/>
      <c r="AK142" s="31"/>
      <c r="AL142" s="31"/>
      <c r="AM142" s="31"/>
      <c r="AN142" s="34"/>
      <c r="AO142" s="44">
        <f t="shared" si="8"/>
        <v>0</v>
      </c>
      <c r="AP142" s="48">
        <f t="shared" si="9"/>
        <v>885</v>
      </c>
      <c r="AQ142" s="33"/>
      <c r="AR142" s="49">
        <f t="shared" si="10"/>
        <v>46288</v>
      </c>
      <c r="AS142" s="49">
        <f t="shared" si="11"/>
        <v>46266</v>
      </c>
      <c r="AT142" s="32">
        <f t="shared" si="12"/>
        <v>2026</v>
      </c>
    </row>
    <row r="143" ht="18.0" customHeight="1">
      <c r="A143" s="31" t="s">
        <v>61</v>
      </c>
      <c r="B143" s="31" t="s">
        <v>62</v>
      </c>
      <c r="C143" s="31" t="s">
        <v>63</v>
      </c>
      <c r="D143" s="32">
        <v>2.2004338E7</v>
      </c>
      <c r="E143" s="33" t="s">
        <v>950</v>
      </c>
      <c r="F143" s="34">
        <v>46276.0</v>
      </c>
      <c r="G143" s="34"/>
      <c r="H143" s="34">
        <v>46272.0</v>
      </c>
      <c r="I143" s="31" t="s">
        <v>83</v>
      </c>
      <c r="J143" s="31" t="s">
        <v>76</v>
      </c>
      <c r="K143" s="31">
        <v>2.0</v>
      </c>
      <c r="L143" s="37">
        <v>350.0</v>
      </c>
      <c r="M143" s="30">
        <f t="shared" si="1"/>
        <v>175</v>
      </c>
      <c r="N143" s="136">
        <v>0.2</v>
      </c>
      <c r="O143" s="30">
        <f>IF($L143="","",$L143*IF($N143="",Settings!$J$11,$N143))</f>
        <v>70</v>
      </c>
      <c r="P143" s="30">
        <f t="shared" si="2"/>
        <v>420</v>
      </c>
      <c r="Q143" s="31" t="s">
        <v>84</v>
      </c>
      <c r="R143" s="37"/>
      <c r="S143" s="30">
        <f>IF($L143="","",IF($Q143&lt;&gt;"Yes",0,IF($R143&lt;&gt;"",$R143,ROUND($L143*Settings!$J$4,2))))</f>
        <v>0</v>
      </c>
      <c r="T143" s="40">
        <f t="shared" si="3"/>
        <v>420</v>
      </c>
      <c r="U143" s="30">
        <f t="shared" si="4"/>
        <v>210</v>
      </c>
      <c r="V143" s="37">
        <v>420.0</v>
      </c>
      <c r="W143" s="31" t="s">
        <v>80</v>
      </c>
      <c r="X143" s="34">
        <v>46273.0</v>
      </c>
      <c r="Y143" s="37"/>
      <c r="Z143" s="31"/>
      <c r="AA143" s="34"/>
      <c r="AB143" s="37"/>
      <c r="AC143" s="31"/>
      <c r="AD143" s="34"/>
      <c r="AE143" s="30">
        <f t="shared" si="5"/>
        <v>420</v>
      </c>
      <c r="AF143" s="41">
        <f t="shared" si="6"/>
        <v>1</v>
      </c>
      <c r="AG143" s="40">
        <f t="shared" si="7"/>
        <v>0</v>
      </c>
      <c r="AH143" s="32" t="str">
        <f>IF(OR($L143="",$H143="",$AG143&lt;=0),"",MAX(0,TODAY()-($H143+Settings!$J$6)))</f>
        <v/>
      </c>
      <c r="AI143" s="37"/>
      <c r="AJ143" s="33"/>
      <c r="AK143" s="31"/>
      <c r="AL143" s="31"/>
      <c r="AM143" s="31"/>
      <c r="AN143" s="34"/>
      <c r="AO143" s="44">
        <f t="shared" si="8"/>
        <v>0</v>
      </c>
      <c r="AP143" s="48">
        <f t="shared" si="9"/>
        <v>350</v>
      </c>
      <c r="AQ143" s="33"/>
      <c r="AR143" s="49">
        <f t="shared" si="10"/>
        <v>46276</v>
      </c>
      <c r="AS143" s="49">
        <f t="shared" si="11"/>
        <v>46266</v>
      </c>
      <c r="AT143" s="32">
        <f t="shared" si="12"/>
        <v>2026</v>
      </c>
    </row>
    <row r="144" ht="18.0" customHeight="1">
      <c r="A144" s="31" t="s">
        <v>61</v>
      </c>
      <c r="B144" s="31" t="s">
        <v>62</v>
      </c>
      <c r="C144" s="31" t="s">
        <v>63</v>
      </c>
      <c r="D144" s="32">
        <v>2.2004339E7</v>
      </c>
      <c r="E144" s="33" t="s">
        <v>951</v>
      </c>
      <c r="F144" s="34">
        <v>46279.0</v>
      </c>
      <c r="G144" s="34"/>
      <c r="H144" s="34">
        <v>46274.0</v>
      </c>
      <c r="I144" s="31" t="s">
        <v>73</v>
      </c>
      <c r="J144" s="31" t="s">
        <v>76</v>
      </c>
      <c r="K144" s="31">
        <v>120.0</v>
      </c>
      <c r="L144" s="37">
        <v>3355.0</v>
      </c>
      <c r="M144" s="30">
        <f t="shared" si="1"/>
        <v>27.95833333</v>
      </c>
      <c r="N144" s="136">
        <v>0.2</v>
      </c>
      <c r="O144" s="30">
        <f>IF($L144="","",$L144*IF($N144="",Settings!$J$11,$N144))</f>
        <v>671</v>
      </c>
      <c r="P144" s="30">
        <f t="shared" si="2"/>
        <v>4026</v>
      </c>
      <c r="Q144" s="31" t="s">
        <v>84</v>
      </c>
      <c r="R144" s="37"/>
      <c r="S144" s="30">
        <f>IF($L144="","",IF($Q144&lt;&gt;"Yes",0,IF($R144&lt;&gt;"",$R144,ROUND($L144*Settings!$J$4,2))))</f>
        <v>0</v>
      </c>
      <c r="T144" s="40">
        <f t="shared" si="3"/>
        <v>4026</v>
      </c>
      <c r="U144" s="30">
        <f t="shared" si="4"/>
        <v>2013</v>
      </c>
      <c r="V144" s="37">
        <v>4026.0</v>
      </c>
      <c r="W144" s="31" t="s">
        <v>80</v>
      </c>
      <c r="X144" s="34">
        <v>46274.0</v>
      </c>
      <c r="Y144" s="37"/>
      <c r="Z144" s="31"/>
      <c r="AA144" s="34"/>
      <c r="AB144" s="37"/>
      <c r="AC144" s="31"/>
      <c r="AD144" s="34"/>
      <c r="AE144" s="30">
        <f t="shared" si="5"/>
        <v>4026</v>
      </c>
      <c r="AF144" s="41">
        <f t="shared" si="6"/>
        <v>1</v>
      </c>
      <c r="AG144" s="40">
        <f t="shared" si="7"/>
        <v>0</v>
      </c>
      <c r="AH144" s="32" t="str">
        <f>IF(OR($L144="",$H144="",$AG144&lt;=0),"",MAX(0,TODAY()-($H144+Settings!$J$6)))</f>
        <v/>
      </c>
      <c r="AI144" s="37"/>
      <c r="AJ144" s="33"/>
      <c r="AK144" s="31"/>
      <c r="AL144" s="31"/>
      <c r="AM144" s="31"/>
      <c r="AN144" s="34"/>
      <c r="AO144" s="44">
        <f t="shared" si="8"/>
        <v>0</v>
      </c>
      <c r="AP144" s="48">
        <f t="shared" si="9"/>
        <v>3355</v>
      </c>
      <c r="AQ144" s="33"/>
      <c r="AR144" s="49">
        <f t="shared" si="10"/>
        <v>46279</v>
      </c>
      <c r="AS144" s="49">
        <f t="shared" si="11"/>
        <v>46266</v>
      </c>
      <c r="AT144" s="32">
        <f t="shared" si="12"/>
        <v>2026</v>
      </c>
    </row>
    <row r="145" ht="18.0" customHeight="1">
      <c r="A145" s="31" t="s">
        <v>61</v>
      </c>
      <c r="B145" s="31" t="s">
        <v>62</v>
      </c>
      <c r="C145" s="31" t="s">
        <v>63</v>
      </c>
      <c r="D145" s="32">
        <v>2.200434E7</v>
      </c>
      <c r="E145" s="33" t="s">
        <v>577</v>
      </c>
      <c r="F145" s="34">
        <v>46282.0</v>
      </c>
      <c r="G145" s="34"/>
      <c r="H145" s="34">
        <v>46274.0</v>
      </c>
      <c r="I145" s="31" t="s">
        <v>83</v>
      </c>
      <c r="J145" s="132" t="s">
        <v>76</v>
      </c>
      <c r="K145" s="31">
        <v>20.0</v>
      </c>
      <c r="L145" s="37">
        <v>2108.0</v>
      </c>
      <c r="M145" s="30">
        <f t="shared" si="1"/>
        <v>105.4</v>
      </c>
      <c r="N145" s="136">
        <v>0.2</v>
      </c>
      <c r="O145" s="30">
        <f>IF($L145="","",$L145*IF($N145="",Settings!$J$11,$N145))</f>
        <v>421.6</v>
      </c>
      <c r="P145" s="30">
        <f t="shared" si="2"/>
        <v>2529.6</v>
      </c>
      <c r="Q145" s="31" t="s">
        <v>79</v>
      </c>
      <c r="R145" s="37"/>
      <c r="S145" s="30">
        <f>IF($L145="","",IF($Q145&lt;&gt;"Yes",0,IF($R145&lt;&gt;"",$R145,ROUND($L145*Settings!$J$4,2))))</f>
        <v>210.8</v>
      </c>
      <c r="T145" s="40">
        <f t="shared" si="3"/>
        <v>2740.4</v>
      </c>
      <c r="U145" s="30">
        <f t="shared" si="4"/>
        <v>1475.6</v>
      </c>
      <c r="V145" s="37">
        <v>2740.4</v>
      </c>
      <c r="W145" s="31" t="s">
        <v>80</v>
      </c>
      <c r="X145" s="34">
        <v>46276.0</v>
      </c>
      <c r="Y145" s="37"/>
      <c r="Z145" s="31"/>
      <c r="AA145" s="34"/>
      <c r="AB145" s="37"/>
      <c r="AC145" s="31"/>
      <c r="AD145" s="34"/>
      <c r="AE145" s="30">
        <f t="shared" si="5"/>
        <v>2740.4</v>
      </c>
      <c r="AF145" s="41">
        <f t="shared" si="6"/>
        <v>1</v>
      </c>
      <c r="AG145" s="40">
        <f t="shared" si="7"/>
        <v>0</v>
      </c>
      <c r="AH145" s="32" t="str">
        <f>IF(OR($L145="",$H145="",$AG145&lt;=0),"",MAX(0,TODAY()-($H145+Settings!$J$6)))</f>
        <v/>
      </c>
      <c r="AI145" s="133">
        <v>295.28</v>
      </c>
      <c r="AJ145" s="33"/>
      <c r="AK145" s="31"/>
      <c r="AL145" s="31"/>
      <c r="AM145" s="132" t="s">
        <v>80</v>
      </c>
      <c r="AN145" s="134">
        <v>46286.0</v>
      </c>
      <c r="AO145" s="44">
        <f t="shared" si="8"/>
        <v>-84.48</v>
      </c>
      <c r="AP145" s="48">
        <f t="shared" si="9"/>
        <v>2023.52</v>
      </c>
      <c r="AQ145" s="33"/>
      <c r="AR145" s="49">
        <f t="shared" si="10"/>
        <v>46282</v>
      </c>
      <c r="AS145" s="49">
        <f t="shared" si="11"/>
        <v>46266</v>
      </c>
      <c r="AT145" s="32">
        <f t="shared" si="12"/>
        <v>2026</v>
      </c>
    </row>
    <row r="146" ht="18.0" customHeight="1">
      <c r="A146" s="31" t="s">
        <v>61</v>
      </c>
      <c r="B146" s="31" t="s">
        <v>62</v>
      </c>
      <c r="C146" s="31" t="s">
        <v>251</v>
      </c>
      <c r="D146" s="32">
        <v>2.2004341E7</v>
      </c>
      <c r="E146" s="33" t="s">
        <v>952</v>
      </c>
      <c r="F146" s="34">
        <v>46284.0</v>
      </c>
      <c r="G146" s="34"/>
      <c r="H146" s="34">
        <v>46279.0</v>
      </c>
      <c r="I146" s="31" t="s">
        <v>73</v>
      </c>
      <c r="J146" s="132" t="s">
        <v>76</v>
      </c>
      <c r="K146" s="31">
        <v>26.0</v>
      </c>
      <c r="L146" s="37">
        <v>2317.4</v>
      </c>
      <c r="M146" s="30">
        <f t="shared" si="1"/>
        <v>89.13076923</v>
      </c>
      <c r="N146" s="136">
        <v>0.2</v>
      </c>
      <c r="O146" s="30">
        <f>IF($L146="","",$L146*IF($N146="",Settings!$J$11,$N146))</f>
        <v>463.48</v>
      </c>
      <c r="P146" s="30">
        <f t="shared" si="2"/>
        <v>2780.88</v>
      </c>
      <c r="Q146" s="31" t="s">
        <v>79</v>
      </c>
      <c r="R146" s="37"/>
      <c r="S146" s="30">
        <f>IF($L146="","",IF($Q146&lt;&gt;"Yes",0,IF($R146&lt;&gt;"",$R146,ROUND($L146*Settings!$J$4,2))))</f>
        <v>231.74</v>
      </c>
      <c r="T146" s="40">
        <f t="shared" si="3"/>
        <v>3012.62</v>
      </c>
      <c r="U146" s="30">
        <f t="shared" si="4"/>
        <v>1622.18</v>
      </c>
      <c r="V146" s="37">
        <v>3012.62</v>
      </c>
      <c r="W146" s="31" t="s">
        <v>80</v>
      </c>
      <c r="X146" s="34">
        <v>46280.0</v>
      </c>
      <c r="Y146" s="37"/>
      <c r="Z146" s="31"/>
      <c r="AA146" s="34"/>
      <c r="AB146" s="37"/>
      <c r="AC146" s="31"/>
      <c r="AD146" s="34"/>
      <c r="AE146" s="30">
        <f t="shared" si="5"/>
        <v>3012.62</v>
      </c>
      <c r="AF146" s="41">
        <f t="shared" si="6"/>
        <v>1</v>
      </c>
      <c r="AG146" s="40">
        <f t="shared" si="7"/>
        <v>0</v>
      </c>
      <c r="AH146" s="32" t="str">
        <f>IF(OR($L146="",$H146="",$AG146&lt;=0),"",MAX(0,TODAY()-($H146+Settings!$J$6)))</f>
        <v/>
      </c>
      <c r="AI146" s="133">
        <v>123.74</v>
      </c>
      <c r="AJ146" s="33"/>
      <c r="AK146" s="31"/>
      <c r="AL146" s="31"/>
      <c r="AM146" s="132" t="s">
        <v>80</v>
      </c>
      <c r="AN146" s="134">
        <v>46286.0</v>
      </c>
      <c r="AO146" s="44">
        <f t="shared" si="8"/>
        <v>108</v>
      </c>
      <c r="AP146" s="48">
        <f t="shared" si="9"/>
        <v>2425.4</v>
      </c>
      <c r="AQ146" s="33"/>
      <c r="AR146" s="49">
        <f t="shared" si="10"/>
        <v>46284</v>
      </c>
      <c r="AS146" s="49">
        <f t="shared" si="11"/>
        <v>46266</v>
      </c>
      <c r="AT146" s="32">
        <f t="shared" si="12"/>
        <v>2026</v>
      </c>
    </row>
    <row r="147" ht="18.0" customHeight="1">
      <c r="A147" s="31" t="s">
        <v>61</v>
      </c>
      <c r="B147" s="31" t="s">
        <v>62</v>
      </c>
      <c r="C147" s="31" t="s">
        <v>251</v>
      </c>
      <c r="D147" s="32">
        <v>2.2004342E7</v>
      </c>
      <c r="E147" s="33" t="s">
        <v>200</v>
      </c>
      <c r="F147" s="34">
        <v>46308.0</v>
      </c>
      <c r="G147" s="34"/>
      <c r="H147" s="34">
        <v>46279.0</v>
      </c>
      <c r="I147" s="31" t="s">
        <v>83</v>
      </c>
      <c r="J147" s="31"/>
      <c r="K147" s="31">
        <v>60.0</v>
      </c>
      <c r="L147" s="37">
        <v>14322.25</v>
      </c>
      <c r="M147" s="30">
        <f t="shared" si="1"/>
        <v>238.7041667</v>
      </c>
      <c r="N147" s="136">
        <v>0.2</v>
      </c>
      <c r="O147" s="30">
        <f>IF($L147="","",$L147*IF($N147="",Settings!$J$11,$N147))</f>
        <v>2864.45</v>
      </c>
      <c r="P147" s="30">
        <f t="shared" si="2"/>
        <v>17186.7</v>
      </c>
      <c r="Q147" s="31" t="s">
        <v>79</v>
      </c>
      <c r="R147" s="37"/>
      <c r="S147" s="30">
        <f>IF($L147="","",IF($Q147&lt;&gt;"Yes",0,IF($R147&lt;&gt;"",$R147,ROUND($L147*Settings!$J$4,2))))</f>
        <v>1432.23</v>
      </c>
      <c r="T147" s="40">
        <f t="shared" si="3"/>
        <v>18618.93</v>
      </c>
      <c r="U147" s="30">
        <f t="shared" si="4"/>
        <v>10025.58</v>
      </c>
      <c r="V147" s="37"/>
      <c r="W147" s="31"/>
      <c r="X147" s="34"/>
      <c r="Y147" s="37"/>
      <c r="Z147" s="31"/>
      <c r="AA147" s="34"/>
      <c r="AB147" s="37"/>
      <c r="AC147" s="31"/>
      <c r="AD147" s="34"/>
      <c r="AE147" s="30">
        <f t="shared" si="5"/>
        <v>0</v>
      </c>
      <c r="AF147" s="41">
        <f t="shared" si="6"/>
        <v>0</v>
      </c>
      <c r="AG147" s="40">
        <f t="shared" si="7"/>
        <v>18618.93</v>
      </c>
      <c r="AH147" s="32">
        <f>IF(OR($L147="",$H147="",$AG147&lt;=0),"",MAX(0,TODAY()-($H147+Settings!$J$6)))</f>
        <v>0</v>
      </c>
      <c r="AI147" s="37"/>
      <c r="AJ147" s="33"/>
      <c r="AK147" s="31"/>
      <c r="AL147" s="31"/>
      <c r="AM147" s="31"/>
      <c r="AN147" s="34"/>
      <c r="AO147" s="44">
        <f t="shared" si="8"/>
        <v>0</v>
      </c>
      <c r="AP147" s="48">
        <f t="shared" si="9"/>
        <v>14322.25</v>
      </c>
      <c r="AQ147" s="33" t="s">
        <v>953</v>
      </c>
      <c r="AR147" s="49">
        <f t="shared" si="10"/>
        <v>46308</v>
      </c>
      <c r="AS147" s="49">
        <f t="shared" si="11"/>
        <v>46296</v>
      </c>
      <c r="AT147" s="32">
        <f t="shared" si="12"/>
        <v>2026</v>
      </c>
    </row>
    <row r="148" ht="18.0" customHeight="1">
      <c r="A148" s="31" t="s">
        <v>61</v>
      </c>
      <c r="B148" s="31" t="s">
        <v>62</v>
      </c>
      <c r="C148" s="31" t="s">
        <v>63</v>
      </c>
      <c r="D148" s="32">
        <v>2.2004343E7</v>
      </c>
      <c r="E148" s="33" t="s">
        <v>197</v>
      </c>
      <c r="F148" s="34">
        <v>46288.0</v>
      </c>
      <c r="G148" s="34"/>
      <c r="H148" s="34">
        <v>46281.0</v>
      </c>
      <c r="I148" s="31" t="s">
        <v>83</v>
      </c>
      <c r="J148" s="31" t="s">
        <v>76</v>
      </c>
      <c r="K148" s="31">
        <v>15.0</v>
      </c>
      <c r="L148" s="37">
        <v>968.7</v>
      </c>
      <c r="M148" s="30">
        <f t="shared" si="1"/>
        <v>64.58</v>
      </c>
      <c r="N148" s="136">
        <v>0.2</v>
      </c>
      <c r="O148" s="30">
        <f>IF($L148="","",$L148*IF($N148="",Settings!$J$11,$N148))</f>
        <v>193.74</v>
      </c>
      <c r="P148" s="30">
        <f t="shared" si="2"/>
        <v>1162.44</v>
      </c>
      <c r="Q148" s="31" t="s">
        <v>84</v>
      </c>
      <c r="R148" s="37"/>
      <c r="S148" s="30">
        <f>IF($L148="","",IF($Q148&lt;&gt;"Yes",0,IF($R148&lt;&gt;"",$R148,ROUND($L148*Settings!$J$4,2))))</f>
        <v>0</v>
      </c>
      <c r="T148" s="40">
        <f t="shared" si="3"/>
        <v>1162.44</v>
      </c>
      <c r="U148" s="30">
        <f t="shared" si="4"/>
        <v>581.22</v>
      </c>
      <c r="V148" s="37">
        <v>966.72</v>
      </c>
      <c r="W148" s="31" t="s">
        <v>80</v>
      </c>
      <c r="X148" s="34">
        <v>46281.0</v>
      </c>
      <c r="Y148" s="37"/>
      <c r="Z148" s="31"/>
      <c r="AA148" s="34"/>
      <c r="AB148" s="37"/>
      <c r="AC148" s="31"/>
      <c r="AD148" s="34"/>
      <c r="AE148" s="30">
        <f t="shared" si="5"/>
        <v>966.72</v>
      </c>
      <c r="AF148" s="41">
        <f t="shared" si="6"/>
        <v>1</v>
      </c>
      <c r="AG148" s="40">
        <f t="shared" si="7"/>
        <v>0</v>
      </c>
      <c r="AH148" s="32" t="str">
        <f>IF(OR($L148="",$H148="",$AG148&lt;=0),"",MAX(0,TODAY()-($H148+Settings!$J$6)))</f>
        <v/>
      </c>
      <c r="AI148" s="37"/>
      <c r="AJ148" s="33"/>
      <c r="AK148" s="31"/>
      <c r="AL148" s="31"/>
      <c r="AM148" s="31"/>
      <c r="AN148" s="34"/>
      <c r="AO148" s="44">
        <f t="shared" si="8"/>
        <v>0</v>
      </c>
      <c r="AP148" s="48">
        <f t="shared" si="9"/>
        <v>968.7</v>
      </c>
      <c r="AQ148" s="33"/>
      <c r="AR148" s="49">
        <f t="shared" si="10"/>
        <v>46288</v>
      </c>
      <c r="AS148" s="49">
        <f t="shared" si="11"/>
        <v>46266</v>
      </c>
      <c r="AT148" s="32">
        <f t="shared" si="12"/>
        <v>2026</v>
      </c>
    </row>
    <row r="149" ht="18.0" customHeight="1">
      <c r="A149" s="31" t="s">
        <v>61</v>
      </c>
      <c r="B149" s="31" t="s">
        <v>62</v>
      </c>
      <c r="C149" s="31" t="s">
        <v>63</v>
      </c>
      <c r="D149" s="32">
        <v>2.2004344E7</v>
      </c>
      <c r="E149" s="33" t="s">
        <v>171</v>
      </c>
      <c r="F149" s="34">
        <v>46296.0</v>
      </c>
      <c r="G149" s="34"/>
      <c r="H149" s="34">
        <v>46281.0</v>
      </c>
      <c r="I149" s="31" t="s">
        <v>83</v>
      </c>
      <c r="J149" s="132" t="s">
        <v>108</v>
      </c>
      <c r="K149" s="31">
        <v>30.0</v>
      </c>
      <c r="L149" s="37">
        <v>1934.0</v>
      </c>
      <c r="M149" s="30">
        <f t="shared" si="1"/>
        <v>64.46666667</v>
      </c>
      <c r="N149" s="136">
        <v>0.2</v>
      </c>
      <c r="O149" s="30">
        <f>IF($L149="","",$L149*IF($N149="",Settings!$J$11,$N149))</f>
        <v>386.8</v>
      </c>
      <c r="P149" s="30">
        <f t="shared" si="2"/>
        <v>2320.8</v>
      </c>
      <c r="Q149" s="31" t="s">
        <v>79</v>
      </c>
      <c r="R149" s="37"/>
      <c r="S149" s="30">
        <f>IF($L149="","",IF($Q149&lt;&gt;"Yes",0,IF($R149&lt;&gt;"",$R149,ROUND($L149*Settings!$J$4,2))))</f>
        <v>193.4</v>
      </c>
      <c r="T149" s="40">
        <f t="shared" si="3"/>
        <v>2514.2</v>
      </c>
      <c r="U149" s="30">
        <f t="shared" si="4"/>
        <v>1353.8</v>
      </c>
      <c r="V149" s="133">
        <v>2513.8</v>
      </c>
      <c r="W149" s="132" t="s">
        <v>85</v>
      </c>
      <c r="X149" s="134">
        <v>46287.0</v>
      </c>
      <c r="Y149" s="37"/>
      <c r="Z149" s="31"/>
      <c r="AA149" s="34"/>
      <c r="AB149" s="37"/>
      <c r="AC149" s="31"/>
      <c r="AD149" s="34"/>
      <c r="AE149" s="30">
        <f t="shared" si="5"/>
        <v>2513.8</v>
      </c>
      <c r="AF149" s="41">
        <f t="shared" si="6"/>
        <v>1</v>
      </c>
      <c r="AG149" s="40">
        <f t="shared" si="7"/>
        <v>0</v>
      </c>
      <c r="AH149" s="32" t="str">
        <f>IF(OR($L149="",$H149="",$AG149&lt;=0),"",MAX(0,TODAY()-($H149+Settings!$J$6)))</f>
        <v/>
      </c>
      <c r="AI149" s="37"/>
      <c r="AJ149" s="33"/>
      <c r="AK149" s="31"/>
      <c r="AL149" s="31"/>
      <c r="AM149" s="31"/>
      <c r="AN149" s="34"/>
      <c r="AO149" s="44">
        <f t="shared" si="8"/>
        <v>0</v>
      </c>
      <c r="AP149" s="48">
        <f t="shared" si="9"/>
        <v>1934</v>
      </c>
      <c r="AQ149" s="33"/>
      <c r="AR149" s="49">
        <f t="shared" si="10"/>
        <v>46296</v>
      </c>
      <c r="AS149" s="49">
        <f t="shared" si="11"/>
        <v>46296</v>
      </c>
      <c r="AT149" s="32">
        <f t="shared" si="12"/>
        <v>2026</v>
      </c>
    </row>
    <row r="150" ht="18.0" customHeight="1">
      <c r="A150" s="31" t="s">
        <v>61</v>
      </c>
      <c r="B150" s="31" t="s">
        <v>62</v>
      </c>
      <c r="C150" s="31" t="s">
        <v>63</v>
      </c>
      <c r="D150" s="32">
        <v>2.2004345E7</v>
      </c>
      <c r="E150" s="33" t="s">
        <v>139</v>
      </c>
      <c r="F150" s="34">
        <v>46288.0</v>
      </c>
      <c r="G150" s="34"/>
      <c r="H150" s="34">
        <v>46281.0</v>
      </c>
      <c r="I150" s="31" t="s">
        <v>83</v>
      </c>
      <c r="J150" s="132" t="s">
        <v>76</v>
      </c>
      <c r="K150" s="31">
        <v>45.0</v>
      </c>
      <c r="L150" s="37">
        <v>1204.5</v>
      </c>
      <c r="M150" s="30">
        <f t="shared" si="1"/>
        <v>26.76666667</v>
      </c>
      <c r="N150" s="136">
        <v>0.2</v>
      </c>
      <c r="O150" s="30">
        <f>IF($L150="","",$L150*IF($N150="",Settings!$J$11,$N150))</f>
        <v>240.9</v>
      </c>
      <c r="P150" s="30">
        <f t="shared" si="2"/>
        <v>1445.4</v>
      </c>
      <c r="Q150" s="31" t="s">
        <v>84</v>
      </c>
      <c r="R150" s="37"/>
      <c r="S150" s="30">
        <f>IF($L150="","",IF($Q150&lt;&gt;"Yes",0,IF($R150&lt;&gt;"",$R150,ROUND($L150*Settings!$J$4,2))))</f>
        <v>0</v>
      </c>
      <c r="T150" s="40">
        <f t="shared" si="3"/>
        <v>1445.4</v>
      </c>
      <c r="U150" s="30">
        <f t="shared" si="4"/>
        <v>722.7</v>
      </c>
      <c r="V150" s="133">
        <v>1455.4</v>
      </c>
      <c r="W150" s="132" t="s">
        <v>85</v>
      </c>
      <c r="X150" s="134">
        <v>46289.0</v>
      </c>
      <c r="Y150" s="37"/>
      <c r="Z150" s="31"/>
      <c r="AA150" s="34"/>
      <c r="AB150" s="37"/>
      <c r="AC150" s="31"/>
      <c r="AD150" s="34"/>
      <c r="AE150" s="30">
        <f t="shared" si="5"/>
        <v>1455.4</v>
      </c>
      <c r="AF150" s="41">
        <f t="shared" si="6"/>
        <v>1</v>
      </c>
      <c r="AG150" s="40">
        <f t="shared" si="7"/>
        <v>0</v>
      </c>
      <c r="AH150" s="32" t="str">
        <f>IF(OR($L150="",$H150="",$AG150&lt;=0),"",MAX(0,TODAY()-($H150+Settings!$J$6)))</f>
        <v/>
      </c>
      <c r="AI150" s="37"/>
      <c r="AJ150" s="33"/>
      <c r="AK150" s="31"/>
      <c r="AL150" s="31"/>
      <c r="AM150" s="31"/>
      <c r="AN150" s="34"/>
      <c r="AO150" s="44">
        <f t="shared" si="8"/>
        <v>0</v>
      </c>
      <c r="AP150" s="48">
        <f t="shared" si="9"/>
        <v>1204.5</v>
      </c>
      <c r="AQ150" s="33" t="s">
        <v>954</v>
      </c>
      <c r="AR150" s="49">
        <f t="shared" si="10"/>
        <v>46288</v>
      </c>
      <c r="AS150" s="49">
        <f t="shared" si="11"/>
        <v>46266</v>
      </c>
      <c r="AT150" s="32">
        <f t="shared" si="12"/>
        <v>2026</v>
      </c>
    </row>
    <row r="151" ht="18.0" customHeight="1">
      <c r="A151" s="31" t="s">
        <v>61</v>
      </c>
      <c r="B151" s="31" t="s">
        <v>62</v>
      </c>
      <c r="C151" s="31" t="s">
        <v>63</v>
      </c>
      <c r="D151" s="32">
        <v>2.2004346E7</v>
      </c>
      <c r="E151" s="33" t="s">
        <v>468</v>
      </c>
      <c r="F151" s="34">
        <v>46288.0</v>
      </c>
      <c r="G151" s="34"/>
      <c r="H151" s="34">
        <v>46281.0</v>
      </c>
      <c r="I151" s="31" t="s">
        <v>83</v>
      </c>
      <c r="J151" s="31" t="s">
        <v>76</v>
      </c>
      <c r="K151" s="31">
        <v>30.0</v>
      </c>
      <c r="L151" s="133">
        <v>741.0</v>
      </c>
      <c r="M151" s="30">
        <f t="shared" si="1"/>
        <v>24.7</v>
      </c>
      <c r="N151" s="136">
        <v>0.2</v>
      </c>
      <c r="O151" s="30">
        <f>IF($L151="","",$L151*IF($N151="",Settings!$J$11,$N151))</f>
        <v>148.2</v>
      </c>
      <c r="P151" s="30">
        <f t="shared" si="2"/>
        <v>889.2</v>
      </c>
      <c r="Q151" s="31" t="s">
        <v>84</v>
      </c>
      <c r="R151" s="37"/>
      <c r="S151" s="30">
        <f>IF($L151="","",IF($Q151&lt;&gt;"Yes",0,IF($R151&lt;&gt;"",$R151,ROUND($L151*Settings!$J$4,2))))</f>
        <v>0</v>
      </c>
      <c r="T151" s="40">
        <f t="shared" si="3"/>
        <v>889.2</v>
      </c>
      <c r="U151" s="30">
        <f t="shared" si="4"/>
        <v>444.6</v>
      </c>
      <c r="V151" s="37">
        <v>1778.4</v>
      </c>
      <c r="W151" s="31" t="s">
        <v>80</v>
      </c>
      <c r="X151" s="34">
        <v>46281.0</v>
      </c>
      <c r="Y151" s="37"/>
      <c r="Z151" s="31"/>
      <c r="AA151" s="34"/>
      <c r="AB151" s="37"/>
      <c r="AC151" s="31"/>
      <c r="AD151" s="34"/>
      <c r="AE151" s="30">
        <f t="shared" si="5"/>
        <v>1778.4</v>
      </c>
      <c r="AF151" s="41">
        <f t="shared" si="6"/>
        <v>1</v>
      </c>
      <c r="AG151" s="137">
        <v>0.0</v>
      </c>
      <c r="AH151" s="32" t="str">
        <f>IF(OR($L151="",$H151="",$AG151&lt;=0),"",MAX(0,TODAY()-($H151+Settings!$J$6)))</f>
        <v/>
      </c>
      <c r="AI151" s="133">
        <v>889.2</v>
      </c>
      <c r="AJ151" s="33"/>
      <c r="AK151" s="31"/>
      <c r="AL151" s="31"/>
      <c r="AM151" s="132" t="s">
        <v>80</v>
      </c>
      <c r="AN151" s="134">
        <v>46288.0</v>
      </c>
      <c r="AO151" s="138">
        <v>0.0</v>
      </c>
      <c r="AP151" s="48">
        <f t="shared" si="9"/>
        <v>741</v>
      </c>
      <c r="AQ151" s="33"/>
      <c r="AR151" s="49">
        <f t="shared" si="10"/>
        <v>46288</v>
      </c>
      <c r="AS151" s="49">
        <f t="shared" si="11"/>
        <v>46266</v>
      </c>
      <c r="AT151" s="32">
        <f t="shared" si="12"/>
        <v>2026</v>
      </c>
    </row>
    <row r="152" ht="18.0" customHeight="1">
      <c r="A152" s="31" t="s">
        <v>61</v>
      </c>
      <c r="B152" s="31" t="s">
        <v>62</v>
      </c>
      <c r="C152" s="31" t="s">
        <v>251</v>
      </c>
      <c r="D152" s="32">
        <v>2.2004347E7</v>
      </c>
      <c r="E152" s="33" t="s">
        <v>203</v>
      </c>
      <c r="F152" s="34">
        <v>46295.0</v>
      </c>
      <c r="G152" s="34"/>
      <c r="H152" s="34">
        <v>46283.0</v>
      </c>
      <c r="I152" s="31" t="s">
        <v>83</v>
      </c>
      <c r="J152" s="132" t="s">
        <v>76</v>
      </c>
      <c r="K152" s="31">
        <v>13.0</v>
      </c>
      <c r="L152" s="37">
        <v>1980.45</v>
      </c>
      <c r="M152" s="30">
        <f t="shared" si="1"/>
        <v>152.3423077</v>
      </c>
      <c r="N152" s="136">
        <v>0.2</v>
      </c>
      <c r="O152" s="30">
        <f>IF($L152="","",$L152*IF($N152="",Settings!$J$11,$N152))</f>
        <v>396.09</v>
      </c>
      <c r="P152" s="30">
        <f t="shared" si="2"/>
        <v>2376.54</v>
      </c>
      <c r="Q152" s="31" t="s">
        <v>79</v>
      </c>
      <c r="R152" s="37"/>
      <c r="S152" s="30">
        <f>IF($L152="","",IF($Q152&lt;&gt;"Yes",0,IF($R152&lt;&gt;"",$R152,ROUND($L152*Settings!$J$4,2))))</f>
        <v>198.05</v>
      </c>
      <c r="T152" s="40">
        <f t="shared" si="3"/>
        <v>2574.59</v>
      </c>
      <c r="U152" s="30">
        <f t="shared" si="4"/>
        <v>1386.32</v>
      </c>
      <c r="V152" s="133">
        <v>2534.02</v>
      </c>
      <c r="W152" s="132" t="s">
        <v>80</v>
      </c>
      <c r="X152" s="134">
        <v>46286.0</v>
      </c>
      <c r="Y152" s="37"/>
      <c r="Z152" s="31"/>
      <c r="AA152" s="34"/>
      <c r="AB152" s="37"/>
      <c r="AC152" s="31"/>
      <c r="AD152" s="34"/>
      <c r="AE152" s="30">
        <f t="shared" si="5"/>
        <v>2534.02</v>
      </c>
      <c r="AF152" s="41">
        <f t="shared" si="6"/>
        <v>1</v>
      </c>
      <c r="AG152" s="40">
        <f t="shared" ref="AG152:AG303" si="13">IF($L152="","",IF(OR($J152="Cancelled",$J152="Complete",$J152="Paid in Full"),0,ROUND($T152-$AE152,2)))</f>
        <v>0</v>
      </c>
      <c r="AH152" s="32" t="str">
        <f>IF(OR($L152="",$H152="",$AG152&lt;=0),"",MAX(0,TODAY()-($H152+Settings!$J$6)))</f>
        <v/>
      </c>
      <c r="AI152" s="133">
        <v>253.96</v>
      </c>
      <c r="AJ152" s="33"/>
      <c r="AK152" s="31"/>
      <c r="AL152" s="31"/>
      <c r="AM152" s="132" t="s">
        <v>80</v>
      </c>
      <c r="AN152" s="134">
        <v>46296.0</v>
      </c>
      <c r="AO152" s="44">
        <f t="shared" ref="AO152:AO303" si="14">IF(OR($L152="",$S152=0,$AI152=""),0,ROUND($S152-$AI152,2))</f>
        <v>-55.91</v>
      </c>
      <c r="AP152" s="48">
        <f t="shared" si="9"/>
        <v>1924.54</v>
      </c>
      <c r="AQ152" s="33"/>
      <c r="AR152" s="49">
        <f t="shared" si="10"/>
        <v>46295</v>
      </c>
      <c r="AS152" s="49">
        <f t="shared" si="11"/>
        <v>46266</v>
      </c>
      <c r="AT152" s="32">
        <f t="shared" si="12"/>
        <v>2026</v>
      </c>
    </row>
    <row r="153" ht="18.0" customHeight="1">
      <c r="A153" s="31" t="s">
        <v>61</v>
      </c>
      <c r="B153" s="31" t="s">
        <v>62</v>
      </c>
      <c r="C153" s="31" t="s">
        <v>63</v>
      </c>
      <c r="D153" s="32">
        <v>2.2004348E7</v>
      </c>
      <c r="E153" s="33" t="s">
        <v>664</v>
      </c>
      <c r="F153" s="34">
        <v>46266.0</v>
      </c>
      <c r="G153" s="34"/>
      <c r="H153" s="34">
        <v>46266.0</v>
      </c>
      <c r="I153" s="132" t="s">
        <v>83</v>
      </c>
      <c r="J153" s="31" t="s">
        <v>76</v>
      </c>
      <c r="K153" s="132">
        <v>120.0</v>
      </c>
      <c r="L153" s="37">
        <v>27885.5</v>
      </c>
      <c r="M153" s="30">
        <f t="shared" si="1"/>
        <v>232.3791667</v>
      </c>
      <c r="N153" s="38">
        <v>0.2</v>
      </c>
      <c r="O153" s="30">
        <f>IF($L153="","",$L153*IF($N153="",Settings!$J$11,$N153))</f>
        <v>5577.1</v>
      </c>
      <c r="P153" s="30">
        <f t="shared" si="2"/>
        <v>33462.6</v>
      </c>
      <c r="Q153" s="31" t="s">
        <v>79</v>
      </c>
      <c r="R153" s="37">
        <v>2535.0</v>
      </c>
      <c r="S153" s="30">
        <f>IF($L153="","",IF($Q153&lt;&gt;"Yes",0,IF($R153&lt;&gt;"",$R153,ROUND($L153*Settings!$J$4,2))))</f>
        <v>2535</v>
      </c>
      <c r="T153" s="40">
        <f t="shared" si="3"/>
        <v>35997.6</v>
      </c>
      <c r="U153" s="30">
        <f t="shared" si="4"/>
        <v>19266.3</v>
      </c>
      <c r="V153" s="37">
        <v>35997.6</v>
      </c>
      <c r="W153" s="31" t="s">
        <v>80</v>
      </c>
      <c r="X153" s="34">
        <v>46266.0</v>
      </c>
      <c r="Y153" s="37"/>
      <c r="Z153" s="31"/>
      <c r="AA153" s="34"/>
      <c r="AB153" s="37"/>
      <c r="AC153" s="31"/>
      <c r="AD153" s="34"/>
      <c r="AE153" s="30">
        <f t="shared" si="5"/>
        <v>35997.6</v>
      </c>
      <c r="AF153" s="41">
        <f t="shared" si="6"/>
        <v>1</v>
      </c>
      <c r="AG153" s="40">
        <f t="shared" si="13"/>
        <v>0</v>
      </c>
      <c r="AH153" s="32" t="str">
        <f>IF(OR($L153="",$H153="",$AG153&lt;=0),"",MAX(0,TODAY()-($H153+Settings!$J$6)))</f>
        <v/>
      </c>
      <c r="AI153" s="37">
        <v>2535.0</v>
      </c>
      <c r="AJ153" s="33"/>
      <c r="AK153" s="31"/>
      <c r="AL153" s="31"/>
      <c r="AM153" s="31" t="s">
        <v>80</v>
      </c>
      <c r="AN153" s="34">
        <v>46266.0</v>
      </c>
      <c r="AO153" s="44">
        <f t="shared" si="14"/>
        <v>0</v>
      </c>
      <c r="AP153" s="48">
        <f t="shared" si="9"/>
        <v>27885.5</v>
      </c>
      <c r="AQ153" s="33" t="s">
        <v>955</v>
      </c>
      <c r="AR153" s="49">
        <f t="shared" si="10"/>
        <v>46266</v>
      </c>
      <c r="AS153" s="49">
        <f t="shared" si="11"/>
        <v>46266</v>
      </c>
      <c r="AT153" s="32">
        <f t="shared" si="12"/>
        <v>2026</v>
      </c>
    </row>
    <row r="154" ht="18.0" customHeight="1">
      <c r="A154" s="132" t="s">
        <v>61</v>
      </c>
      <c r="B154" s="132" t="s">
        <v>62</v>
      </c>
      <c r="C154" s="132" t="s">
        <v>63</v>
      </c>
      <c r="D154" s="32">
        <f>IF($A154="","",IF(COUNT($D$2:D153)=0,Settings!$J$5,MAX($D$2:D153)+1))</f>
        <v>22004349</v>
      </c>
      <c r="E154" s="135" t="s">
        <v>130</v>
      </c>
      <c r="F154" s="134">
        <v>46295.0</v>
      </c>
      <c r="G154" s="34"/>
      <c r="H154" s="134">
        <v>46287.0</v>
      </c>
      <c r="I154" s="132" t="s">
        <v>83</v>
      </c>
      <c r="J154" s="132" t="s">
        <v>76</v>
      </c>
      <c r="K154" s="132">
        <v>28.0</v>
      </c>
      <c r="L154" s="133">
        <v>2162.25</v>
      </c>
      <c r="M154" s="30">
        <f t="shared" si="1"/>
        <v>77.22321429</v>
      </c>
      <c r="N154" s="136">
        <v>0.2</v>
      </c>
      <c r="O154" s="139">
        <v>432.45</v>
      </c>
      <c r="P154" s="139">
        <v>2594.7</v>
      </c>
      <c r="Q154" s="132" t="s">
        <v>79</v>
      </c>
      <c r="R154" s="37"/>
      <c r="S154" s="30">
        <f>IF($L154="","",IF($Q154&lt;&gt;"Yes",0,IF($R154&lt;&gt;"",$R154,ROUND($L154*Settings!$J$4,2))))</f>
        <v>216.23</v>
      </c>
      <c r="T154" s="40">
        <f t="shared" si="3"/>
        <v>2810.93</v>
      </c>
      <c r="U154" s="30">
        <f t="shared" si="4"/>
        <v>1513.58</v>
      </c>
      <c r="V154" s="133">
        <v>2810.92</v>
      </c>
      <c r="W154" s="132" t="s">
        <v>80</v>
      </c>
      <c r="X154" s="134">
        <v>46289.0</v>
      </c>
      <c r="Y154" s="37"/>
      <c r="Z154" s="31"/>
      <c r="AA154" s="34"/>
      <c r="AB154" s="37"/>
      <c r="AC154" s="31"/>
      <c r="AD154" s="34"/>
      <c r="AE154" s="30">
        <f t="shared" si="5"/>
        <v>2810.92</v>
      </c>
      <c r="AF154" s="41">
        <f t="shared" si="6"/>
        <v>1</v>
      </c>
      <c r="AG154" s="40">
        <f t="shared" si="13"/>
        <v>0</v>
      </c>
      <c r="AH154" s="32" t="str">
        <f>IF(OR($L154="",$H154="",$AG154&lt;=0),"",MAX(0,TODAY()-($H154+Settings!$J$6)))</f>
        <v/>
      </c>
      <c r="AI154" s="133">
        <v>301.9</v>
      </c>
      <c r="AJ154" s="33"/>
      <c r="AK154" s="31"/>
      <c r="AL154" s="31"/>
      <c r="AM154" s="132" t="s">
        <v>80</v>
      </c>
      <c r="AN154" s="34"/>
      <c r="AO154" s="44">
        <f t="shared" si="14"/>
        <v>-85.67</v>
      </c>
      <c r="AP154" s="48">
        <f t="shared" si="9"/>
        <v>2076.58</v>
      </c>
      <c r="AQ154" s="33"/>
      <c r="AR154" s="49">
        <f t="shared" si="10"/>
        <v>46295</v>
      </c>
      <c r="AS154" s="49">
        <f t="shared" si="11"/>
        <v>46266</v>
      </c>
      <c r="AT154" s="32">
        <f t="shared" si="12"/>
        <v>2026</v>
      </c>
    </row>
    <row r="155" ht="18.0" customHeight="1">
      <c r="A155" s="132" t="s">
        <v>61</v>
      </c>
      <c r="B155" s="132" t="s">
        <v>62</v>
      </c>
      <c r="C155" s="132" t="s">
        <v>63</v>
      </c>
      <c r="D155" s="32">
        <f>IF($A155="","",IF(COUNT($D$2:D154)=0,Settings!$J$5,MAX($D$2:D154)+1))</f>
        <v>22004350</v>
      </c>
      <c r="E155" s="135" t="s">
        <v>956</v>
      </c>
      <c r="F155" s="134">
        <v>46366.0</v>
      </c>
      <c r="G155" s="34"/>
      <c r="H155" s="134">
        <v>46287.0</v>
      </c>
      <c r="I155" s="132" t="s">
        <v>73</v>
      </c>
      <c r="J155" s="31"/>
      <c r="K155" s="132">
        <v>170.0</v>
      </c>
      <c r="L155" s="133">
        <v>16906.5</v>
      </c>
      <c r="M155" s="30">
        <f t="shared" si="1"/>
        <v>99.45</v>
      </c>
      <c r="N155" s="136">
        <v>0.2</v>
      </c>
      <c r="O155" s="30">
        <f>IF($L155="","",$L155*IF($N155="",Settings!$J$11,$N155))</f>
        <v>3381.3</v>
      </c>
      <c r="P155" s="30">
        <f t="shared" ref="P155:P303" si="15">IF($L155="","",$L155+$O155)</f>
        <v>20287.8</v>
      </c>
      <c r="Q155" s="132" t="s">
        <v>79</v>
      </c>
      <c r="R155" s="37"/>
      <c r="S155" s="30">
        <f>IF($L155="","",IF($Q155&lt;&gt;"Yes",0,IF($R155&lt;&gt;"",$R155,ROUND($L155*Settings!$J$4,2))))</f>
        <v>1690.65</v>
      </c>
      <c r="T155" s="40">
        <f t="shared" si="3"/>
        <v>21978.45</v>
      </c>
      <c r="U155" s="30">
        <f t="shared" si="4"/>
        <v>11834.55</v>
      </c>
      <c r="V155" s="37"/>
      <c r="W155" s="31"/>
      <c r="X155" s="34"/>
      <c r="Y155" s="37"/>
      <c r="Z155" s="31"/>
      <c r="AA155" s="34"/>
      <c r="AB155" s="37"/>
      <c r="AC155" s="31"/>
      <c r="AD155" s="34"/>
      <c r="AE155" s="30">
        <f t="shared" si="5"/>
        <v>0</v>
      </c>
      <c r="AF155" s="41">
        <f t="shared" si="6"/>
        <v>0</v>
      </c>
      <c r="AG155" s="40">
        <f t="shared" si="13"/>
        <v>21978.45</v>
      </c>
      <c r="AH155" s="32">
        <f>IF(OR($L155="",$H155="",$AG155&lt;=0),"",MAX(0,TODAY()-($H155+Settings!$J$6)))</f>
        <v>0</v>
      </c>
      <c r="AI155" s="37"/>
      <c r="AJ155" s="33"/>
      <c r="AK155" s="31"/>
      <c r="AL155" s="31"/>
      <c r="AM155" s="31"/>
      <c r="AN155" s="34"/>
      <c r="AO155" s="44">
        <f t="shared" si="14"/>
        <v>0</v>
      </c>
      <c r="AP155" s="48">
        <f t="shared" si="9"/>
        <v>16906.5</v>
      </c>
      <c r="AQ155" s="33"/>
      <c r="AR155" s="49">
        <f t="shared" si="10"/>
        <v>46366</v>
      </c>
      <c r="AS155" s="49">
        <f t="shared" si="11"/>
        <v>46357</v>
      </c>
      <c r="AT155" s="32">
        <f t="shared" si="12"/>
        <v>2026</v>
      </c>
    </row>
    <row r="156" ht="18.0" customHeight="1">
      <c r="A156" s="132" t="s">
        <v>61</v>
      </c>
      <c r="B156" s="132" t="s">
        <v>62</v>
      </c>
      <c r="C156" s="132" t="s">
        <v>251</v>
      </c>
      <c r="D156" s="32">
        <f>IF($A156="","",IF(COUNT($D$2:D155)=0,Settings!$J$5,MAX($D$2:D155)+1))</f>
        <v>22004351</v>
      </c>
      <c r="E156" s="135" t="s">
        <v>957</v>
      </c>
      <c r="F156" s="134">
        <v>46312.0</v>
      </c>
      <c r="G156" s="34"/>
      <c r="H156" s="134">
        <v>46294.0</v>
      </c>
      <c r="I156" s="132" t="s">
        <v>73</v>
      </c>
      <c r="J156" s="132" t="s">
        <v>76</v>
      </c>
      <c r="K156" s="132">
        <v>30.0</v>
      </c>
      <c r="L156" s="133">
        <v>1750.0</v>
      </c>
      <c r="M156" s="30">
        <f t="shared" si="1"/>
        <v>58.33333333</v>
      </c>
      <c r="N156" s="136">
        <v>0.2</v>
      </c>
      <c r="O156" s="30">
        <f>IF($L156="","",$L156*IF($N156="",Settings!$J$11,$N156))</f>
        <v>350</v>
      </c>
      <c r="P156" s="30">
        <f t="shared" si="15"/>
        <v>2100</v>
      </c>
      <c r="Q156" s="132" t="s">
        <v>84</v>
      </c>
      <c r="R156" s="37"/>
      <c r="S156" s="30">
        <f>IF($L156="","",IF($Q156&lt;&gt;"Yes",0,IF($R156&lt;&gt;"",$R156,ROUND($L156*Settings!$J$4,2))))</f>
        <v>0</v>
      </c>
      <c r="T156" s="40">
        <f t="shared" si="3"/>
        <v>2100</v>
      </c>
      <c r="U156" s="30">
        <f t="shared" si="4"/>
        <v>1050</v>
      </c>
      <c r="V156" s="133">
        <v>2100.0</v>
      </c>
      <c r="W156" s="132" t="s">
        <v>80</v>
      </c>
      <c r="X156" s="134">
        <v>46295.0</v>
      </c>
      <c r="Y156" s="37"/>
      <c r="Z156" s="31"/>
      <c r="AA156" s="34"/>
      <c r="AB156" s="37"/>
      <c r="AC156" s="31"/>
      <c r="AD156" s="34"/>
      <c r="AE156" s="30">
        <f t="shared" si="5"/>
        <v>2100</v>
      </c>
      <c r="AF156" s="41">
        <f t="shared" si="6"/>
        <v>1</v>
      </c>
      <c r="AG156" s="40">
        <f t="shared" si="13"/>
        <v>0</v>
      </c>
      <c r="AH156" s="32" t="str">
        <f>IF(OR($L156="",$H156="",$AG156&lt;=0),"",MAX(0,TODAY()-($H156+Settings!$J$6)))</f>
        <v/>
      </c>
      <c r="AI156" s="37"/>
      <c r="AJ156" s="33"/>
      <c r="AK156" s="31"/>
      <c r="AL156" s="31"/>
      <c r="AM156" s="31"/>
      <c r="AN156" s="34"/>
      <c r="AO156" s="44">
        <f t="shared" si="14"/>
        <v>0</v>
      </c>
      <c r="AP156" s="48">
        <f t="shared" si="9"/>
        <v>1750</v>
      </c>
      <c r="AQ156" s="33"/>
      <c r="AR156" s="49">
        <f t="shared" si="10"/>
        <v>46312</v>
      </c>
      <c r="AS156" s="49">
        <f t="shared" si="11"/>
        <v>46296</v>
      </c>
      <c r="AT156" s="32">
        <f t="shared" si="12"/>
        <v>2026</v>
      </c>
    </row>
    <row r="157" ht="18.0" customHeight="1">
      <c r="A157" s="132" t="s">
        <v>61</v>
      </c>
      <c r="B157" s="132" t="s">
        <v>62</v>
      </c>
      <c r="C157" s="132" t="s">
        <v>63</v>
      </c>
      <c r="D157" s="32">
        <f>IF($A157="","",IF(COUNT($D$2:D156)=0,Settings!$J$5,MAX($D$2:D156)+1))</f>
        <v>22004352</v>
      </c>
      <c r="E157" s="135" t="s">
        <v>958</v>
      </c>
      <c r="F157" s="134">
        <v>46345.0</v>
      </c>
      <c r="G157" s="34"/>
      <c r="H157" s="134">
        <v>46295.0</v>
      </c>
      <c r="I157" s="132" t="s">
        <v>73</v>
      </c>
      <c r="J157" s="31"/>
      <c r="K157" s="132">
        <v>70.0</v>
      </c>
      <c r="L157" s="133">
        <v>4693.8</v>
      </c>
      <c r="M157" s="30">
        <f t="shared" si="1"/>
        <v>67.05428571</v>
      </c>
      <c r="N157" s="136">
        <v>0.2</v>
      </c>
      <c r="O157" s="30">
        <f>IF($L157="","",$L157*IF($N157="",Settings!$J$11,$N157))</f>
        <v>938.76</v>
      </c>
      <c r="P157" s="30">
        <f t="shared" si="15"/>
        <v>5632.56</v>
      </c>
      <c r="Q157" s="132" t="s">
        <v>79</v>
      </c>
      <c r="R157" s="37"/>
      <c r="S157" s="30">
        <f>IF($L157="","",IF($Q157&lt;&gt;"Yes",0,IF($R157&lt;&gt;"",$R157,ROUND($L157*Settings!$J$4,2))))</f>
        <v>469.38</v>
      </c>
      <c r="T157" s="40">
        <f t="shared" si="3"/>
        <v>6101.94</v>
      </c>
      <c r="U157" s="30">
        <f t="shared" si="4"/>
        <v>3285.66</v>
      </c>
      <c r="V157" s="37"/>
      <c r="W157" s="31"/>
      <c r="X157" s="34"/>
      <c r="Y157" s="37"/>
      <c r="Z157" s="31"/>
      <c r="AA157" s="34"/>
      <c r="AB157" s="37"/>
      <c r="AC157" s="31"/>
      <c r="AD157" s="34"/>
      <c r="AE157" s="30">
        <f t="shared" si="5"/>
        <v>0</v>
      </c>
      <c r="AF157" s="41">
        <f t="shared" si="6"/>
        <v>0</v>
      </c>
      <c r="AG157" s="40">
        <f t="shared" si="13"/>
        <v>6101.94</v>
      </c>
      <c r="AH157" s="32">
        <f>IF(OR($L157="",$H157="",$AG157&lt;=0),"",MAX(0,TODAY()-($H157+Settings!$J$6)))</f>
        <v>0</v>
      </c>
      <c r="AI157" s="37"/>
      <c r="AJ157" s="33"/>
      <c r="AK157" s="31"/>
      <c r="AL157" s="31"/>
      <c r="AM157" s="31"/>
      <c r="AN157" s="34"/>
      <c r="AO157" s="44">
        <f t="shared" si="14"/>
        <v>0</v>
      </c>
      <c r="AP157" s="48">
        <f t="shared" si="9"/>
        <v>4693.8</v>
      </c>
      <c r="AQ157" s="33"/>
      <c r="AR157" s="49">
        <f t="shared" si="10"/>
        <v>46345</v>
      </c>
      <c r="AS157" s="49">
        <f t="shared" si="11"/>
        <v>46327</v>
      </c>
      <c r="AT157" s="32">
        <f t="shared" si="12"/>
        <v>2026</v>
      </c>
    </row>
    <row r="158" ht="18.0" customHeight="1">
      <c r="A158" s="132" t="s">
        <v>61</v>
      </c>
      <c r="B158" s="132" t="s">
        <v>62</v>
      </c>
      <c r="C158" s="132" t="s">
        <v>63</v>
      </c>
      <c r="D158" s="32">
        <f>IF($A158="","",IF(COUNT($D$2:D157)=0,Settings!$J$5,MAX($D$2:D157)+1))</f>
        <v>22004353</v>
      </c>
      <c r="E158" s="135" t="s">
        <v>959</v>
      </c>
      <c r="F158" s="134">
        <v>46302.0</v>
      </c>
      <c r="G158" s="34"/>
      <c r="H158" s="134">
        <v>46295.0</v>
      </c>
      <c r="I158" s="132" t="s">
        <v>83</v>
      </c>
      <c r="J158" s="31"/>
      <c r="K158" s="132">
        <v>30.0</v>
      </c>
      <c r="L158" s="133">
        <v>2014.0</v>
      </c>
      <c r="M158" s="30">
        <f t="shared" si="1"/>
        <v>67.13333333</v>
      </c>
      <c r="N158" s="136">
        <v>0.2</v>
      </c>
      <c r="O158" s="30">
        <f>IF($L158="","",$L158*IF($N158="",Settings!$J$11,$N158))</f>
        <v>402.8</v>
      </c>
      <c r="P158" s="30">
        <f t="shared" si="15"/>
        <v>2416.8</v>
      </c>
      <c r="Q158" s="132" t="s">
        <v>84</v>
      </c>
      <c r="R158" s="37"/>
      <c r="S158" s="30">
        <f>IF($L158="","",IF($Q158&lt;&gt;"Yes",0,IF($R158&lt;&gt;"",$R158,ROUND($L158*Settings!$J$4,2))))</f>
        <v>0</v>
      </c>
      <c r="T158" s="40">
        <f t="shared" si="3"/>
        <v>2416.8</v>
      </c>
      <c r="U158" s="30">
        <f t="shared" si="4"/>
        <v>1208.4</v>
      </c>
      <c r="V158" s="37"/>
      <c r="W158" s="31"/>
      <c r="X158" s="34"/>
      <c r="Y158" s="37"/>
      <c r="Z158" s="31"/>
      <c r="AA158" s="34"/>
      <c r="AB158" s="37"/>
      <c r="AC158" s="31"/>
      <c r="AD158" s="34"/>
      <c r="AE158" s="30">
        <f t="shared" si="5"/>
        <v>0</v>
      </c>
      <c r="AF158" s="41">
        <f t="shared" si="6"/>
        <v>0</v>
      </c>
      <c r="AG158" s="40">
        <f t="shared" si="13"/>
        <v>2416.8</v>
      </c>
      <c r="AH158" s="32">
        <f>IF(OR($L158="",$H158="",$AG158&lt;=0),"",MAX(0,TODAY()-($H158+Settings!$J$6)))</f>
        <v>0</v>
      </c>
      <c r="AI158" s="37"/>
      <c r="AJ158" s="33"/>
      <c r="AK158" s="31"/>
      <c r="AL158" s="31"/>
      <c r="AM158" s="31"/>
      <c r="AN158" s="34"/>
      <c r="AO158" s="44">
        <f t="shared" si="14"/>
        <v>0</v>
      </c>
      <c r="AP158" s="48">
        <f t="shared" si="9"/>
        <v>2014</v>
      </c>
      <c r="AQ158" s="33"/>
      <c r="AR158" s="49">
        <f t="shared" si="10"/>
        <v>46302</v>
      </c>
      <c r="AS158" s="49">
        <f t="shared" si="11"/>
        <v>46296</v>
      </c>
      <c r="AT158" s="32">
        <f t="shared" si="12"/>
        <v>2026</v>
      </c>
    </row>
    <row r="159" ht="18.0" customHeight="1">
      <c r="A159" s="132" t="s">
        <v>61</v>
      </c>
      <c r="B159" s="132" t="s">
        <v>62</v>
      </c>
      <c r="C159" s="132" t="s">
        <v>63</v>
      </c>
      <c r="D159" s="32">
        <f>IF($A159="","",IF(COUNT($D$2:D158)=0,Settings!$J$5,MAX($D$2:D158)+1))</f>
        <v>22004354</v>
      </c>
      <c r="E159" s="135" t="s">
        <v>164</v>
      </c>
      <c r="F159" s="134">
        <v>46317.0</v>
      </c>
      <c r="G159" s="34"/>
      <c r="H159" s="134">
        <v>46296.0</v>
      </c>
      <c r="I159" s="132" t="s">
        <v>83</v>
      </c>
      <c r="J159" s="31"/>
      <c r="K159" s="132">
        <v>30.0</v>
      </c>
      <c r="L159" s="133">
        <v>1157.5</v>
      </c>
      <c r="M159" s="30">
        <f t="shared" si="1"/>
        <v>38.58333333</v>
      </c>
      <c r="N159" s="136">
        <v>0.2</v>
      </c>
      <c r="O159" s="30">
        <f>IF($L159="","",$L159*IF($N159="",Settings!$J$11,$N159))</f>
        <v>231.5</v>
      </c>
      <c r="P159" s="30">
        <f t="shared" si="15"/>
        <v>1389</v>
      </c>
      <c r="Q159" s="132" t="s">
        <v>79</v>
      </c>
      <c r="R159" s="37"/>
      <c r="S159" s="30">
        <f>IF($L159="","",IF($Q159&lt;&gt;"Yes",0,IF($R159&lt;&gt;"",$R159,ROUND($L159*Settings!$J$4,2))))</f>
        <v>115.75</v>
      </c>
      <c r="T159" s="40">
        <f t="shared" si="3"/>
        <v>1504.75</v>
      </c>
      <c r="U159" s="30">
        <f t="shared" si="4"/>
        <v>810.25</v>
      </c>
      <c r="V159" s="37"/>
      <c r="W159" s="31"/>
      <c r="X159" s="34"/>
      <c r="Y159" s="37"/>
      <c r="Z159" s="31"/>
      <c r="AA159" s="34"/>
      <c r="AB159" s="37"/>
      <c r="AC159" s="31"/>
      <c r="AD159" s="34"/>
      <c r="AE159" s="30">
        <f t="shared" si="5"/>
        <v>0</v>
      </c>
      <c r="AF159" s="41">
        <f t="shared" si="6"/>
        <v>0</v>
      </c>
      <c r="AG159" s="40">
        <f t="shared" si="13"/>
        <v>1504.75</v>
      </c>
      <c r="AH159" s="32">
        <f>IF(OR($L159="",$H159="",$AG159&lt;=0),"",MAX(0,TODAY()-($H159+Settings!$J$6)))</f>
        <v>0</v>
      </c>
      <c r="AI159" s="37"/>
      <c r="AJ159" s="33"/>
      <c r="AK159" s="31"/>
      <c r="AL159" s="31"/>
      <c r="AM159" s="31"/>
      <c r="AN159" s="34"/>
      <c r="AO159" s="44">
        <f t="shared" si="14"/>
        <v>0</v>
      </c>
      <c r="AP159" s="48">
        <f t="shared" si="9"/>
        <v>1157.5</v>
      </c>
      <c r="AQ159" s="33"/>
      <c r="AR159" s="49">
        <f t="shared" si="10"/>
        <v>46317</v>
      </c>
      <c r="AS159" s="49">
        <f t="shared" si="11"/>
        <v>46296</v>
      </c>
      <c r="AT159" s="32">
        <f t="shared" si="12"/>
        <v>2026</v>
      </c>
    </row>
    <row r="160" ht="18.0" customHeight="1">
      <c r="A160" s="132" t="s">
        <v>61</v>
      </c>
      <c r="B160" s="132" t="s">
        <v>62</v>
      </c>
      <c r="C160" s="132" t="s">
        <v>251</v>
      </c>
      <c r="D160" s="32">
        <f>IF($A160="","",IF(COUNT($D$2:D159)=0,Settings!$J$5,MAX($D$2:D159)+1))</f>
        <v>22004355</v>
      </c>
      <c r="E160" s="135" t="s">
        <v>960</v>
      </c>
      <c r="F160" s="134">
        <v>46361.0</v>
      </c>
      <c r="G160" s="34"/>
      <c r="H160" s="134">
        <v>46297.0</v>
      </c>
      <c r="I160" s="132" t="s">
        <v>73</v>
      </c>
      <c r="J160" s="31"/>
      <c r="K160" s="132">
        <v>60.0</v>
      </c>
      <c r="L160" s="133">
        <v>5548.4</v>
      </c>
      <c r="M160" s="30">
        <f t="shared" si="1"/>
        <v>92.47333333</v>
      </c>
      <c r="N160" s="38"/>
      <c r="O160" s="30">
        <f>IF($L160="","",$L160*IF($N160="",Settings!$J$11,$N160))</f>
        <v>1109.68</v>
      </c>
      <c r="P160" s="30">
        <f t="shared" si="15"/>
        <v>6658.08</v>
      </c>
      <c r="Q160" s="132" t="s">
        <v>79</v>
      </c>
      <c r="R160" s="37"/>
      <c r="S160" s="30">
        <f>IF($L160="","",IF($Q160&lt;&gt;"Yes",0,IF($R160&lt;&gt;"",$R160,ROUND($L160*Settings!$J$4,2))))</f>
        <v>554.84</v>
      </c>
      <c r="T160" s="40">
        <f t="shared" si="3"/>
        <v>7212.92</v>
      </c>
      <c r="U160" s="30">
        <f t="shared" si="4"/>
        <v>3883.88</v>
      </c>
      <c r="V160" s="37"/>
      <c r="W160" s="31"/>
      <c r="X160" s="34"/>
      <c r="Y160" s="37"/>
      <c r="Z160" s="31"/>
      <c r="AA160" s="34"/>
      <c r="AB160" s="37"/>
      <c r="AC160" s="31"/>
      <c r="AD160" s="34"/>
      <c r="AE160" s="30">
        <f t="shared" si="5"/>
        <v>0</v>
      </c>
      <c r="AF160" s="41">
        <f t="shared" si="6"/>
        <v>0</v>
      </c>
      <c r="AG160" s="40">
        <f t="shared" si="13"/>
        <v>7212.92</v>
      </c>
      <c r="AH160" s="32">
        <f>IF(OR($L160="",$H160="",$AG160&lt;=0),"",MAX(0,TODAY()-($H160+Settings!$J$6)))</f>
        <v>0</v>
      </c>
      <c r="AI160" s="37"/>
      <c r="AJ160" s="33"/>
      <c r="AK160" s="31"/>
      <c r="AL160" s="31"/>
      <c r="AM160" s="31"/>
      <c r="AN160" s="34"/>
      <c r="AO160" s="44">
        <f t="shared" si="14"/>
        <v>0</v>
      </c>
      <c r="AP160" s="48">
        <f t="shared" si="9"/>
        <v>5548.4</v>
      </c>
      <c r="AQ160" s="33"/>
      <c r="AR160" s="49">
        <f t="shared" si="10"/>
        <v>46361</v>
      </c>
      <c r="AS160" s="49">
        <f t="shared" si="11"/>
        <v>46357</v>
      </c>
      <c r="AT160" s="32">
        <f t="shared" si="12"/>
        <v>2026</v>
      </c>
    </row>
    <row r="161" ht="18.0" customHeight="1">
      <c r="A161" s="31"/>
      <c r="B161" s="31"/>
      <c r="C161" s="31"/>
      <c r="D161" s="32" t="str">
        <f>IF($A161="","",IF(COUNT($D$2:D160)=0,Settings!$J$5,MAX($D$2:D160)+1))</f>
        <v/>
      </c>
      <c r="E161" s="33"/>
      <c r="F161" s="34"/>
      <c r="G161" s="34"/>
      <c r="H161" s="34"/>
      <c r="I161" s="31"/>
      <c r="J161" s="31"/>
      <c r="K161" s="31"/>
      <c r="L161" s="37"/>
      <c r="M161" s="30" t="str">
        <f t="shared" si="1"/>
        <v/>
      </c>
      <c r="N161" s="38"/>
      <c r="O161" s="30" t="str">
        <f>IF($L161="","",$L161*IF($N161="",Settings!$J$11,$N161))</f>
        <v/>
      </c>
      <c r="P161" s="30" t="str">
        <f t="shared" si="15"/>
        <v/>
      </c>
      <c r="Q161" s="31"/>
      <c r="R161" s="37"/>
      <c r="S161" s="30" t="str">
        <f>IF($L161="","",IF($Q161&lt;&gt;"Yes",0,IF($R161&lt;&gt;"",$R161,ROUND($L161*Settings!$J$4,2))))</f>
        <v/>
      </c>
      <c r="T161" s="40" t="str">
        <f t="shared" si="3"/>
        <v/>
      </c>
      <c r="U161" s="30" t="str">
        <f t="shared" si="4"/>
        <v/>
      </c>
      <c r="V161" s="37"/>
      <c r="W161" s="31"/>
      <c r="X161" s="34"/>
      <c r="Y161" s="37"/>
      <c r="Z161" s="31"/>
      <c r="AA161" s="34"/>
      <c r="AB161" s="37"/>
      <c r="AC161" s="31"/>
      <c r="AD161" s="34"/>
      <c r="AE161" s="30" t="str">
        <f t="shared" si="5"/>
        <v/>
      </c>
      <c r="AF161" s="41" t="str">
        <f t="shared" si="6"/>
        <v/>
      </c>
      <c r="AG161" s="40" t="str">
        <f t="shared" si="13"/>
        <v/>
      </c>
      <c r="AH161" s="32" t="str">
        <f>IF(OR($L161="",$H161="",$AG161&lt;=0),"",MAX(0,TODAY()-($H161+Settings!$J$6)))</f>
        <v/>
      </c>
      <c r="AI161" s="37"/>
      <c r="AJ161" s="33"/>
      <c r="AK161" s="31"/>
      <c r="AL161" s="31"/>
      <c r="AM161" s="31"/>
      <c r="AN161" s="34"/>
      <c r="AO161" s="44">
        <f t="shared" si="14"/>
        <v>0</v>
      </c>
      <c r="AP161" s="48" t="str">
        <f t="shared" si="9"/>
        <v/>
      </c>
      <c r="AQ161" s="33"/>
      <c r="AR161" s="49" t="str">
        <f t="shared" si="10"/>
        <v/>
      </c>
      <c r="AS161" s="49" t="str">
        <f t="shared" si="11"/>
        <v/>
      </c>
      <c r="AT161" s="32" t="str">
        <f t="shared" si="12"/>
        <v/>
      </c>
    </row>
    <row r="162" ht="18.0" customHeight="1">
      <c r="A162" s="31"/>
      <c r="B162" s="31"/>
      <c r="C162" s="31"/>
      <c r="D162" s="32" t="str">
        <f>IF($A162="","",IF(COUNT($D$2:D161)=0,Settings!$J$5,MAX($D$2:D161)+1))</f>
        <v/>
      </c>
      <c r="E162" s="33"/>
      <c r="F162" s="34"/>
      <c r="G162" s="34"/>
      <c r="H162" s="34"/>
      <c r="I162" s="31"/>
      <c r="J162" s="31"/>
      <c r="K162" s="31"/>
      <c r="L162" s="37"/>
      <c r="M162" s="30" t="str">
        <f t="shared" si="1"/>
        <v/>
      </c>
      <c r="N162" s="38"/>
      <c r="O162" s="30" t="str">
        <f>IF($L162="","",$L162*IF($N162="",Settings!$J$11,$N162))</f>
        <v/>
      </c>
      <c r="P162" s="30" t="str">
        <f t="shared" si="15"/>
        <v/>
      </c>
      <c r="Q162" s="31"/>
      <c r="R162" s="37"/>
      <c r="S162" s="30" t="str">
        <f>IF($L162="","",IF($Q162&lt;&gt;"Yes",0,IF($R162&lt;&gt;"",$R162,ROUND($L162*Settings!$J$4,2))))</f>
        <v/>
      </c>
      <c r="T162" s="40" t="str">
        <f t="shared" si="3"/>
        <v/>
      </c>
      <c r="U162" s="30" t="str">
        <f t="shared" si="4"/>
        <v/>
      </c>
      <c r="V162" s="37"/>
      <c r="W162" s="31"/>
      <c r="X162" s="34"/>
      <c r="Y162" s="37"/>
      <c r="Z162" s="31"/>
      <c r="AA162" s="34"/>
      <c r="AB162" s="37"/>
      <c r="AC162" s="31"/>
      <c r="AD162" s="34"/>
      <c r="AE162" s="30" t="str">
        <f t="shared" si="5"/>
        <v/>
      </c>
      <c r="AF162" s="41" t="str">
        <f t="shared" si="6"/>
        <v/>
      </c>
      <c r="AG162" s="40" t="str">
        <f t="shared" si="13"/>
        <v/>
      </c>
      <c r="AH162" s="32" t="str">
        <f>IF(OR($L162="",$H162="",$AG162&lt;=0),"",MAX(0,TODAY()-($H162+Settings!$J$6)))</f>
        <v/>
      </c>
      <c r="AI162" s="37"/>
      <c r="AJ162" s="33"/>
      <c r="AK162" s="31"/>
      <c r="AL162" s="31"/>
      <c r="AM162" s="31"/>
      <c r="AN162" s="34"/>
      <c r="AO162" s="44">
        <f t="shared" si="14"/>
        <v>0</v>
      </c>
      <c r="AP162" s="48" t="str">
        <f t="shared" si="9"/>
        <v/>
      </c>
      <c r="AQ162" s="33"/>
      <c r="AR162" s="49" t="str">
        <f t="shared" si="10"/>
        <v/>
      </c>
      <c r="AS162" s="49" t="str">
        <f t="shared" si="11"/>
        <v/>
      </c>
      <c r="AT162" s="32" t="str">
        <f t="shared" si="12"/>
        <v/>
      </c>
    </row>
    <row r="163" ht="18.0" customHeight="1">
      <c r="A163" s="31"/>
      <c r="B163" s="31"/>
      <c r="C163" s="31"/>
      <c r="D163" s="32" t="str">
        <f>IF($A163="","",IF(COUNT($D$2:D162)=0,Settings!$J$5,MAX($D$2:D162)+1))</f>
        <v/>
      </c>
      <c r="E163" s="33"/>
      <c r="F163" s="34"/>
      <c r="G163" s="34"/>
      <c r="H163" s="34"/>
      <c r="I163" s="31"/>
      <c r="J163" s="31"/>
      <c r="K163" s="31"/>
      <c r="L163" s="37"/>
      <c r="M163" s="30" t="str">
        <f t="shared" si="1"/>
        <v/>
      </c>
      <c r="N163" s="38"/>
      <c r="O163" s="30" t="str">
        <f>IF($L163="","",$L163*IF($N163="",Settings!$J$11,$N163))</f>
        <v/>
      </c>
      <c r="P163" s="30" t="str">
        <f t="shared" si="15"/>
        <v/>
      </c>
      <c r="Q163" s="31"/>
      <c r="R163" s="37"/>
      <c r="S163" s="30" t="str">
        <f>IF($L163="","",IF($Q163&lt;&gt;"Yes",0,IF($R163&lt;&gt;"",$R163,ROUND($L163*Settings!$J$4,2))))</f>
        <v/>
      </c>
      <c r="T163" s="40" t="str">
        <f t="shared" si="3"/>
        <v/>
      </c>
      <c r="U163" s="30" t="str">
        <f t="shared" si="4"/>
        <v/>
      </c>
      <c r="V163" s="37"/>
      <c r="W163" s="31"/>
      <c r="X163" s="34"/>
      <c r="Y163" s="37"/>
      <c r="Z163" s="31"/>
      <c r="AA163" s="34"/>
      <c r="AB163" s="37"/>
      <c r="AC163" s="31"/>
      <c r="AD163" s="34"/>
      <c r="AE163" s="30" t="str">
        <f t="shared" si="5"/>
        <v/>
      </c>
      <c r="AF163" s="41" t="str">
        <f t="shared" si="6"/>
        <v/>
      </c>
      <c r="AG163" s="40" t="str">
        <f t="shared" si="13"/>
        <v/>
      </c>
      <c r="AH163" s="32" t="str">
        <f>IF(OR($L163="",$H163="",$AG163&lt;=0),"",MAX(0,TODAY()-($H163+Settings!$J$6)))</f>
        <v/>
      </c>
      <c r="AI163" s="37"/>
      <c r="AJ163" s="33"/>
      <c r="AK163" s="31"/>
      <c r="AL163" s="31"/>
      <c r="AM163" s="31"/>
      <c r="AN163" s="34"/>
      <c r="AO163" s="44">
        <f t="shared" si="14"/>
        <v>0</v>
      </c>
      <c r="AP163" s="48" t="str">
        <f t="shared" si="9"/>
        <v/>
      </c>
      <c r="AQ163" s="33"/>
      <c r="AR163" s="49" t="str">
        <f t="shared" si="10"/>
        <v/>
      </c>
      <c r="AS163" s="49" t="str">
        <f t="shared" si="11"/>
        <v/>
      </c>
      <c r="AT163" s="32" t="str">
        <f t="shared" si="12"/>
        <v/>
      </c>
    </row>
    <row r="164" ht="18.0" customHeight="1">
      <c r="A164" s="31"/>
      <c r="B164" s="31"/>
      <c r="C164" s="31"/>
      <c r="D164" s="32" t="str">
        <f>IF($A164="","",IF(COUNT($D$2:D163)=0,Settings!$J$5,MAX($D$2:D163)+1))</f>
        <v/>
      </c>
      <c r="E164" s="33"/>
      <c r="F164" s="34"/>
      <c r="G164" s="34"/>
      <c r="H164" s="34"/>
      <c r="I164" s="31"/>
      <c r="J164" s="31"/>
      <c r="K164" s="31"/>
      <c r="L164" s="37"/>
      <c r="M164" s="30" t="str">
        <f t="shared" si="1"/>
        <v/>
      </c>
      <c r="N164" s="38"/>
      <c r="O164" s="30" t="str">
        <f>IF($L164="","",$L164*IF($N164="",Settings!$J$11,$N164))</f>
        <v/>
      </c>
      <c r="P164" s="30" t="str">
        <f t="shared" si="15"/>
        <v/>
      </c>
      <c r="Q164" s="31"/>
      <c r="R164" s="37"/>
      <c r="S164" s="30" t="str">
        <f>IF($L164="","",IF($Q164&lt;&gt;"Yes",0,IF($R164&lt;&gt;"",$R164,ROUND($L164*Settings!$J$4,2))))</f>
        <v/>
      </c>
      <c r="T164" s="40" t="str">
        <f t="shared" si="3"/>
        <v/>
      </c>
      <c r="U164" s="30" t="str">
        <f t="shared" si="4"/>
        <v/>
      </c>
      <c r="V164" s="37"/>
      <c r="W164" s="31"/>
      <c r="X164" s="34"/>
      <c r="Y164" s="37"/>
      <c r="Z164" s="31"/>
      <c r="AA164" s="34"/>
      <c r="AB164" s="37"/>
      <c r="AC164" s="31"/>
      <c r="AD164" s="34"/>
      <c r="AE164" s="30" t="str">
        <f t="shared" si="5"/>
        <v/>
      </c>
      <c r="AF164" s="41" t="str">
        <f t="shared" si="6"/>
        <v/>
      </c>
      <c r="AG164" s="40" t="str">
        <f t="shared" si="13"/>
        <v/>
      </c>
      <c r="AH164" s="32" t="str">
        <f>IF(OR($L164="",$H164="",$AG164&lt;=0),"",MAX(0,TODAY()-($H164+Settings!$J$6)))</f>
        <v/>
      </c>
      <c r="AI164" s="37"/>
      <c r="AJ164" s="33"/>
      <c r="AK164" s="31"/>
      <c r="AL164" s="31"/>
      <c r="AM164" s="31"/>
      <c r="AN164" s="34"/>
      <c r="AO164" s="44">
        <f t="shared" si="14"/>
        <v>0</v>
      </c>
      <c r="AP164" s="48" t="str">
        <f t="shared" si="9"/>
        <v/>
      </c>
      <c r="AQ164" s="33"/>
      <c r="AR164" s="49" t="str">
        <f t="shared" si="10"/>
        <v/>
      </c>
      <c r="AS164" s="49" t="str">
        <f t="shared" si="11"/>
        <v/>
      </c>
      <c r="AT164" s="32" t="str">
        <f t="shared" si="12"/>
        <v/>
      </c>
    </row>
    <row r="165" ht="18.0" customHeight="1">
      <c r="A165" s="31"/>
      <c r="B165" s="31"/>
      <c r="C165" s="31"/>
      <c r="D165" s="32" t="str">
        <f>IF($A165="","",IF(COUNT($D$2:D164)=0,Settings!$J$5,MAX($D$2:D164)+1))</f>
        <v/>
      </c>
      <c r="E165" s="33"/>
      <c r="F165" s="34"/>
      <c r="G165" s="34"/>
      <c r="H165" s="34"/>
      <c r="I165" s="31"/>
      <c r="J165" s="31"/>
      <c r="K165" s="31"/>
      <c r="L165" s="37"/>
      <c r="M165" s="30" t="str">
        <f t="shared" si="1"/>
        <v/>
      </c>
      <c r="N165" s="38"/>
      <c r="O165" s="30" t="str">
        <f>IF($L165="","",$L165*IF($N165="",Settings!$J$11,$N165))</f>
        <v/>
      </c>
      <c r="P165" s="30" t="str">
        <f t="shared" si="15"/>
        <v/>
      </c>
      <c r="Q165" s="31"/>
      <c r="R165" s="37"/>
      <c r="S165" s="30" t="str">
        <f>IF($L165="","",IF($Q165&lt;&gt;"Yes",0,IF($R165&lt;&gt;"",$R165,ROUND($L165*Settings!$J$4,2))))</f>
        <v/>
      </c>
      <c r="T165" s="40" t="str">
        <f t="shared" si="3"/>
        <v/>
      </c>
      <c r="U165" s="30" t="str">
        <f t="shared" si="4"/>
        <v/>
      </c>
      <c r="V165" s="37"/>
      <c r="W165" s="31"/>
      <c r="X165" s="34"/>
      <c r="Y165" s="37"/>
      <c r="Z165" s="31"/>
      <c r="AA165" s="34"/>
      <c r="AB165" s="37"/>
      <c r="AC165" s="31"/>
      <c r="AD165" s="34"/>
      <c r="AE165" s="30" t="str">
        <f t="shared" si="5"/>
        <v/>
      </c>
      <c r="AF165" s="41" t="str">
        <f t="shared" si="6"/>
        <v/>
      </c>
      <c r="AG165" s="40" t="str">
        <f t="shared" si="13"/>
        <v/>
      </c>
      <c r="AH165" s="32" t="str">
        <f>IF(OR($L165="",$H165="",$AG165&lt;=0),"",MAX(0,TODAY()-($H165+Settings!$J$6)))</f>
        <v/>
      </c>
      <c r="AI165" s="37"/>
      <c r="AJ165" s="33"/>
      <c r="AK165" s="31"/>
      <c r="AL165" s="31"/>
      <c r="AM165" s="31"/>
      <c r="AN165" s="34"/>
      <c r="AO165" s="44">
        <f t="shared" si="14"/>
        <v>0</v>
      </c>
      <c r="AP165" s="48" t="str">
        <f t="shared" si="9"/>
        <v/>
      </c>
      <c r="AQ165" s="33"/>
      <c r="AR165" s="49" t="str">
        <f t="shared" si="10"/>
        <v/>
      </c>
      <c r="AS165" s="49" t="str">
        <f t="shared" si="11"/>
        <v/>
      </c>
      <c r="AT165" s="32" t="str">
        <f t="shared" si="12"/>
        <v/>
      </c>
    </row>
    <row r="166" ht="18.0" customHeight="1">
      <c r="A166" s="31"/>
      <c r="B166" s="31"/>
      <c r="C166" s="31"/>
      <c r="D166" s="32" t="str">
        <f>IF($A166="","",IF(COUNT($D$2:D165)=0,Settings!$J$5,MAX($D$2:D165)+1))</f>
        <v/>
      </c>
      <c r="E166" s="33"/>
      <c r="F166" s="34"/>
      <c r="G166" s="34"/>
      <c r="H166" s="34"/>
      <c r="I166" s="31"/>
      <c r="J166" s="31"/>
      <c r="K166" s="31"/>
      <c r="L166" s="37"/>
      <c r="M166" s="30" t="str">
        <f t="shared" si="1"/>
        <v/>
      </c>
      <c r="N166" s="38"/>
      <c r="O166" s="30" t="str">
        <f>IF($L166="","",$L166*IF($N166="",Settings!$J$11,$N166))</f>
        <v/>
      </c>
      <c r="P166" s="30" t="str">
        <f t="shared" si="15"/>
        <v/>
      </c>
      <c r="Q166" s="31"/>
      <c r="R166" s="37"/>
      <c r="S166" s="30" t="str">
        <f>IF($L166="","",IF($Q166&lt;&gt;"Yes",0,IF($R166&lt;&gt;"",$R166,ROUND($L166*Settings!$J$4,2))))</f>
        <v/>
      </c>
      <c r="T166" s="40" t="str">
        <f t="shared" si="3"/>
        <v/>
      </c>
      <c r="U166" s="30" t="str">
        <f t="shared" si="4"/>
        <v/>
      </c>
      <c r="V166" s="37"/>
      <c r="W166" s="31"/>
      <c r="X166" s="34"/>
      <c r="Y166" s="37"/>
      <c r="Z166" s="31"/>
      <c r="AA166" s="34"/>
      <c r="AB166" s="37"/>
      <c r="AC166" s="31"/>
      <c r="AD166" s="34"/>
      <c r="AE166" s="30" t="str">
        <f t="shared" si="5"/>
        <v/>
      </c>
      <c r="AF166" s="41" t="str">
        <f t="shared" si="6"/>
        <v/>
      </c>
      <c r="AG166" s="40" t="str">
        <f t="shared" si="13"/>
        <v/>
      </c>
      <c r="AH166" s="32" t="str">
        <f>IF(OR($L166="",$H166="",$AG166&lt;=0),"",MAX(0,TODAY()-($H166+Settings!$J$6)))</f>
        <v/>
      </c>
      <c r="AI166" s="37"/>
      <c r="AJ166" s="33"/>
      <c r="AK166" s="31"/>
      <c r="AL166" s="31"/>
      <c r="AM166" s="31"/>
      <c r="AN166" s="34"/>
      <c r="AO166" s="44">
        <f t="shared" si="14"/>
        <v>0</v>
      </c>
      <c r="AP166" s="48" t="str">
        <f t="shared" si="9"/>
        <v/>
      </c>
      <c r="AQ166" s="33"/>
      <c r="AR166" s="49" t="str">
        <f t="shared" si="10"/>
        <v/>
      </c>
      <c r="AS166" s="49" t="str">
        <f t="shared" si="11"/>
        <v/>
      </c>
      <c r="AT166" s="32" t="str">
        <f t="shared" si="12"/>
        <v/>
      </c>
    </row>
    <row r="167" ht="18.0" customHeight="1">
      <c r="A167" s="31"/>
      <c r="B167" s="31"/>
      <c r="C167" s="31"/>
      <c r="D167" s="32" t="str">
        <f>IF($A167="","",IF(COUNT($D$2:D166)=0,Settings!$J$5,MAX($D$2:D166)+1))</f>
        <v/>
      </c>
      <c r="E167" s="33"/>
      <c r="F167" s="34"/>
      <c r="G167" s="34"/>
      <c r="H167" s="34"/>
      <c r="I167" s="31"/>
      <c r="J167" s="31"/>
      <c r="K167" s="31"/>
      <c r="L167" s="37"/>
      <c r="M167" s="30" t="str">
        <f t="shared" si="1"/>
        <v/>
      </c>
      <c r="N167" s="38"/>
      <c r="O167" s="30" t="str">
        <f>IF($L167="","",$L167*IF($N167="",Settings!$J$11,$N167))</f>
        <v/>
      </c>
      <c r="P167" s="30" t="str">
        <f t="shared" si="15"/>
        <v/>
      </c>
      <c r="Q167" s="31"/>
      <c r="R167" s="37"/>
      <c r="S167" s="30" t="str">
        <f>IF($L167="","",IF($Q167&lt;&gt;"Yes",0,IF($R167&lt;&gt;"",$R167,ROUND($L167*Settings!$J$4,2))))</f>
        <v/>
      </c>
      <c r="T167" s="40" t="str">
        <f t="shared" si="3"/>
        <v/>
      </c>
      <c r="U167" s="30" t="str">
        <f t="shared" si="4"/>
        <v/>
      </c>
      <c r="V167" s="37"/>
      <c r="W167" s="31"/>
      <c r="X167" s="34"/>
      <c r="Y167" s="37"/>
      <c r="Z167" s="31"/>
      <c r="AA167" s="34"/>
      <c r="AB167" s="37"/>
      <c r="AC167" s="31"/>
      <c r="AD167" s="34"/>
      <c r="AE167" s="30" t="str">
        <f t="shared" si="5"/>
        <v/>
      </c>
      <c r="AF167" s="41" t="str">
        <f t="shared" si="6"/>
        <v/>
      </c>
      <c r="AG167" s="40" t="str">
        <f t="shared" si="13"/>
        <v/>
      </c>
      <c r="AH167" s="32" t="str">
        <f>IF(OR($L167="",$H167="",$AG167&lt;=0),"",MAX(0,TODAY()-($H167+Settings!$J$6)))</f>
        <v/>
      </c>
      <c r="AI167" s="37"/>
      <c r="AJ167" s="33"/>
      <c r="AK167" s="31"/>
      <c r="AL167" s="31"/>
      <c r="AM167" s="31"/>
      <c r="AN167" s="34"/>
      <c r="AO167" s="44">
        <f t="shared" si="14"/>
        <v>0</v>
      </c>
      <c r="AP167" s="48" t="str">
        <f t="shared" si="9"/>
        <v/>
      </c>
      <c r="AQ167" s="33"/>
      <c r="AR167" s="49" t="str">
        <f t="shared" si="10"/>
        <v/>
      </c>
      <c r="AS167" s="49" t="str">
        <f t="shared" si="11"/>
        <v/>
      </c>
      <c r="AT167" s="32" t="str">
        <f t="shared" si="12"/>
        <v/>
      </c>
    </row>
    <row r="168" ht="18.0" customHeight="1">
      <c r="A168" s="31"/>
      <c r="B168" s="31"/>
      <c r="C168" s="31"/>
      <c r="D168" s="32" t="str">
        <f>IF($A168="","",IF(COUNT($D$2:D167)=0,Settings!$J$5,MAX($D$2:D167)+1))</f>
        <v/>
      </c>
      <c r="E168" s="33"/>
      <c r="F168" s="34"/>
      <c r="G168" s="34"/>
      <c r="H168" s="34"/>
      <c r="I168" s="31"/>
      <c r="J168" s="31"/>
      <c r="K168" s="31"/>
      <c r="L168" s="37"/>
      <c r="M168" s="30" t="str">
        <f t="shared" si="1"/>
        <v/>
      </c>
      <c r="N168" s="38"/>
      <c r="O168" s="30" t="str">
        <f>IF($L168="","",$L168*IF($N168="",Settings!$J$11,$N168))</f>
        <v/>
      </c>
      <c r="P168" s="30" t="str">
        <f t="shared" si="15"/>
        <v/>
      </c>
      <c r="Q168" s="31"/>
      <c r="R168" s="37"/>
      <c r="S168" s="30" t="str">
        <f>IF($L168="","",IF($Q168&lt;&gt;"Yes",0,IF($R168&lt;&gt;"",$R168,ROUND($L168*Settings!$J$4,2))))</f>
        <v/>
      </c>
      <c r="T168" s="40" t="str">
        <f t="shared" si="3"/>
        <v/>
      </c>
      <c r="U168" s="30" t="str">
        <f t="shared" si="4"/>
        <v/>
      </c>
      <c r="V168" s="37"/>
      <c r="W168" s="31"/>
      <c r="X168" s="34"/>
      <c r="Y168" s="37"/>
      <c r="Z168" s="31"/>
      <c r="AA168" s="34"/>
      <c r="AB168" s="37"/>
      <c r="AC168" s="31"/>
      <c r="AD168" s="34"/>
      <c r="AE168" s="30" t="str">
        <f t="shared" si="5"/>
        <v/>
      </c>
      <c r="AF168" s="41" t="str">
        <f t="shared" si="6"/>
        <v/>
      </c>
      <c r="AG168" s="40" t="str">
        <f t="shared" si="13"/>
        <v/>
      </c>
      <c r="AH168" s="32" t="str">
        <f>IF(OR($L168="",$H168="",$AG168&lt;=0),"",MAX(0,TODAY()-($H168+Settings!$J$6)))</f>
        <v/>
      </c>
      <c r="AI168" s="37"/>
      <c r="AJ168" s="33"/>
      <c r="AK168" s="31"/>
      <c r="AL168" s="31"/>
      <c r="AM168" s="31"/>
      <c r="AN168" s="34"/>
      <c r="AO168" s="44">
        <f t="shared" si="14"/>
        <v>0</v>
      </c>
      <c r="AP168" s="48" t="str">
        <f t="shared" si="9"/>
        <v/>
      </c>
      <c r="AQ168" s="33"/>
      <c r="AR168" s="49" t="str">
        <f t="shared" si="10"/>
        <v/>
      </c>
      <c r="AS168" s="49" t="str">
        <f t="shared" si="11"/>
        <v/>
      </c>
      <c r="AT168" s="32" t="str">
        <f t="shared" si="12"/>
        <v/>
      </c>
    </row>
    <row r="169" ht="18.0" customHeight="1">
      <c r="A169" s="31"/>
      <c r="B169" s="31"/>
      <c r="C169" s="31"/>
      <c r="D169" s="32" t="str">
        <f>IF($A169="","",IF(COUNT($D$2:D168)=0,Settings!$J$5,MAX($D$2:D168)+1))</f>
        <v/>
      </c>
      <c r="E169" s="33"/>
      <c r="F169" s="34"/>
      <c r="G169" s="34"/>
      <c r="H169" s="34"/>
      <c r="I169" s="31"/>
      <c r="J169" s="31"/>
      <c r="K169" s="31"/>
      <c r="L169" s="37"/>
      <c r="M169" s="30" t="str">
        <f t="shared" si="1"/>
        <v/>
      </c>
      <c r="N169" s="38"/>
      <c r="O169" s="30" t="str">
        <f>IF($L169="","",$L169*IF($N169="",Settings!$J$11,$N169))</f>
        <v/>
      </c>
      <c r="P169" s="30" t="str">
        <f t="shared" si="15"/>
        <v/>
      </c>
      <c r="Q169" s="31"/>
      <c r="R169" s="37"/>
      <c r="S169" s="30" t="str">
        <f>IF($L169="","",IF($Q169&lt;&gt;"Yes",0,IF($R169&lt;&gt;"",$R169,ROUND($L169*Settings!$J$4,2))))</f>
        <v/>
      </c>
      <c r="T169" s="40" t="str">
        <f t="shared" si="3"/>
        <v/>
      </c>
      <c r="U169" s="30" t="str">
        <f t="shared" si="4"/>
        <v/>
      </c>
      <c r="V169" s="37"/>
      <c r="W169" s="31"/>
      <c r="X169" s="34"/>
      <c r="Y169" s="37"/>
      <c r="Z169" s="31"/>
      <c r="AA169" s="34"/>
      <c r="AB169" s="37"/>
      <c r="AC169" s="31"/>
      <c r="AD169" s="34"/>
      <c r="AE169" s="30" t="str">
        <f t="shared" si="5"/>
        <v/>
      </c>
      <c r="AF169" s="41" t="str">
        <f t="shared" si="6"/>
        <v/>
      </c>
      <c r="AG169" s="40" t="str">
        <f t="shared" si="13"/>
        <v/>
      </c>
      <c r="AH169" s="32" t="str">
        <f>IF(OR($L169="",$H169="",$AG169&lt;=0),"",MAX(0,TODAY()-($H169+Settings!$J$6)))</f>
        <v/>
      </c>
      <c r="AI169" s="37"/>
      <c r="AJ169" s="33"/>
      <c r="AK169" s="31"/>
      <c r="AL169" s="31"/>
      <c r="AM169" s="31"/>
      <c r="AN169" s="34"/>
      <c r="AO169" s="44">
        <f t="shared" si="14"/>
        <v>0</v>
      </c>
      <c r="AP169" s="48" t="str">
        <f t="shared" si="9"/>
        <v/>
      </c>
      <c r="AQ169" s="33"/>
      <c r="AR169" s="49" t="str">
        <f t="shared" si="10"/>
        <v/>
      </c>
      <c r="AS169" s="49" t="str">
        <f t="shared" si="11"/>
        <v/>
      </c>
      <c r="AT169" s="32" t="str">
        <f t="shared" si="12"/>
        <v/>
      </c>
    </row>
    <row r="170" ht="18.0" customHeight="1">
      <c r="A170" s="31"/>
      <c r="B170" s="31"/>
      <c r="C170" s="31"/>
      <c r="D170" s="32" t="str">
        <f>IF($A170="","",IF(COUNT($D$2:D169)=0,Settings!$J$5,MAX($D$2:D169)+1))</f>
        <v/>
      </c>
      <c r="E170" s="33"/>
      <c r="F170" s="34"/>
      <c r="G170" s="34"/>
      <c r="H170" s="34"/>
      <c r="I170" s="31"/>
      <c r="J170" s="31"/>
      <c r="K170" s="31"/>
      <c r="L170" s="37"/>
      <c r="M170" s="30" t="str">
        <f t="shared" si="1"/>
        <v/>
      </c>
      <c r="N170" s="38"/>
      <c r="O170" s="30" t="str">
        <f>IF($L170="","",$L170*IF($N170="",Settings!$J$11,$N170))</f>
        <v/>
      </c>
      <c r="P170" s="30" t="str">
        <f t="shared" si="15"/>
        <v/>
      </c>
      <c r="Q170" s="31"/>
      <c r="R170" s="37"/>
      <c r="S170" s="30" t="str">
        <f>IF($L170="","",IF($Q170&lt;&gt;"Yes",0,IF($R170&lt;&gt;"",$R170,ROUND($L170*Settings!$J$4,2))))</f>
        <v/>
      </c>
      <c r="T170" s="40" t="str">
        <f t="shared" si="3"/>
        <v/>
      </c>
      <c r="U170" s="30" t="str">
        <f t="shared" si="4"/>
        <v/>
      </c>
      <c r="V170" s="37"/>
      <c r="W170" s="31"/>
      <c r="X170" s="34"/>
      <c r="Y170" s="37"/>
      <c r="Z170" s="31"/>
      <c r="AA170" s="34"/>
      <c r="AB170" s="37"/>
      <c r="AC170" s="31"/>
      <c r="AD170" s="34"/>
      <c r="AE170" s="30" t="str">
        <f t="shared" si="5"/>
        <v/>
      </c>
      <c r="AF170" s="41" t="str">
        <f t="shared" si="6"/>
        <v/>
      </c>
      <c r="AG170" s="40" t="str">
        <f t="shared" si="13"/>
        <v/>
      </c>
      <c r="AH170" s="32" t="str">
        <f>IF(OR($L170="",$H170="",$AG170&lt;=0),"",MAX(0,TODAY()-($H170+Settings!$J$6)))</f>
        <v/>
      </c>
      <c r="AI170" s="37"/>
      <c r="AJ170" s="33"/>
      <c r="AK170" s="31"/>
      <c r="AL170" s="31"/>
      <c r="AM170" s="31"/>
      <c r="AN170" s="34"/>
      <c r="AO170" s="44">
        <f t="shared" si="14"/>
        <v>0</v>
      </c>
      <c r="AP170" s="48" t="str">
        <f t="shared" si="9"/>
        <v/>
      </c>
      <c r="AQ170" s="33"/>
      <c r="AR170" s="49" t="str">
        <f t="shared" si="10"/>
        <v/>
      </c>
      <c r="AS170" s="49" t="str">
        <f t="shared" si="11"/>
        <v/>
      </c>
      <c r="AT170" s="32" t="str">
        <f t="shared" si="12"/>
        <v/>
      </c>
    </row>
    <row r="171" ht="18.0" customHeight="1">
      <c r="A171" s="31"/>
      <c r="B171" s="31"/>
      <c r="C171" s="31"/>
      <c r="D171" s="32" t="str">
        <f>IF($A171="","",IF(COUNT($D$2:D170)=0,Settings!$J$5,MAX($D$2:D170)+1))</f>
        <v/>
      </c>
      <c r="E171" s="33"/>
      <c r="F171" s="34"/>
      <c r="G171" s="34"/>
      <c r="H171" s="34"/>
      <c r="I171" s="31"/>
      <c r="J171" s="31"/>
      <c r="K171" s="31"/>
      <c r="L171" s="37"/>
      <c r="M171" s="30" t="str">
        <f t="shared" si="1"/>
        <v/>
      </c>
      <c r="N171" s="38"/>
      <c r="O171" s="30" t="str">
        <f>IF($L171="","",$L171*IF($N171="",Settings!$J$11,$N171))</f>
        <v/>
      </c>
      <c r="P171" s="30" t="str">
        <f t="shared" si="15"/>
        <v/>
      </c>
      <c r="Q171" s="31"/>
      <c r="R171" s="37"/>
      <c r="S171" s="30" t="str">
        <f>IF($L171="","",IF($Q171&lt;&gt;"Yes",0,IF($R171&lt;&gt;"",$R171,ROUND($L171*Settings!$J$4,2))))</f>
        <v/>
      </c>
      <c r="T171" s="40" t="str">
        <f t="shared" si="3"/>
        <v/>
      </c>
      <c r="U171" s="30" t="str">
        <f t="shared" si="4"/>
        <v/>
      </c>
      <c r="V171" s="37"/>
      <c r="W171" s="31"/>
      <c r="X171" s="34"/>
      <c r="Y171" s="37"/>
      <c r="Z171" s="31"/>
      <c r="AA171" s="34"/>
      <c r="AB171" s="37"/>
      <c r="AC171" s="31"/>
      <c r="AD171" s="34"/>
      <c r="AE171" s="30" t="str">
        <f t="shared" si="5"/>
        <v/>
      </c>
      <c r="AF171" s="41" t="str">
        <f t="shared" si="6"/>
        <v/>
      </c>
      <c r="AG171" s="40" t="str">
        <f t="shared" si="13"/>
        <v/>
      </c>
      <c r="AH171" s="32" t="str">
        <f>IF(OR($L171="",$H171="",$AG171&lt;=0),"",MAX(0,TODAY()-($H171+Settings!$J$6)))</f>
        <v/>
      </c>
      <c r="AI171" s="37"/>
      <c r="AJ171" s="33"/>
      <c r="AK171" s="31"/>
      <c r="AL171" s="31"/>
      <c r="AM171" s="31"/>
      <c r="AN171" s="34"/>
      <c r="AO171" s="44">
        <f t="shared" si="14"/>
        <v>0</v>
      </c>
      <c r="AP171" s="48" t="str">
        <f t="shared" si="9"/>
        <v/>
      </c>
      <c r="AQ171" s="33"/>
      <c r="AR171" s="49" t="str">
        <f t="shared" si="10"/>
        <v/>
      </c>
      <c r="AS171" s="49" t="str">
        <f t="shared" si="11"/>
        <v/>
      </c>
      <c r="AT171" s="32" t="str">
        <f t="shared" si="12"/>
        <v/>
      </c>
    </row>
    <row r="172" ht="18.0" customHeight="1">
      <c r="A172" s="31"/>
      <c r="B172" s="31"/>
      <c r="C172" s="31"/>
      <c r="D172" s="32" t="str">
        <f>IF($A172="","",IF(COUNT($D$2:D171)=0,Settings!$J$5,MAX($D$2:D171)+1))</f>
        <v/>
      </c>
      <c r="E172" s="33"/>
      <c r="F172" s="34"/>
      <c r="G172" s="34"/>
      <c r="H172" s="34"/>
      <c r="I172" s="31"/>
      <c r="J172" s="31"/>
      <c r="K172" s="31"/>
      <c r="L172" s="37"/>
      <c r="M172" s="30" t="str">
        <f t="shared" si="1"/>
        <v/>
      </c>
      <c r="N172" s="38"/>
      <c r="O172" s="30" t="str">
        <f>IF($L172="","",$L172*IF($N172="",Settings!$J$11,$N172))</f>
        <v/>
      </c>
      <c r="P172" s="30" t="str">
        <f t="shared" si="15"/>
        <v/>
      </c>
      <c r="Q172" s="31"/>
      <c r="R172" s="37"/>
      <c r="S172" s="30" t="str">
        <f>IF($L172="","",IF($Q172&lt;&gt;"Yes",0,IF($R172&lt;&gt;"",$R172,ROUND($L172*Settings!$J$4,2))))</f>
        <v/>
      </c>
      <c r="T172" s="40" t="str">
        <f t="shared" si="3"/>
        <v/>
      </c>
      <c r="U172" s="30" t="str">
        <f t="shared" si="4"/>
        <v/>
      </c>
      <c r="V172" s="37"/>
      <c r="W172" s="31"/>
      <c r="X172" s="34"/>
      <c r="Y172" s="37"/>
      <c r="Z172" s="31"/>
      <c r="AA172" s="34"/>
      <c r="AB172" s="37"/>
      <c r="AC172" s="31"/>
      <c r="AD172" s="34"/>
      <c r="AE172" s="30" t="str">
        <f t="shared" si="5"/>
        <v/>
      </c>
      <c r="AF172" s="41" t="str">
        <f t="shared" si="6"/>
        <v/>
      </c>
      <c r="AG172" s="40" t="str">
        <f t="shared" si="13"/>
        <v/>
      </c>
      <c r="AH172" s="32" t="str">
        <f>IF(OR($L172="",$H172="",$AG172&lt;=0),"",MAX(0,TODAY()-($H172+Settings!$J$6)))</f>
        <v/>
      </c>
      <c r="AI172" s="37"/>
      <c r="AJ172" s="33"/>
      <c r="AK172" s="31"/>
      <c r="AL172" s="31"/>
      <c r="AM172" s="31"/>
      <c r="AN172" s="34"/>
      <c r="AO172" s="44">
        <f t="shared" si="14"/>
        <v>0</v>
      </c>
      <c r="AP172" s="48" t="str">
        <f t="shared" si="9"/>
        <v/>
      </c>
      <c r="AQ172" s="33"/>
      <c r="AR172" s="49" t="str">
        <f t="shared" si="10"/>
        <v/>
      </c>
      <c r="AS172" s="49" t="str">
        <f t="shared" si="11"/>
        <v/>
      </c>
      <c r="AT172" s="32" t="str">
        <f t="shared" si="12"/>
        <v/>
      </c>
    </row>
    <row r="173" ht="18.0" customHeight="1">
      <c r="A173" s="31"/>
      <c r="B173" s="31"/>
      <c r="C173" s="31"/>
      <c r="D173" s="32" t="str">
        <f>IF($A173="","",IF(COUNT($D$2:D172)=0,Settings!$J$5,MAX($D$2:D172)+1))</f>
        <v/>
      </c>
      <c r="E173" s="33"/>
      <c r="F173" s="34"/>
      <c r="G173" s="34"/>
      <c r="H173" s="34"/>
      <c r="I173" s="31"/>
      <c r="J173" s="31"/>
      <c r="K173" s="31"/>
      <c r="L173" s="37"/>
      <c r="M173" s="30" t="str">
        <f t="shared" si="1"/>
        <v/>
      </c>
      <c r="N173" s="38"/>
      <c r="O173" s="30" t="str">
        <f>IF($L173="","",$L173*IF($N173="",Settings!$J$11,$N173))</f>
        <v/>
      </c>
      <c r="P173" s="30" t="str">
        <f t="shared" si="15"/>
        <v/>
      </c>
      <c r="Q173" s="31"/>
      <c r="R173" s="37"/>
      <c r="S173" s="30" t="str">
        <f>IF($L173="","",IF($Q173&lt;&gt;"Yes",0,IF($R173&lt;&gt;"",$R173,ROUND($L173*Settings!$J$4,2))))</f>
        <v/>
      </c>
      <c r="T173" s="40" t="str">
        <f t="shared" si="3"/>
        <v/>
      </c>
      <c r="U173" s="30" t="str">
        <f t="shared" si="4"/>
        <v/>
      </c>
      <c r="V173" s="37"/>
      <c r="W173" s="31"/>
      <c r="X173" s="34"/>
      <c r="Y173" s="37"/>
      <c r="Z173" s="31"/>
      <c r="AA173" s="34"/>
      <c r="AB173" s="37"/>
      <c r="AC173" s="31"/>
      <c r="AD173" s="34"/>
      <c r="AE173" s="30" t="str">
        <f t="shared" si="5"/>
        <v/>
      </c>
      <c r="AF173" s="41" t="str">
        <f t="shared" si="6"/>
        <v/>
      </c>
      <c r="AG173" s="40" t="str">
        <f t="shared" si="13"/>
        <v/>
      </c>
      <c r="AH173" s="32" t="str">
        <f>IF(OR($L173="",$H173="",$AG173&lt;=0),"",MAX(0,TODAY()-($H173+Settings!$J$6)))</f>
        <v/>
      </c>
      <c r="AI173" s="37"/>
      <c r="AJ173" s="33"/>
      <c r="AK173" s="31"/>
      <c r="AL173" s="31"/>
      <c r="AM173" s="31"/>
      <c r="AN173" s="34"/>
      <c r="AO173" s="44">
        <f t="shared" si="14"/>
        <v>0</v>
      </c>
      <c r="AP173" s="48" t="str">
        <f t="shared" si="9"/>
        <v/>
      </c>
      <c r="AQ173" s="33"/>
      <c r="AR173" s="49" t="str">
        <f t="shared" si="10"/>
        <v/>
      </c>
      <c r="AS173" s="49" t="str">
        <f t="shared" si="11"/>
        <v/>
      </c>
      <c r="AT173" s="32" t="str">
        <f t="shared" si="12"/>
        <v/>
      </c>
    </row>
    <row r="174" ht="18.0" customHeight="1">
      <c r="A174" s="31"/>
      <c r="B174" s="31"/>
      <c r="C174" s="31"/>
      <c r="D174" s="32" t="str">
        <f>IF($A174="","",IF(COUNT($D$2:D173)=0,Settings!$J$5,MAX($D$2:D173)+1))</f>
        <v/>
      </c>
      <c r="E174" s="33"/>
      <c r="F174" s="34"/>
      <c r="G174" s="34"/>
      <c r="H174" s="34"/>
      <c r="I174" s="31"/>
      <c r="J174" s="31"/>
      <c r="K174" s="31"/>
      <c r="L174" s="37"/>
      <c r="M174" s="30" t="str">
        <f t="shared" si="1"/>
        <v/>
      </c>
      <c r="N174" s="38"/>
      <c r="O174" s="30" t="str">
        <f>IF($L174="","",$L174*IF($N174="",Settings!$J$11,$N174))</f>
        <v/>
      </c>
      <c r="P174" s="30" t="str">
        <f t="shared" si="15"/>
        <v/>
      </c>
      <c r="Q174" s="31"/>
      <c r="R174" s="37"/>
      <c r="S174" s="30" t="str">
        <f>IF($L174="","",IF($Q174&lt;&gt;"Yes",0,IF($R174&lt;&gt;"",$R174,ROUND($L174*Settings!$J$4,2))))</f>
        <v/>
      </c>
      <c r="T174" s="40" t="str">
        <f t="shared" si="3"/>
        <v/>
      </c>
      <c r="U174" s="30" t="str">
        <f t="shared" si="4"/>
        <v/>
      </c>
      <c r="V174" s="37"/>
      <c r="W174" s="31"/>
      <c r="X174" s="34"/>
      <c r="Y174" s="37"/>
      <c r="Z174" s="31"/>
      <c r="AA174" s="34"/>
      <c r="AB174" s="37"/>
      <c r="AC174" s="31"/>
      <c r="AD174" s="34"/>
      <c r="AE174" s="30" t="str">
        <f t="shared" si="5"/>
        <v/>
      </c>
      <c r="AF174" s="41" t="str">
        <f t="shared" si="6"/>
        <v/>
      </c>
      <c r="AG174" s="40" t="str">
        <f t="shared" si="13"/>
        <v/>
      </c>
      <c r="AH174" s="32" t="str">
        <f>IF(OR($L174="",$H174="",$AG174&lt;=0),"",MAX(0,TODAY()-($H174+Settings!$J$6)))</f>
        <v/>
      </c>
      <c r="AI174" s="37"/>
      <c r="AJ174" s="33"/>
      <c r="AK174" s="31"/>
      <c r="AL174" s="31"/>
      <c r="AM174" s="31"/>
      <c r="AN174" s="34"/>
      <c r="AO174" s="44">
        <f t="shared" si="14"/>
        <v>0</v>
      </c>
      <c r="AP174" s="48" t="str">
        <f t="shared" si="9"/>
        <v/>
      </c>
      <c r="AQ174" s="33"/>
      <c r="AR174" s="49" t="str">
        <f t="shared" si="10"/>
        <v/>
      </c>
      <c r="AS174" s="49" t="str">
        <f t="shared" si="11"/>
        <v/>
      </c>
      <c r="AT174" s="32" t="str">
        <f t="shared" si="12"/>
        <v/>
      </c>
    </row>
    <row r="175" ht="18.0" customHeight="1">
      <c r="A175" s="31"/>
      <c r="B175" s="31"/>
      <c r="C175" s="31"/>
      <c r="D175" s="32" t="str">
        <f>IF($A175="","",IF(COUNT($D$2:D174)=0,Settings!$J$5,MAX($D$2:D174)+1))</f>
        <v/>
      </c>
      <c r="E175" s="33"/>
      <c r="F175" s="34"/>
      <c r="G175" s="34"/>
      <c r="H175" s="34"/>
      <c r="I175" s="31"/>
      <c r="J175" s="31"/>
      <c r="K175" s="31"/>
      <c r="L175" s="37"/>
      <c r="M175" s="30" t="str">
        <f t="shared" si="1"/>
        <v/>
      </c>
      <c r="N175" s="38"/>
      <c r="O175" s="30" t="str">
        <f>IF($L175="","",$L175*IF($N175="",Settings!$J$11,$N175))</f>
        <v/>
      </c>
      <c r="P175" s="30" t="str">
        <f t="shared" si="15"/>
        <v/>
      </c>
      <c r="Q175" s="31"/>
      <c r="R175" s="37"/>
      <c r="S175" s="30" t="str">
        <f>IF($L175="","",IF($Q175&lt;&gt;"Yes",0,IF($R175&lt;&gt;"",$R175,ROUND($L175*Settings!$J$4,2))))</f>
        <v/>
      </c>
      <c r="T175" s="40" t="str">
        <f t="shared" si="3"/>
        <v/>
      </c>
      <c r="U175" s="30" t="str">
        <f t="shared" si="4"/>
        <v/>
      </c>
      <c r="V175" s="37"/>
      <c r="W175" s="31"/>
      <c r="X175" s="34"/>
      <c r="Y175" s="37"/>
      <c r="Z175" s="31"/>
      <c r="AA175" s="34"/>
      <c r="AB175" s="37"/>
      <c r="AC175" s="31"/>
      <c r="AD175" s="34"/>
      <c r="AE175" s="30" t="str">
        <f t="shared" si="5"/>
        <v/>
      </c>
      <c r="AF175" s="41" t="str">
        <f t="shared" si="6"/>
        <v/>
      </c>
      <c r="AG175" s="40" t="str">
        <f t="shared" si="13"/>
        <v/>
      </c>
      <c r="AH175" s="32" t="str">
        <f>IF(OR($L175="",$H175="",$AG175&lt;=0),"",MAX(0,TODAY()-($H175+Settings!$J$6)))</f>
        <v/>
      </c>
      <c r="AI175" s="37"/>
      <c r="AJ175" s="33"/>
      <c r="AK175" s="31"/>
      <c r="AL175" s="31"/>
      <c r="AM175" s="31"/>
      <c r="AN175" s="34"/>
      <c r="AO175" s="44">
        <f t="shared" si="14"/>
        <v>0</v>
      </c>
      <c r="AP175" s="48" t="str">
        <f t="shared" si="9"/>
        <v/>
      </c>
      <c r="AQ175" s="33"/>
      <c r="AR175" s="49" t="str">
        <f t="shared" si="10"/>
        <v/>
      </c>
      <c r="AS175" s="49" t="str">
        <f t="shared" si="11"/>
        <v/>
      </c>
      <c r="AT175" s="32" t="str">
        <f t="shared" si="12"/>
        <v/>
      </c>
    </row>
    <row r="176" ht="18.0" customHeight="1">
      <c r="A176" s="31"/>
      <c r="B176" s="31"/>
      <c r="C176" s="31"/>
      <c r="D176" s="32" t="str">
        <f>IF($A176="","",IF(COUNT($D$2:D175)=0,Settings!$J$5,MAX($D$2:D175)+1))</f>
        <v/>
      </c>
      <c r="E176" s="33"/>
      <c r="F176" s="34"/>
      <c r="G176" s="34"/>
      <c r="H176" s="34"/>
      <c r="I176" s="31"/>
      <c r="J176" s="31"/>
      <c r="K176" s="31"/>
      <c r="L176" s="37"/>
      <c r="M176" s="30" t="str">
        <f t="shared" si="1"/>
        <v/>
      </c>
      <c r="N176" s="38"/>
      <c r="O176" s="30" t="str">
        <f>IF($L176="","",$L176*IF($N176="",Settings!$J$11,$N176))</f>
        <v/>
      </c>
      <c r="P176" s="30" t="str">
        <f t="shared" si="15"/>
        <v/>
      </c>
      <c r="Q176" s="31"/>
      <c r="R176" s="37"/>
      <c r="S176" s="30" t="str">
        <f>IF($L176="","",IF($Q176&lt;&gt;"Yes",0,IF($R176&lt;&gt;"",$R176,ROUND($L176*Settings!$J$4,2))))</f>
        <v/>
      </c>
      <c r="T176" s="40" t="str">
        <f t="shared" si="3"/>
        <v/>
      </c>
      <c r="U176" s="30" t="str">
        <f t="shared" si="4"/>
        <v/>
      </c>
      <c r="V176" s="37"/>
      <c r="W176" s="31"/>
      <c r="X176" s="34"/>
      <c r="Y176" s="37"/>
      <c r="Z176" s="31"/>
      <c r="AA176" s="34"/>
      <c r="AB176" s="37"/>
      <c r="AC176" s="31"/>
      <c r="AD176" s="34"/>
      <c r="AE176" s="30" t="str">
        <f t="shared" si="5"/>
        <v/>
      </c>
      <c r="AF176" s="41" t="str">
        <f t="shared" si="6"/>
        <v/>
      </c>
      <c r="AG176" s="40" t="str">
        <f t="shared" si="13"/>
        <v/>
      </c>
      <c r="AH176" s="32" t="str">
        <f>IF(OR($L176="",$H176="",$AG176&lt;=0),"",MAX(0,TODAY()-($H176+Settings!$J$6)))</f>
        <v/>
      </c>
      <c r="AI176" s="37"/>
      <c r="AJ176" s="33"/>
      <c r="AK176" s="31"/>
      <c r="AL176" s="31"/>
      <c r="AM176" s="31"/>
      <c r="AN176" s="34"/>
      <c r="AO176" s="44">
        <f t="shared" si="14"/>
        <v>0</v>
      </c>
      <c r="AP176" s="48" t="str">
        <f t="shared" si="9"/>
        <v/>
      </c>
      <c r="AQ176" s="33"/>
      <c r="AR176" s="49" t="str">
        <f t="shared" si="10"/>
        <v/>
      </c>
      <c r="AS176" s="49" t="str">
        <f t="shared" si="11"/>
        <v/>
      </c>
      <c r="AT176" s="32" t="str">
        <f t="shared" si="12"/>
        <v/>
      </c>
    </row>
    <row r="177" ht="18.0" customHeight="1">
      <c r="A177" s="31"/>
      <c r="B177" s="31"/>
      <c r="C177" s="31"/>
      <c r="D177" s="32" t="str">
        <f>IF($A177="","",IF(COUNT($D$2:D176)=0,Settings!$J$5,MAX($D$2:D176)+1))</f>
        <v/>
      </c>
      <c r="E177" s="33"/>
      <c r="F177" s="34"/>
      <c r="G177" s="34"/>
      <c r="H177" s="34"/>
      <c r="I177" s="31"/>
      <c r="J177" s="31"/>
      <c r="K177" s="31"/>
      <c r="L177" s="37"/>
      <c r="M177" s="30" t="str">
        <f t="shared" si="1"/>
        <v/>
      </c>
      <c r="N177" s="38"/>
      <c r="O177" s="30" t="str">
        <f>IF($L177="","",$L177*IF($N177="",Settings!$J$11,$N177))</f>
        <v/>
      </c>
      <c r="P177" s="30" t="str">
        <f t="shared" si="15"/>
        <v/>
      </c>
      <c r="Q177" s="31"/>
      <c r="R177" s="37"/>
      <c r="S177" s="30" t="str">
        <f>IF($L177="","",IF($Q177&lt;&gt;"Yes",0,IF($R177&lt;&gt;"",$R177,ROUND($L177*Settings!$J$4,2))))</f>
        <v/>
      </c>
      <c r="T177" s="40" t="str">
        <f t="shared" si="3"/>
        <v/>
      </c>
      <c r="U177" s="30" t="str">
        <f t="shared" si="4"/>
        <v/>
      </c>
      <c r="V177" s="37"/>
      <c r="W177" s="31"/>
      <c r="X177" s="34"/>
      <c r="Y177" s="37"/>
      <c r="Z177" s="31"/>
      <c r="AA177" s="34"/>
      <c r="AB177" s="37"/>
      <c r="AC177" s="31"/>
      <c r="AD177" s="34"/>
      <c r="AE177" s="30" t="str">
        <f t="shared" si="5"/>
        <v/>
      </c>
      <c r="AF177" s="41" t="str">
        <f t="shared" si="6"/>
        <v/>
      </c>
      <c r="AG177" s="40" t="str">
        <f t="shared" si="13"/>
        <v/>
      </c>
      <c r="AH177" s="32" t="str">
        <f>IF(OR($L177="",$H177="",$AG177&lt;=0),"",MAX(0,TODAY()-($H177+Settings!$J$6)))</f>
        <v/>
      </c>
      <c r="AI177" s="37"/>
      <c r="AJ177" s="33"/>
      <c r="AK177" s="31"/>
      <c r="AL177" s="31"/>
      <c r="AM177" s="31"/>
      <c r="AN177" s="34"/>
      <c r="AO177" s="44">
        <f t="shared" si="14"/>
        <v>0</v>
      </c>
      <c r="AP177" s="48" t="str">
        <f t="shared" si="9"/>
        <v/>
      </c>
      <c r="AQ177" s="33"/>
      <c r="AR177" s="49" t="str">
        <f t="shared" si="10"/>
        <v/>
      </c>
      <c r="AS177" s="49" t="str">
        <f t="shared" si="11"/>
        <v/>
      </c>
      <c r="AT177" s="32" t="str">
        <f t="shared" si="12"/>
        <v/>
      </c>
    </row>
    <row r="178" ht="18.0" customHeight="1">
      <c r="A178" s="31"/>
      <c r="B178" s="31"/>
      <c r="C178" s="31"/>
      <c r="D178" s="32" t="str">
        <f>IF($A178="","",IF(COUNT($D$2:D177)=0,Settings!$J$5,MAX($D$2:D177)+1))</f>
        <v/>
      </c>
      <c r="E178" s="33"/>
      <c r="F178" s="34"/>
      <c r="G178" s="34"/>
      <c r="H178" s="34"/>
      <c r="I178" s="31"/>
      <c r="J178" s="31"/>
      <c r="K178" s="31"/>
      <c r="L178" s="37"/>
      <c r="M178" s="30" t="str">
        <f t="shared" si="1"/>
        <v/>
      </c>
      <c r="N178" s="38"/>
      <c r="O178" s="30" t="str">
        <f>IF($L178="","",$L178*IF($N178="",Settings!$J$11,$N178))</f>
        <v/>
      </c>
      <c r="P178" s="30" t="str">
        <f t="shared" si="15"/>
        <v/>
      </c>
      <c r="Q178" s="31"/>
      <c r="R178" s="37"/>
      <c r="S178" s="30" t="str">
        <f>IF($L178="","",IF($Q178&lt;&gt;"Yes",0,IF($R178&lt;&gt;"",$R178,ROUND($L178*Settings!$J$4,2))))</f>
        <v/>
      </c>
      <c r="T178" s="40" t="str">
        <f t="shared" si="3"/>
        <v/>
      </c>
      <c r="U178" s="30" t="str">
        <f t="shared" si="4"/>
        <v/>
      </c>
      <c r="V178" s="37"/>
      <c r="W178" s="31"/>
      <c r="X178" s="34"/>
      <c r="Y178" s="37"/>
      <c r="Z178" s="31"/>
      <c r="AA178" s="34"/>
      <c r="AB178" s="37"/>
      <c r="AC178" s="31"/>
      <c r="AD178" s="34"/>
      <c r="AE178" s="30" t="str">
        <f t="shared" si="5"/>
        <v/>
      </c>
      <c r="AF178" s="41" t="str">
        <f t="shared" si="6"/>
        <v/>
      </c>
      <c r="AG178" s="40" t="str">
        <f t="shared" si="13"/>
        <v/>
      </c>
      <c r="AH178" s="32" t="str">
        <f>IF(OR($L178="",$H178="",$AG178&lt;=0),"",MAX(0,TODAY()-($H178+Settings!$J$6)))</f>
        <v/>
      </c>
      <c r="AI178" s="37"/>
      <c r="AJ178" s="33"/>
      <c r="AK178" s="31"/>
      <c r="AL178" s="31"/>
      <c r="AM178" s="31"/>
      <c r="AN178" s="34"/>
      <c r="AO178" s="44">
        <f t="shared" si="14"/>
        <v>0</v>
      </c>
      <c r="AP178" s="48" t="str">
        <f t="shared" si="9"/>
        <v/>
      </c>
      <c r="AQ178" s="33"/>
      <c r="AR178" s="49" t="str">
        <f t="shared" si="10"/>
        <v/>
      </c>
      <c r="AS178" s="49" t="str">
        <f t="shared" si="11"/>
        <v/>
      </c>
      <c r="AT178" s="32" t="str">
        <f t="shared" si="12"/>
        <v/>
      </c>
    </row>
    <row r="179" ht="18.0" customHeight="1">
      <c r="A179" s="31"/>
      <c r="B179" s="31"/>
      <c r="C179" s="31"/>
      <c r="D179" s="32" t="str">
        <f>IF($A179="","",IF(COUNT($D$2:D178)=0,Settings!$J$5,MAX($D$2:D178)+1))</f>
        <v/>
      </c>
      <c r="E179" s="33"/>
      <c r="F179" s="34"/>
      <c r="G179" s="34"/>
      <c r="H179" s="34"/>
      <c r="I179" s="31"/>
      <c r="J179" s="31"/>
      <c r="K179" s="31"/>
      <c r="L179" s="37"/>
      <c r="M179" s="30" t="str">
        <f t="shared" si="1"/>
        <v/>
      </c>
      <c r="N179" s="38"/>
      <c r="O179" s="30" t="str">
        <f>IF($L179="","",$L179*IF($N179="",Settings!$J$11,$N179))</f>
        <v/>
      </c>
      <c r="P179" s="30" t="str">
        <f t="shared" si="15"/>
        <v/>
      </c>
      <c r="Q179" s="31"/>
      <c r="R179" s="37"/>
      <c r="S179" s="30" t="str">
        <f>IF($L179="","",IF($Q179&lt;&gt;"Yes",0,IF($R179&lt;&gt;"",$R179,ROUND($L179*Settings!$J$4,2))))</f>
        <v/>
      </c>
      <c r="T179" s="40" t="str">
        <f t="shared" si="3"/>
        <v/>
      </c>
      <c r="U179" s="30" t="str">
        <f t="shared" si="4"/>
        <v/>
      </c>
      <c r="V179" s="37"/>
      <c r="W179" s="31"/>
      <c r="X179" s="34"/>
      <c r="Y179" s="37"/>
      <c r="Z179" s="31"/>
      <c r="AA179" s="34"/>
      <c r="AB179" s="37"/>
      <c r="AC179" s="31"/>
      <c r="AD179" s="34"/>
      <c r="AE179" s="30" t="str">
        <f t="shared" si="5"/>
        <v/>
      </c>
      <c r="AF179" s="41" t="str">
        <f t="shared" si="6"/>
        <v/>
      </c>
      <c r="AG179" s="40" t="str">
        <f t="shared" si="13"/>
        <v/>
      </c>
      <c r="AH179" s="32" t="str">
        <f>IF(OR($L179="",$H179="",$AG179&lt;=0),"",MAX(0,TODAY()-($H179+Settings!$J$6)))</f>
        <v/>
      </c>
      <c r="AI179" s="37"/>
      <c r="AJ179" s="33"/>
      <c r="AK179" s="31"/>
      <c r="AL179" s="31"/>
      <c r="AM179" s="31"/>
      <c r="AN179" s="34"/>
      <c r="AO179" s="44">
        <f t="shared" si="14"/>
        <v>0</v>
      </c>
      <c r="AP179" s="48" t="str">
        <f t="shared" si="9"/>
        <v/>
      </c>
      <c r="AQ179" s="33"/>
      <c r="AR179" s="49" t="str">
        <f t="shared" si="10"/>
        <v/>
      </c>
      <c r="AS179" s="49" t="str">
        <f t="shared" si="11"/>
        <v/>
      </c>
      <c r="AT179" s="32" t="str">
        <f t="shared" si="12"/>
        <v/>
      </c>
    </row>
    <row r="180" ht="18.0" customHeight="1">
      <c r="A180" s="31"/>
      <c r="B180" s="31"/>
      <c r="C180" s="31"/>
      <c r="D180" s="32" t="str">
        <f>IF($A180="","",IF(COUNT($D$2:D179)=0,Settings!$J$5,MAX($D$2:D179)+1))</f>
        <v/>
      </c>
      <c r="E180" s="33"/>
      <c r="F180" s="34"/>
      <c r="G180" s="34"/>
      <c r="H180" s="34"/>
      <c r="I180" s="31"/>
      <c r="J180" s="31"/>
      <c r="K180" s="31"/>
      <c r="L180" s="37"/>
      <c r="M180" s="30" t="str">
        <f t="shared" si="1"/>
        <v/>
      </c>
      <c r="N180" s="38"/>
      <c r="O180" s="30" t="str">
        <f>IF($L180="","",$L180*IF($N180="",Settings!$J$11,$N180))</f>
        <v/>
      </c>
      <c r="P180" s="30" t="str">
        <f t="shared" si="15"/>
        <v/>
      </c>
      <c r="Q180" s="31"/>
      <c r="R180" s="37"/>
      <c r="S180" s="30" t="str">
        <f>IF($L180="","",IF($Q180&lt;&gt;"Yes",0,IF($R180&lt;&gt;"",$R180,ROUND($L180*Settings!$J$4,2))))</f>
        <v/>
      </c>
      <c r="T180" s="40" t="str">
        <f t="shared" si="3"/>
        <v/>
      </c>
      <c r="U180" s="30" t="str">
        <f t="shared" si="4"/>
        <v/>
      </c>
      <c r="V180" s="37"/>
      <c r="W180" s="31"/>
      <c r="X180" s="34"/>
      <c r="Y180" s="37"/>
      <c r="Z180" s="31"/>
      <c r="AA180" s="34"/>
      <c r="AB180" s="37"/>
      <c r="AC180" s="31"/>
      <c r="AD180" s="34"/>
      <c r="AE180" s="30" t="str">
        <f t="shared" si="5"/>
        <v/>
      </c>
      <c r="AF180" s="41" t="str">
        <f t="shared" si="6"/>
        <v/>
      </c>
      <c r="AG180" s="40" t="str">
        <f t="shared" si="13"/>
        <v/>
      </c>
      <c r="AH180" s="32" t="str">
        <f>IF(OR($L180="",$H180="",$AG180&lt;=0),"",MAX(0,TODAY()-($H180+Settings!$J$6)))</f>
        <v/>
      </c>
      <c r="AI180" s="37"/>
      <c r="AJ180" s="33"/>
      <c r="AK180" s="31"/>
      <c r="AL180" s="31"/>
      <c r="AM180" s="31"/>
      <c r="AN180" s="34"/>
      <c r="AO180" s="44">
        <f t="shared" si="14"/>
        <v>0</v>
      </c>
      <c r="AP180" s="48" t="str">
        <f t="shared" si="9"/>
        <v/>
      </c>
      <c r="AQ180" s="33"/>
      <c r="AR180" s="49" t="str">
        <f t="shared" si="10"/>
        <v/>
      </c>
      <c r="AS180" s="49" t="str">
        <f t="shared" si="11"/>
        <v/>
      </c>
      <c r="AT180" s="32" t="str">
        <f t="shared" si="12"/>
        <v/>
      </c>
    </row>
    <row r="181" ht="18.0" customHeight="1">
      <c r="A181" s="31"/>
      <c r="B181" s="31"/>
      <c r="C181" s="31"/>
      <c r="D181" s="32" t="str">
        <f>IF($A181="","",IF(COUNT($D$2:D180)=0,Settings!$J$5,MAX($D$2:D180)+1))</f>
        <v/>
      </c>
      <c r="E181" s="33"/>
      <c r="F181" s="34"/>
      <c r="G181" s="34"/>
      <c r="H181" s="34"/>
      <c r="I181" s="31"/>
      <c r="J181" s="31"/>
      <c r="K181" s="31"/>
      <c r="L181" s="37"/>
      <c r="M181" s="30" t="str">
        <f t="shared" si="1"/>
        <v/>
      </c>
      <c r="N181" s="38"/>
      <c r="O181" s="30" t="str">
        <f>IF($L181="","",$L181*IF($N181="",Settings!$J$11,$N181))</f>
        <v/>
      </c>
      <c r="P181" s="30" t="str">
        <f t="shared" si="15"/>
        <v/>
      </c>
      <c r="Q181" s="31"/>
      <c r="R181" s="37"/>
      <c r="S181" s="30" t="str">
        <f>IF($L181="","",IF($Q181&lt;&gt;"Yes",0,IF($R181&lt;&gt;"",$R181,ROUND($L181*Settings!$J$4,2))))</f>
        <v/>
      </c>
      <c r="T181" s="40" t="str">
        <f t="shared" si="3"/>
        <v/>
      </c>
      <c r="U181" s="30" t="str">
        <f t="shared" si="4"/>
        <v/>
      </c>
      <c r="V181" s="37"/>
      <c r="W181" s="31"/>
      <c r="X181" s="34"/>
      <c r="Y181" s="37"/>
      <c r="Z181" s="31"/>
      <c r="AA181" s="34"/>
      <c r="AB181" s="37"/>
      <c r="AC181" s="31"/>
      <c r="AD181" s="34"/>
      <c r="AE181" s="30" t="str">
        <f t="shared" si="5"/>
        <v/>
      </c>
      <c r="AF181" s="41" t="str">
        <f t="shared" si="6"/>
        <v/>
      </c>
      <c r="AG181" s="40" t="str">
        <f t="shared" si="13"/>
        <v/>
      </c>
      <c r="AH181" s="32" t="str">
        <f>IF(OR($L181="",$H181="",$AG181&lt;=0),"",MAX(0,TODAY()-($H181+Settings!$J$6)))</f>
        <v/>
      </c>
      <c r="AI181" s="37"/>
      <c r="AJ181" s="33"/>
      <c r="AK181" s="31"/>
      <c r="AL181" s="31"/>
      <c r="AM181" s="31"/>
      <c r="AN181" s="34"/>
      <c r="AO181" s="44">
        <f t="shared" si="14"/>
        <v>0</v>
      </c>
      <c r="AP181" s="48" t="str">
        <f t="shared" si="9"/>
        <v/>
      </c>
      <c r="AQ181" s="33"/>
      <c r="AR181" s="49" t="str">
        <f t="shared" si="10"/>
        <v/>
      </c>
      <c r="AS181" s="49" t="str">
        <f t="shared" si="11"/>
        <v/>
      </c>
      <c r="AT181" s="32" t="str">
        <f t="shared" si="12"/>
        <v/>
      </c>
    </row>
    <row r="182" ht="18.0" customHeight="1">
      <c r="A182" s="31"/>
      <c r="B182" s="31"/>
      <c r="C182" s="31"/>
      <c r="D182" s="32" t="str">
        <f>IF($A182="","",IF(COUNT($D$2:D181)=0,Settings!$J$5,MAX($D$2:D181)+1))</f>
        <v/>
      </c>
      <c r="E182" s="33"/>
      <c r="F182" s="34"/>
      <c r="G182" s="34"/>
      <c r="H182" s="34"/>
      <c r="I182" s="31"/>
      <c r="J182" s="31"/>
      <c r="K182" s="31"/>
      <c r="L182" s="37"/>
      <c r="M182" s="30" t="str">
        <f t="shared" si="1"/>
        <v/>
      </c>
      <c r="N182" s="38"/>
      <c r="O182" s="30" t="str">
        <f>IF($L182="","",$L182*IF($N182="",Settings!$J$11,$N182))</f>
        <v/>
      </c>
      <c r="P182" s="30" t="str">
        <f t="shared" si="15"/>
        <v/>
      </c>
      <c r="Q182" s="31"/>
      <c r="R182" s="37"/>
      <c r="S182" s="30" t="str">
        <f>IF($L182="","",IF($Q182&lt;&gt;"Yes",0,IF($R182&lt;&gt;"",$R182,ROUND($L182*Settings!$J$4,2))))</f>
        <v/>
      </c>
      <c r="T182" s="40" t="str">
        <f t="shared" si="3"/>
        <v/>
      </c>
      <c r="U182" s="30" t="str">
        <f t="shared" si="4"/>
        <v/>
      </c>
      <c r="V182" s="37"/>
      <c r="W182" s="31"/>
      <c r="X182" s="34"/>
      <c r="Y182" s="37"/>
      <c r="Z182" s="31"/>
      <c r="AA182" s="34"/>
      <c r="AB182" s="37"/>
      <c r="AC182" s="31"/>
      <c r="AD182" s="34"/>
      <c r="AE182" s="30" t="str">
        <f t="shared" si="5"/>
        <v/>
      </c>
      <c r="AF182" s="41" t="str">
        <f t="shared" si="6"/>
        <v/>
      </c>
      <c r="AG182" s="40" t="str">
        <f t="shared" si="13"/>
        <v/>
      </c>
      <c r="AH182" s="32" t="str">
        <f>IF(OR($L182="",$H182="",$AG182&lt;=0),"",MAX(0,TODAY()-($H182+Settings!$J$6)))</f>
        <v/>
      </c>
      <c r="AI182" s="37"/>
      <c r="AJ182" s="33"/>
      <c r="AK182" s="31"/>
      <c r="AL182" s="31"/>
      <c r="AM182" s="31"/>
      <c r="AN182" s="34"/>
      <c r="AO182" s="44">
        <f t="shared" si="14"/>
        <v>0</v>
      </c>
      <c r="AP182" s="48" t="str">
        <f t="shared" si="9"/>
        <v/>
      </c>
      <c r="AQ182" s="33"/>
      <c r="AR182" s="49" t="str">
        <f t="shared" si="10"/>
        <v/>
      </c>
      <c r="AS182" s="49" t="str">
        <f t="shared" si="11"/>
        <v/>
      </c>
      <c r="AT182" s="32" t="str">
        <f t="shared" si="12"/>
        <v/>
      </c>
    </row>
    <row r="183" ht="18.0" customHeight="1">
      <c r="A183" s="31"/>
      <c r="B183" s="31"/>
      <c r="C183" s="31"/>
      <c r="D183" s="32" t="str">
        <f>IF($A183="","",IF(COUNT($D$2:D182)=0,Settings!$J$5,MAX($D$2:D182)+1))</f>
        <v/>
      </c>
      <c r="E183" s="33"/>
      <c r="F183" s="34"/>
      <c r="G183" s="34"/>
      <c r="H183" s="34"/>
      <c r="I183" s="31"/>
      <c r="J183" s="31"/>
      <c r="K183" s="31"/>
      <c r="L183" s="37"/>
      <c r="M183" s="30" t="str">
        <f t="shared" si="1"/>
        <v/>
      </c>
      <c r="N183" s="38"/>
      <c r="O183" s="30" t="str">
        <f>IF($L183="","",$L183*IF($N183="",Settings!$J$11,$N183))</f>
        <v/>
      </c>
      <c r="P183" s="30" t="str">
        <f t="shared" si="15"/>
        <v/>
      </c>
      <c r="Q183" s="31"/>
      <c r="R183" s="37"/>
      <c r="S183" s="30" t="str">
        <f>IF($L183="","",IF($Q183&lt;&gt;"Yes",0,IF($R183&lt;&gt;"",$R183,ROUND($L183*Settings!$J$4,2))))</f>
        <v/>
      </c>
      <c r="T183" s="40" t="str">
        <f t="shared" si="3"/>
        <v/>
      </c>
      <c r="U183" s="30" t="str">
        <f t="shared" si="4"/>
        <v/>
      </c>
      <c r="V183" s="37"/>
      <c r="W183" s="31"/>
      <c r="X183" s="34"/>
      <c r="Y183" s="37"/>
      <c r="Z183" s="31"/>
      <c r="AA183" s="34"/>
      <c r="AB183" s="37"/>
      <c r="AC183" s="31"/>
      <c r="AD183" s="34"/>
      <c r="AE183" s="30" t="str">
        <f t="shared" si="5"/>
        <v/>
      </c>
      <c r="AF183" s="41" t="str">
        <f t="shared" si="6"/>
        <v/>
      </c>
      <c r="AG183" s="40" t="str">
        <f t="shared" si="13"/>
        <v/>
      </c>
      <c r="AH183" s="32" t="str">
        <f>IF(OR($L183="",$H183="",$AG183&lt;=0),"",MAX(0,TODAY()-($H183+Settings!$J$6)))</f>
        <v/>
      </c>
      <c r="AI183" s="37"/>
      <c r="AJ183" s="33"/>
      <c r="AK183" s="31"/>
      <c r="AL183" s="31"/>
      <c r="AM183" s="31"/>
      <c r="AN183" s="34"/>
      <c r="AO183" s="44">
        <f t="shared" si="14"/>
        <v>0</v>
      </c>
      <c r="AP183" s="48" t="str">
        <f t="shared" si="9"/>
        <v/>
      </c>
      <c r="AQ183" s="33"/>
      <c r="AR183" s="49" t="str">
        <f t="shared" si="10"/>
        <v/>
      </c>
      <c r="AS183" s="49" t="str">
        <f t="shared" si="11"/>
        <v/>
      </c>
      <c r="AT183" s="32" t="str">
        <f t="shared" si="12"/>
        <v/>
      </c>
    </row>
    <row r="184" ht="18.0" customHeight="1">
      <c r="A184" s="31"/>
      <c r="B184" s="31"/>
      <c r="C184" s="31"/>
      <c r="D184" s="32" t="str">
        <f>IF($A184="","",IF(COUNT($D$2:D183)=0,Settings!$J$5,MAX($D$2:D183)+1))</f>
        <v/>
      </c>
      <c r="E184" s="33"/>
      <c r="F184" s="34"/>
      <c r="G184" s="34"/>
      <c r="H184" s="34"/>
      <c r="I184" s="31"/>
      <c r="J184" s="31"/>
      <c r="K184" s="31"/>
      <c r="L184" s="37"/>
      <c r="M184" s="30" t="str">
        <f t="shared" si="1"/>
        <v/>
      </c>
      <c r="N184" s="38"/>
      <c r="O184" s="30" t="str">
        <f>IF($L184="","",$L184*IF($N184="",Settings!$J$11,$N184))</f>
        <v/>
      </c>
      <c r="P184" s="30" t="str">
        <f t="shared" si="15"/>
        <v/>
      </c>
      <c r="Q184" s="31"/>
      <c r="R184" s="37"/>
      <c r="S184" s="30" t="str">
        <f>IF($L184="","",IF($Q184&lt;&gt;"Yes",0,IF($R184&lt;&gt;"",$R184,ROUND($L184*Settings!$J$4,2))))</f>
        <v/>
      </c>
      <c r="T184" s="40" t="str">
        <f t="shared" si="3"/>
        <v/>
      </c>
      <c r="U184" s="30" t="str">
        <f t="shared" si="4"/>
        <v/>
      </c>
      <c r="V184" s="37"/>
      <c r="W184" s="31"/>
      <c r="X184" s="34"/>
      <c r="Y184" s="37"/>
      <c r="Z184" s="31"/>
      <c r="AA184" s="34"/>
      <c r="AB184" s="37"/>
      <c r="AC184" s="31"/>
      <c r="AD184" s="34"/>
      <c r="AE184" s="30" t="str">
        <f t="shared" si="5"/>
        <v/>
      </c>
      <c r="AF184" s="41" t="str">
        <f t="shared" si="6"/>
        <v/>
      </c>
      <c r="AG184" s="40" t="str">
        <f t="shared" si="13"/>
        <v/>
      </c>
      <c r="AH184" s="32" t="str">
        <f>IF(OR($L184="",$H184="",$AG184&lt;=0),"",MAX(0,TODAY()-($H184+Settings!$J$6)))</f>
        <v/>
      </c>
      <c r="AI184" s="37"/>
      <c r="AJ184" s="33"/>
      <c r="AK184" s="31"/>
      <c r="AL184" s="31"/>
      <c r="AM184" s="31"/>
      <c r="AN184" s="34"/>
      <c r="AO184" s="44">
        <f t="shared" si="14"/>
        <v>0</v>
      </c>
      <c r="AP184" s="48" t="str">
        <f t="shared" si="9"/>
        <v/>
      </c>
      <c r="AQ184" s="33"/>
      <c r="AR184" s="49" t="str">
        <f t="shared" si="10"/>
        <v/>
      </c>
      <c r="AS184" s="49" t="str">
        <f t="shared" si="11"/>
        <v/>
      </c>
      <c r="AT184" s="32" t="str">
        <f t="shared" si="12"/>
        <v/>
      </c>
    </row>
    <row r="185" ht="18.0" customHeight="1">
      <c r="A185" s="31"/>
      <c r="B185" s="31"/>
      <c r="C185" s="31"/>
      <c r="D185" s="32" t="str">
        <f>IF($A185="","",IF(COUNT($D$2:D184)=0,Settings!$J$5,MAX($D$2:D184)+1))</f>
        <v/>
      </c>
      <c r="E185" s="33"/>
      <c r="F185" s="34"/>
      <c r="G185" s="34"/>
      <c r="H185" s="34"/>
      <c r="I185" s="31"/>
      <c r="J185" s="31"/>
      <c r="K185" s="31"/>
      <c r="L185" s="37"/>
      <c r="M185" s="30" t="str">
        <f t="shared" si="1"/>
        <v/>
      </c>
      <c r="N185" s="38"/>
      <c r="O185" s="30" t="str">
        <f>IF($L185="","",$L185*IF($N185="",Settings!$J$11,$N185))</f>
        <v/>
      </c>
      <c r="P185" s="30" t="str">
        <f t="shared" si="15"/>
        <v/>
      </c>
      <c r="Q185" s="31"/>
      <c r="R185" s="37"/>
      <c r="S185" s="30" t="str">
        <f>IF($L185="","",IF($Q185&lt;&gt;"Yes",0,IF($R185&lt;&gt;"",$R185,ROUND($L185*Settings!$J$4,2))))</f>
        <v/>
      </c>
      <c r="T185" s="40" t="str">
        <f t="shared" si="3"/>
        <v/>
      </c>
      <c r="U185" s="30" t="str">
        <f t="shared" si="4"/>
        <v/>
      </c>
      <c r="V185" s="37"/>
      <c r="W185" s="31"/>
      <c r="X185" s="34"/>
      <c r="Y185" s="37"/>
      <c r="Z185" s="31"/>
      <c r="AA185" s="34"/>
      <c r="AB185" s="37"/>
      <c r="AC185" s="31"/>
      <c r="AD185" s="34"/>
      <c r="AE185" s="30" t="str">
        <f t="shared" si="5"/>
        <v/>
      </c>
      <c r="AF185" s="41" t="str">
        <f t="shared" si="6"/>
        <v/>
      </c>
      <c r="AG185" s="40" t="str">
        <f t="shared" si="13"/>
        <v/>
      </c>
      <c r="AH185" s="32" t="str">
        <f>IF(OR($L185="",$H185="",$AG185&lt;=0),"",MAX(0,TODAY()-($H185+Settings!$J$6)))</f>
        <v/>
      </c>
      <c r="AI185" s="37"/>
      <c r="AJ185" s="33"/>
      <c r="AK185" s="31"/>
      <c r="AL185" s="31"/>
      <c r="AM185" s="31"/>
      <c r="AN185" s="34"/>
      <c r="AO185" s="44">
        <f t="shared" si="14"/>
        <v>0</v>
      </c>
      <c r="AP185" s="48" t="str">
        <f t="shared" si="9"/>
        <v/>
      </c>
      <c r="AQ185" s="33"/>
      <c r="AR185" s="49" t="str">
        <f t="shared" si="10"/>
        <v/>
      </c>
      <c r="AS185" s="49" t="str">
        <f t="shared" si="11"/>
        <v/>
      </c>
      <c r="AT185" s="32" t="str">
        <f t="shared" si="12"/>
        <v/>
      </c>
    </row>
    <row r="186" ht="18.0" customHeight="1">
      <c r="A186" s="31"/>
      <c r="B186" s="31"/>
      <c r="C186" s="31"/>
      <c r="D186" s="32" t="str">
        <f>IF($A186="","",IF(COUNT($D$2:D185)=0,Settings!$J$5,MAX($D$2:D185)+1))</f>
        <v/>
      </c>
      <c r="E186" s="33"/>
      <c r="F186" s="34"/>
      <c r="G186" s="34"/>
      <c r="H186" s="34"/>
      <c r="I186" s="31"/>
      <c r="J186" s="31"/>
      <c r="K186" s="31"/>
      <c r="L186" s="37"/>
      <c r="M186" s="30" t="str">
        <f t="shared" si="1"/>
        <v/>
      </c>
      <c r="N186" s="38"/>
      <c r="O186" s="30" t="str">
        <f>IF($L186="","",$L186*IF($N186="",Settings!$J$11,$N186))</f>
        <v/>
      </c>
      <c r="P186" s="30" t="str">
        <f t="shared" si="15"/>
        <v/>
      </c>
      <c r="Q186" s="31"/>
      <c r="R186" s="37"/>
      <c r="S186" s="30" t="str">
        <f>IF($L186="","",IF($Q186&lt;&gt;"Yes",0,IF($R186&lt;&gt;"",$R186,ROUND($L186*Settings!$J$4,2))))</f>
        <v/>
      </c>
      <c r="T186" s="40" t="str">
        <f t="shared" si="3"/>
        <v/>
      </c>
      <c r="U186" s="30" t="str">
        <f t="shared" si="4"/>
        <v/>
      </c>
      <c r="V186" s="37"/>
      <c r="W186" s="31"/>
      <c r="X186" s="34"/>
      <c r="Y186" s="37"/>
      <c r="Z186" s="31"/>
      <c r="AA186" s="34"/>
      <c r="AB186" s="37"/>
      <c r="AC186" s="31"/>
      <c r="AD186" s="34"/>
      <c r="AE186" s="30" t="str">
        <f t="shared" si="5"/>
        <v/>
      </c>
      <c r="AF186" s="41" t="str">
        <f t="shared" si="6"/>
        <v/>
      </c>
      <c r="AG186" s="40" t="str">
        <f t="shared" si="13"/>
        <v/>
      </c>
      <c r="AH186" s="32" t="str">
        <f>IF(OR($L186="",$H186="",$AG186&lt;=0),"",MAX(0,TODAY()-($H186+Settings!$J$6)))</f>
        <v/>
      </c>
      <c r="AI186" s="37"/>
      <c r="AJ186" s="33"/>
      <c r="AK186" s="31"/>
      <c r="AL186" s="31"/>
      <c r="AM186" s="31"/>
      <c r="AN186" s="34"/>
      <c r="AO186" s="44">
        <f t="shared" si="14"/>
        <v>0</v>
      </c>
      <c r="AP186" s="48" t="str">
        <f t="shared" si="9"/>
        <v/>
      </c>
      <c r="AQ186" s="33"/>
      <c r="AR186" s="49" t="str">
        <f t="shared" si="10"/>
        <v/>
      </c>
      <c r="AS186" s="49" t="str">
        <f t="shared" si="11"/>
        <v/>
      </c>
      <c r="AT186" s="32" t="str">
        <f t="shared" si="12"/>
        <v/>
      </c>
    </row>
    <row r="187" ht="18.0" customHeight="1">
      <c r="A187" s="31"/>
      <c r="B187" s="31"/>
      <c r="C187" s="31"/>
      <c r="D187" s="32" t="str">
        <f>IF($A187="","",IF(COUNT($D$2:D186)=0,Settings!$J$5,MAX($D$2:D186)+1))</f>
        <v/>
      </c>
      <c r="E187" s="33"/>
      <c r="F187" s="34"/>
      <c r="G187" s="34"/>
      <c r="H187" s="34"/>
      <c r="I187" s="31"/>
      <c r="J187" s="31"/>
      <c r="K187" s="31"/>
      <c r="L187" s="37"/>
      <c r="M187" s="30" t="str">
        <f t="shared" si="1"/>
        <v/>
      </c>
      <c r="N187" s="38"/>
      <c r="O187" s="30" t="str">
        <f>IF($L187="","",$L187*IF($N187="",Settings!$J$11,$N187))</f>
        <v/>
      </c>
      <c r="P187" s="30" t="str">
        <f t="shared" si="15"/>
        <v/>
      </c>
      <c r="Q187" s="31"/>
      <c r="R187" s="37"/>
      <c r="S187" s="30" t="str">
        <f>IF($L187="","",IF($Q187&lt;&gt;"Yes",0,IF($R187&lt;&gt;"",$R187,ROUND($L187*Settings!$J$4,2))))</f>
        <v/>
      </c>
      <c r="T187" s="40" t="str">
        <f t="shared" si="3"/>
        <v/>
      </c>
      <c r="U187" s="30" t="str">
        <f t="shared" si="4"/>
        <v/>
      </c>
      <c r="V187" s="37"/>
      <c r="W187" s="31"/>
      <c r="X187" s="34"/>
      <c r="Y187" s="37"/>
      <c r="Z187" s="31"/>
      <c r="AA187" s="34"/>
      <c r="AB187" s="37"/>
      <c r="AC187" s="31"/>
      <c r="AD187" s="34"/>
      <c r="AE187" s="30" t="str">
        <f t="shared" si="5"/>
        <v/>
      </c>
      <c r="AF187" s="41" t="str">
        <f t="shared" si="6"/>
        <v/>
      </c>
      <c r="AG187" s="40" t="str">
        <f t="shared" si="13"/>
        <v/>
      </c>
      <c r="AH187" s="32" t="str">
        <f>IF(OR($L187="",$H187="",$AG187&lt;=0),"",MAX(0,TODAY()-($H187+Settings!$J$6)))</f>
        <v/>
      </c>
      <c r="AI187" s="37"/>
      <c r="AJ187" s="33"/>
      <c r="AK187" s="31"/>
      <c r="AL187" s="31"/>
      <c r="AM187" s="31"/>
      <c r="AN187" s="34"/>
      <c r="AO187" s="44">
        <f t="shared" si="14"/>
        <v>0</v>
      </c>
      <c r="AP187" s="48" t="str">
        <f t="shared" si="9"/>
        <v/>
      </c>
      <c r="AQ187" s="33"/>
      <c r="AR187" s="49" t="str">
        <f t="shared" si="10"/>
        <v/>
      </c>
      <c r="AS187" s="49" t="str">
        <f t="shared" si="11"/>
        <v/>
      </c>
      <c r="AT187" s="32" t="str">
        <f t="shared" si="12"/>
        <v/>
      </c>
    </row>
    <row r="188" ht="18.0" customHeight="1">
      <c r="A188" s="31"/>
      <c r="B188" s="31"/>
      <c r="C188" s="31"/>
      <c r="D188" s="32" t="str">
        <f>IF($A188="","",IF(COUNT($D$2:D187)=0,Settings!$J$5,MAX($D$2:D187)+1))</f>
        <v/>
      </c>
      <c r="E188" s="33"/>
      <c r="F188" s="34"/>
      <c r="G188" s="34"/>
      <c r="H188" s="34"/>
      <c r="I188" s="31"/>
      <c r="J188" s="31"/>
      <c r="K188" s="31"/>
      <c r="L188" s="37"/>
      <c r="M188" s="30" t="str">
        <f t="shared" si="1"/>
        <v/>
      </c>
      <c r="N188" s="38"/>
      <c r="O188" s="30" t="str">
        <f>IF($L188="","",$L188*IF($N188="",Settings!$J$11,$N188))</f>
        <v/>
      </c>
      <c r="P188" s="30" t="str">
        <f t="shared" si="15"/>
        <v/>
      </c>
      <c r="Q188" s="31"/>
      <c r="R188" s="37"/>
      <c r="S188" s="30" t="str">
        <f>IF($L188="","",IF($Q188&lt;&gt;"Yes",0,IF($R188&lt;&gt;"",$R188,ROUND($L188*Settings!$J$4,2))))</f>
        <v/>
      </c>
      <c r="T188" s="40" t="str">
        <f t="shared" si="3"/>
        <v/>
      </c>
      <c r="U188" s="30" t="str">
        <f t="shared" si="4"/>
        <v/>
      </c>
      <c r="V188" s="37"/>
      <c r="W188" s="31"/>
      <c r="X188" s="34"/>
      <c r="Y188" s="37"/>
      <c r="Z188" s="31"/>
      <c r="AA188" s="34"/>
      <c r="AB188" s="37"/>
      <c r="AC188" s="31"/>
      <c r="AD188" s="34"/>
      <c r="AE188" s="30" t="str">
        <f t="shared" si="5"/>
        <v/>
      </c>
      <c r="AF188" s="41" t="str">
        <f t="shared" si="6"/>
        <v/>
      </c>
      <c r="AG188" s="40" t="str">
        <f t="shared" si="13"/>
        <v/>
      </c>
      <c r="AH188" s="32" t="str">
        <f>IF(OR($L188="",$H188="",$AG188&lt;=0),"",MAX(0,TODAY()-($H188+Settings!$J$6)))</f>
        <v/>
      </c>
      <c r="AI188" s="37"/>
      <c r="AJ188" s="33"/>
      <c r="AK188" s="31"/>
      <c r="AL188" s="31"/>
      <c r="AM188" s="31"/>
      <c r="AN188" s="34"/>
      <c r="AO188" s="44">
        <f t="shared" si="14"/>
        <v>0</v>
      </c>
      <c r="AP188" s="48" t="str">
        <f t="shared" si="9"/>
        <v/>
      </c>
      <c r="AQ188" s="33"/>
      <c r="AR188" s="49" t="str">
        <f t="shared" si="10"/>
        <v/>
      </c>
      <c r="AS188" s="49" t="str">
        <f t="shared" si="11"/>
        <v/>
      </c>
      <c r="AT188" s="32" t="str">
        <f t="shared" si="12"/>
        <v/>
      </c>
    </row>
    <row r="189" ht="18.0" customHeight="1">
      <c r="A189" s="31"/>
      <c r="B189" s="31"/>
      <c r="C189" s="31"/>
      <c r="D189" s="32" t="str">
        <f>IF($A189="","",IF(COUNT($D$2:D188)=0,Settings!$J$5,MAX($D$2:D188)+1))</f>
        <v/>
      </c>
      <c r="E189" s="33"/>
      <c r="F189" s="34"/>
      <c r="G189" s="34"/>
      <c r="H189" s="34"/>
      <c r="I189" s="31"/>
      <c r="J189" s="31"/>
      <c r="K189" s="31"/>
      <c r="L189" s="37"/>
      <c r="M189" s="30" t="str">
        <f t="shared" si="1"/>
        <v/>
      </c>
      <c r="N189" s="38"/>
      <c r="O189" s="30" t="str">
        <f>IF($L189="","",$L189*IF($N189="",Settings!$J$11,$N189))</f>
        <v/>
      </c>
      <c r="P189" s="30" t="str">
        <f t="shared" si="15"/>
        <v/>
      </c>
      <c r="Q189" s="31"/>
      <c r="R189" s="37"/>
      <c r="S189" s="30" t="str">
        <f>IF($L189="","",IF($Q189&lt;&gt;"Yes",0,IF($R189&lt;&gt;"",$R189,ROUND($L189*Settings!$J$4,2))))</f>
        <v/>
      </c>
      <c r="T189" s="40" t="str">
        <f t="shared" si="3"/>
        <v/>
      </c>
      <c r="U189" s="30" t="str">
        <f t="shared" si="4"/>
        <v/>
      </c>
      <c r="V189" s="37"/>
      <c r="W189" s="31"/>
      <c r="X189" s="34"/>
      <c r="Y189" s="37"/>
      <c r="Z189" s="31"/>
      <c r="AA189" s="34"/>
      <c r="AB189" s="37"/>
      <c r="AC189" s="31"/>
      <c r="AD189" s="34"/>
      <c r="AE189" s="30" t="str">
        <f t="shared" si="5"/>
        <v/>
      </c>
      <c r="AF189" s="41" t="str">
        <f t="shared" si="6"/>
        <v/>
      </c>
      <c r="AG189" s="40" t="str">
        <f t="shared" si="13"/>
        <v/>
      </c>
      <c r="AH189" s="32" t="str">
        <f>IF(OR($L189="",$H189="",$AG189&lt;=0),"",MAX(0,TODAY()-($H189+Settings!$J$6)))</f>
        <v/>
      </c>
      <c r="AI189" s="37"/>
      <c r="AJ189" s="33"/>
      <c r="AK189" s="31"/>
      <c r="AL189" s="31"/>
      <c r="AM189" s="31"/>
      <c r="AN189" s="34"/>
      <c r="AO189" s="44">
        <f t="shared" si="14"/>
        <v>0</v>
      </c>
      <c r="AP189" s="48" t="str">
        <f t="shared" si="9"/>
        <v/>
      </c>
      <c r="AQ189" s="33"/>
      <c r="AR189" s="49" t="str">
        <f t="shared" si="10"/>
        <v/>
      </c>
      <c r="AS189" s="49" t="str">
        <f t="shared" si="11"/>
        <v/>
      </c>
      <c r="AT189" s="32" t="str">
        <f t="shared" si="12"/>
        <v/>
      </c>
    </row>
    <row r="190" ht="18.0" customHeight="1">
      <c r="A190" s="31"/>
      <c r="B190" s="31"/>
      <c r="C190" s="31"/>
      <c r="D190" s="32" t="str">
        <f>IF($A190="","",IF(COUNT($D$2:D189)=0,Settings!$J$5,MAX($D$2:D189)+1))</f>
        <v/>
      </c>
      <c r="E190" s="33"/>
      <c r="F190" s="34"/>
      <c r="G190" s="34"/>
      <c r="H190" s="34"/>
      <c r="I190" s="31"/>
      <c r="J190" s="31"/>
      <c r="K190" s="31"/>
      <c r="L190" s="37"/>
      <c r="M190" s="30" t="str">
        <f t="shared" si="1"/>
        <v/>
      </c>
      <c r="N190" s="38"/>
      <c r="O190" s="30" t="str">
        <f>IF($L190="","",$L190*IF($N190="",Settings!$J$11,$N190))</f>
        <v/>
      </c>
      <c r="P190" s="30" t="str">
        <f t="shared" si="15"/>
        <v/>
      </c>
      <c r="Q190" s="31"/>
      <c r="R190" s="37"/>
      <c r="S190" s="30" t="str">
        <f>IF($L190="","",IF($Q190&lt;&gt;"Yes",0,IF($R190&lt;&gt;"",$R190,ROUND($L190*Settings!$J$4,2))))</f>
        <v/>
      </c>
      <c r="T190" s="40" t="str">
        <f t="shared" si="3"/>
        <v/>
      </c>
      <c r="U190" s="30" t="str">
        <f t="shared" si="4"/>
        <v/>
      </c>
      <c r="V190" s="37"/>
      <c r="W190" s="31"/>
      <c r="X190" s="34"/>
      <c r="Y190" s="37"/>
      <c r="Z190" s="31"/>
      <c r="AA190" s="34"/>
      <c r="AB190" s="37"/>
      <c r="AC190" s="31"/>
      <c r="AD190" s="34"/>
      <c r="AE190" s="30" t="str">
        <f t="shared" si="5"/>
        <v/>
      </c>
      <c r="AF190" s="41" t="str">
        <f t="shared" si="6"/>
        <v/>
      </c>
      <c r="AG190" s="40" t="str">
        <f t="shared" si="13"/>
        <v/>
      </c>
      <c r="AH190" s="32" t="str">
        <f>IF(OR($L190="",$H190="",$AG190&lt;=0),"",MAX(0,TODAY()-($H190+Settings!$J$6)))</f>
        <v/>
      </c>
      <c r="AI190" s="37"/>
      <c r="AJ190" s="33"/>
      <c r="AK190" s="31"/>
      <c r="AL190" s="31"/>
      <c r="AM190" s="31"/>
      <c r="AN190" s="34"/>
      <c r="AO190" s="44">
        <f t="shared" si="14"/>
        <v>0</v>
      </c>
      <c r="AP190" s="48" t="str">
        <f t="shared" si="9"/>
        <v/>
      </c>
      <c r="AQ190" s="33"/>
      <c r="AR190" s="49" t="str">
        <f t="shared" si="10"/>
        <v/>
      </c>
      <c r="AS190" s="49" t="str">
        <f t="shared" si="11"/>
        <v/>
      </c>
      <c r="AT190" s="32" t="str">
        <f t="shared" si="12"/>
        <v/>
      </c>
    </row>
    <row r="191" ht="18.0" customHeight="1">
      <c r="A191" s="31"/>
      <c r="B191" s="31"/>
      <c r="C191" s="31"/>
      <c r="D191" s="32" t="str">
        <f>IF($A191="","",IF(COUNT($D$2:D190)=0,Settings!$J$5,MAX($D$2:D190)+1))</f>
        <v/>
      </c>
      <c r="E191" s="33"/>
      <c r="F191" s="34"/>
      <c r="G191" s="34"/>
      <c r="H191" s="34"/>
      <c r="I191" s="31"/>
      <c r="J191" s="31"/>
      <c r="K191" s="31"/>
      <c r="L191" s="37"/>
      <c r="M191" s="30" t="str">
        <f t="shared" si="1"/>
        <v/>
      </c>
      <c r="N191" s="38"/>
      <c r="O191" s="30" t="str">
        <f>IF($L191="","",$L191*IF($N191="",Settings!$J$11,$N191))</f>
        <v/>
      </c>
      <c r="P191" s="30" t="str">
        <f t="shared" si="15"/>
        <v/>
      </c>
      <c r="Q191" s="31"/>
      <c r="R191" s="37"/>
      <c r="S191" s="30" t="str">
        <f>IF($L191="","",IF($Q191&lt;&gt;"Yes",0,IF($R191&lt;&gt;"",$R191,ROUND($L191*Settings!$J$4,2))))</f>
        <v/>
      </c>
      <c r="T191" s="40" t="str">
        <f t="shared" si="3"/>
        <v/>
      </c>
      <c r="U191" s="30" t="str">
        <f t="shared" si="4"/>
        <v/>
      </c>
      <c r="V191" s="37"/>
      <c r="W191" s="31"/>
      <c r="X191" s="34"/>
      <c r="Y191" s="37"/>
      <c r="Z191" s="31"/>
      <c r="AA191" s="34"/>
      <c r="AB191" s="37"/>
      <c r="AC191" s="31"/>
      <c r="AD191" s="34"/>
      <c r="AE191" s="30" t="str">
        <f t="shared" si="5"/>
        <v/>
      </c>
      <c r="AF191" s="41" t="str">
        <f t="shared" si="6"/>
        <v/>
      </c>
      <c r="AG191" s="40" t="str">
        <f t="shared" si="13"/>
        <v/>
      </c>
      <c r="AH191" s="32" t="str">
        <f>IF(OR($L191="",$H191="",$AG191&lt;=0),"",MAX(0,TODAY()-($H191+Settings!$J$6)))</f>
        <v/>
      </c>
      <c r="AI191" s="37"/>
      <c r="AJ191" s="33"/>
      <c r="AK191" s="31"/>
      <c r="AL191" s="31"/>
      <c r="AM191" s="31"/>
      <c r="AN191" s="34"/>
      <c r="AO191" s="44">
        <f t="shared" si="14"/>
        <v>0</v>
      </c>
      <c r="AP191" s="48" t="str">
        <f t="shared" si="9"/>
        <v/>
      </c>
      <c r="AQ191" s="33"/>
      <c r="AR191" s="49" t="str">
        <f t="shared" si="10"/>
        <v/>
      </c>
      <c r="AS191" s="49" t="str">
        <f t="shared" si="11"/>
        <v/>
      </c>
      <c r="AT191" s="32" t="str">
        <f t="shared" si="12"/>
        <v/>
      </c>
    </row>
    <row r="192" ht="18.0" customHeight="1">
      <c r="A192" s="31"/>
      <c r="B192" s="31"/>
      <c r="C192" s="31"/>
      <c r="D192" s="32" t="str">
        <f>IF($A192="","",IF(COUNT($D$2:D191)=0,Settings!$J$5,MAX($D$2:D191)+1))</f>
        <v/>
      </c>
      <c r="E192" s="33"/>
      <c r="F192" s="34"/>
      <c r="G192" s="34"/>
      <c r="H192" s="34"/>
      <c r="I192" s="31"/>
      <c r="J192" s="31"/>
      <c r="K192" s="31"/>
      <c r="L192" s="37"/>
      <c r="M192" s="30" t="str">
        <f t="shared" si="1"/>
        <v/>
      </c>
      <c r="N192" s="38"/>
      <c r="O192" s="30" t="str">
        <f>IF($L192="","",$L192*IF($N192="",Settings!$J$11,$N192))</f>
        <v/>
      </c>
      <c r="P192" s="30" t="str">
        <f t="shared" si="15"/>
        <v/>
      </c>
      <c r="Q192" s="31"/>
      <c r="R192" s="37"/>
      <c r="S192" s="30" t="str">
        <f>IF($L192="","",IF($Q192&lt;&gt;"Yes",0,IF($R192&lt;&gt;"",$R192,ROUND($L192*Settings!$J$4,2))))</f>
        <v/>
      </c>
      <c r="T192" s="40" t="str">
        <f t="shared" si="3"/>
        <v/>
      </c>
      <c r="U192" s="30" t="str">
        <f t="shared" si="4"/>
        <v/>
      </c>
      <c r="V192" s="37"/>
      <c r="W192" s="31"/>
      <c r="X192" s="34"/>
      <c r="Y192" s="37"/>
      <c r="Z192" s="31"/>
      <c r="AA192" s="34"/>
      <c r="AB192" s="37"/>
      <c r="AC192" s="31"/>
      <c r="AD192" s="34"/>
      <c r="AE192" s="30" t="str">
        <f t="shared" si="5"/>
        <v/>
      </c>
      <c r="AF192" s="41" t="str">
        <f t="shared" si="6"/>
        <v/>
      </c>
      <c r="AG192" s="40" t="str">
        <f t="shared" si="13"/>
        <v/>
      </c>
      <c r="AH192" s="32" t="str">
        <f>IF(OR($L192="",$H192="",$AG192&lt;=0),"",MAX(0,TODAY()-($H192+Settings!$J$6)))</f>
        <v/>
      </c>
      <c r="AI192" s="37"/>
      <c r="AJ192" s="33"/>
      <c r="AK192" s="31"/>
      <c r="AL192" s="31"/>
      <c r="AM192" s="31"/>
      <c r="AN192" s="34"/>
      <c r="AO192" s="44">
        <f t="shared" si="14"/>
        <v>0</v>
      </c>
      <c r="AP192" s="48" t="str">
        <f t="shared" si="9"/>
        <v/>
      </c>
      <c r="AQ192" s="33"/>
      <c r="AR192" s="49" t="str">
        <f t="shared" si="10"/>
        <v/>
      </c>
      <c r="AS192" s="49" t="str">
        <f t="shared" si="11"/>
        <v/>
      </c>
      <c r="AT192" s="32" t="str">
        <f t="shared" si="12"/>
        <v/>
      </c>
    </row>
    <row r="193" ht="18.0" customHeight="1">
      <c r="A193" s="31"/>
      <c r="B193" s="31"/>
      <c r="C193" s="31"/>
      <c r="D193" s="32" t="str">
        <f>IF($A193="","",IF(COUNT($D$2:D192)=0,Settings!$J$5,MAX($D$2:D192)+1))</f>
        <v/>
      </c>
      <c r="E193" s="33"/>
      <c r="F193" s="34"/>
      <c r="G193" s="34"/>
      <c r="H193" s="34"/>
      <c r="I193" s="31"/>
      <c r="J193" s="31"/>
      <c r="K193" s="31"/>
      <c r="L193" s="37"/>
      <c r="M193" s="30" t="str">
        <f t="shared" si="1"/>
        <v/>
      </c>
      <c r="N193" s="38"/>
      <c r="O193" s="30" t="str">
        <f>IF($L193="","",$L193*IF($N193="",Settings!$J$11,$N193))</f>
        <v/>
      </c>
      <c r="P193" s="30" t="str">
        <f t="shared" si="15"/>
        <v/>
      </c>
      <c r="Q193" s="31"/>
      <c r="R193" s="37"/>
      <c r="S193" s="30" t="str">
        <f>IF($L193="","",IF($Q193&lt;&gt;"Yes",0,IF($R193&lt;&gt;"",$R193,ROUND($L193*Settings!$J$4,2))))</f>
        <v/>
      </c>
      <c r="T193" s="40" t="str">
        <f t="shared" si="3"/>
        <v/>
      </c>
      <c r="U193" s="30" t="str">
        <f t="shared" si="4"/>
        <v/>
      </c>
      <c r="V193" s="37"/>
      <c r="W193" s="31"/>
      <c r="X193" s="34"/>
      <c r="Y193" s="37"/>
      <c r="Z193" s="31"/>
      <c r="AA193" s="34"/>
      <c r="AB193" s="37"/>
      <c r="AC193" s="31"/>
      <c r="AD193" s="34"/>
      <c r="AE193" s="30" t="str">
        <f t="shared" si="5"/>
        <v/>
      </c>
      <c r="AF193" s="41" t="str">
        <f t="shared" si="6"/>
        <v/>
      </c>
      <c r="AG193" s="40" t="str">
        <f t="shared" si="13"/>
        <v/>
      </c>
      <c r="AH193" s="32" t="str">
        <f>IF(OR($L193="",$H193="",$AG193&lt;=0),"",MAX(0,TODAY()-($H193+Settings!$J$6)))</f>
        <v/>
      </c>
      <c r="AI193" s="37"/>
      <c r="AJ193" s="33"/>
      <c r="AK193" s="31"/>
      <c r="AL193" s="31"/>
      <c r="AM193" s="31"/>
      <c r="AN193" s="34"/>
      <c r="AO193" s="44">
        <f t="shared" si="14"/>
        <v>0</v>
      </c>
      <c r="AP193" s="48" t="str">
        <f t="shared" si="9"/>
        <v/>
      </c>
      <c r="AQ193" s="33"/>
      <c r="AR193" s="49" t="str">
        <f t="shared" si="10"/>
        <v/>
      </c>
      <c r="AS193" s="49" t="str">
        <f t="shared" si="11"/>
        <v/>
      </c>
      <c r="AT193" s="32" t="str">
        <f t="shared" si="12"/>
        <v/>
      </c>
    </row>
    <row r="194" ht="18.0" customHeight="1">
      <c r="A194" s="31"/>
      <c r="B194" s="31"/>
      <c r="C194" s="31"/>
      <c r="D194" s="32" t="str">
        <f>IF($A194="","",IF(COUNT($D$2:D193)=0,Settings!$J$5,MAX($D$2:D193)+1))</f>
        <v/>
      </c>
      <c r="E194" s="33"/>
      <c r="F194" s="34"/>
      <c r="G194" s="34"/>
      <c r="H194" s="34"/>
      <c r="I194" s="31"/>
      <c r="J194" s="31"/>
      <c r="K194" s="31"/>
      <c r="L194" s="37"/>
      <c r="M194" s="30" t="str">
        <f t="shared" si="1"/>
        <v/>
      </c>
      <c r="N194" s="38"/>
      <c r="O194" s="30" t="str">
        <f>IF($L194="","",$L194*IF($N194="",Settings!$J$11,$N194))</f>
        <v/>
      </c>
      <c r="P194" s="30" t="str">
        <f t="shared" si="15"/>
        <v/>
      </c>
      <c r="Q194" s="31"/>
      <c r="R194" s="37"/>
      <c r="S194" s="30" t="str">
        <f>IF($L194="","",IF($Q194&lt;&gt;"Yes",0,IF($R194&lt;&gt;"",$R194,ROUND($L194*Settings!$J$4,2))))</f>
        <v/>
      </c>
      <c r="T194" s="40" t="str">
        <f t="shared" si="3"/>
        <v/>
      </c>
      <c r="U194" s="30" t="str">
        <f t="shared" si="4"/>
        <v/>
      </c>
      <c r="V194" s="37"/>
      <c r="W194" s="31"/>
      <c r="X194" s="34"/>
      <c r="Y194" s="37"/>
      <c r="Z194" s="31"/>
      <c r="AA194" s="34"/>
      <c r="AB194" s="37"/>
      <c r="AC194" s="31"/>
      <c r="AD194" s="34"/>
      <c r="AE194" s="30" t="str">
        <f t="shared" si="5"/>
        <v/>
      </c>
      <c r="AF194" s="41" t="str">
        <f t="shared" si="6"/>
        <v/>
      </c>
      <c r="AG194" s="40" t="str">
        <f t="shared" si="13"/>
        <v/>
      </c>
      <c r="AH194" s="32" t="str">
        <f>IF(OR($L194="",$H194="",$AG194&lt;=0),"",MAX(0,TODAY()-($H194+Settings!$J$6)))</f>
        <v/>
      </c>
      <c r="AI194" s="37"/>
      <c r="AJ194" s="33"/>
      <c r="AK194" s="31"/>
      <c r="AL194" s="31"/>
      <c r="AM194" s="31"/>
      <c r="AN194" s="34"/>
      <c r="AO194" s="44">
        <f t="shared" si="14"/>
        <v>0</v>
      </c>
      <c r="AP194" s="48" t="str">
        <f t="shared" si="9"/>
        <v/>
      </c>
      <c r="AQ194" s="33"/>
      <c r="AR194" s="49" t="str">
        <f t="shared" si="10"/>
        <v/>
      </c>
      <c r="AS194" s="49" t="str">
        <f t="shared" si="11"/>
        <v/>
      </c>
      <c r="AT194" s="32" t="str">
        <f t="shared" si="12"/>
        <v/>
      </c>
    </row>
    <row r="195" ht="18.0" customHeight="1">
      <c r="A195" s="31"/>
      <c r="B195" s="31"/>
      <c r="C195" s="31"/>
      <c r="D195" s="32" t="str">
        <f>IF($A195="","",IF(COUNT($D$2:D194)=0,Settings!$J$5,MAX($D$2:D194)+1))</f>
        <v/>
      </c>
      <c r="E195" s="33"/>
      <c r="F195" s="34"/>
      <c r="G195" s="34"/>
      <c r="H195" s="34"/>
      <c r="I195" s="31"/>
      <c r="J195" s="31"/>
      <c r="K195" s="31"/>
      <c r="L195" s="37"/>
      <c r="M195" s="30" t="str">
        <f t="shared" si="1"/>
        <v/>
      </c>
      <c r="N195" s="38"/>
      <c r="O195" s="30" t="str">
        <f>IF($L195="","",$L195*IF($N195="",Settings!$J$11,$N195))</f>
        <v/>
      </c>
      <c r="P195" s="30" t="str">
        <f t="shared" si="15"/>
        <v/>
      </c>
      <c r="Q195" s="31"/>
      <c r="R195" s="37"/>
      <c r="S195" s="30" t="str">
        <f>IF($L195="","",IF($Q195&lt;&gt;"Yes",0,IF($R195&lt;&gt;"",$R195,ROUND($L195*Settings!$J$4,2))))</f>
        <v/>
      </c>
      <c r="T195" s="40" t="str">
        <f t="shared" si="3"/>
        <v/>
      </c>
      <c r="U195" s="30" t="str">
        <f t="shared" si="4"/>
        <v/>
      </c>
      <c r="V195" s="37"/>
      <c r="W195" s="31"/>
      <c r="X195" s="34"/>
      <c r="Y195" s="37"/>
      <c r="Z195" s="31"/>
      <c r="AA195" s="34"/>
      <c r="AB195" s="37"/>
      <c r="AC195" s="31"/>
      <c r="AD195" s="34"/>
      <c r="AE195" s="30" t="str">
        <f t="shared" si="5"/>
        <v/>
      </c>
      <c r="AF195" s="41" t="str">
        <f t="shared" si="6"/>
        <v/>
      </c>
      <c r="AG195" s="40" t="str">
        <f t="shared" si="13"/>
        <v/>
      </c>
      <c r="AH195" s="32" t="str">
        <f>IF(OR($L195="",$H195="",$AG195&lt;=0),"",MAX(0,TODAY()-($H195+Settings!$J$6)))</f>
        <v/>
      </c>
      <c r="AI195" s="37"/>
      <c r="AJ195" s="33"/>
      <c r="AK195" s="31"/>
      <c r="AL195" s="31"/>
      <c r="AM195" s="31"/>
      <c r="AN195" s="34"/>
      <c r="AO195" s="44">
        <f t="shared" si="14"/>
        <v>0</v>
      </c>
      <c r="AP195" s="48" t="str">
        <f t="shared" si="9"/>
        <v/>
      </c>
      <c r="AQ195" s="33"/>
      <c r="AR195" s="49" t="str">
        <f t="shared" si="10"/>
        <v/>
      </c>
      <c r="AS195" s="49" t="str">
        <f t="shared" si="11"/>
        <v/>
      </c>
      <c r="AT195" s="32" t="str">
        <f t="shared" si="12"/>
        <v/>
      </c>
    </row>
    <row r="196" ht="18.0" customHeight="1">
      <c r="A196" s="31"/>
      <c r="B196" s="31"/>
      <c r="C196" s="31"/>
      <c r="D196" s="32" t="str">
        <f>IF($A196="","",IF(COUNT($D$2:D195)=0,Settings!$J$5,MAX($D$2:D195)+1))</f>
        <v/>
      </c>
      <c r="E196" s="33"/>
      <c r="F196" s="34"/>
      <c r="G196" s="34"/>
      <c r="H196" s="34"/>
      <c r="I196" s="31"/>
      <c r="J196" s="31"/>
      <c r="K196" s="31"/>
      <c r="L196" s="37"/>
      <c r="M196" s="30" t="str">
        <f t="shared" si="1"/>
        <v/>
      </c>
      <c r="N196" s="38"/>
      <c r="O196" s="30" t="str">
        <f>IF($L196="","",$L196*IF($N196="",Settings!$J$11,$N196))</f>
        <v/>
      </c>
      <c r="P196" s="30" t="str">
        <f t="shared" si="15"/>
        <v/>
      </c>
      <c r="Q196" s="31"/>
      <c r="R196" s="37"/>
      <c r="S196" s="30" t="str">
        <f>IF($L196="","",IF($Q196&lt;&gt;"Yes",0,IF($R196&lt;&gt;"",$R196,ROUND($L196*Settings!$J$4,2))))</f>
        <v/>
      </c>
      <c r="T196" s="40" t="str">
        <f t="shared" si="3"/>
        <v/>
      </c>
      <c r="U196" s="30" t="str">
        <f t="shared" si="4"/>
        <v/>
      </c>
      <c r="V196" s="37"/>
      <c r="W196" s="31"/>
      <c r="X196" s="34"/>
      <c r="Y196" s="37"/>
      <c r="Z196" s="31"/>
      <c r="AA196" s="34"/>
      <c r="AB196" s="37"/>
      <c r="AC196" s="31"/>
      <c r="AD196" s="34"/>
      <c r="AE196" s="30" t="str">
        <f t="shared" si="5"/>
        <v/>
      </c>
      <c r="AF196" s="41" t="str">
        <f t="shared" si="6"/>
        <v/>
      </c>
      <c r="AG196" s="40" t="str">
        <f t="shared" si="13"/>
        <v/>
      </c>
      <c r="AH196" s="32" t="str">
        <f>IF(OR($L196="",$H196="",$AG196&lt;=0),"",MAX(0,TODAY()-($H196+Settings!$J$6)))</f>
        <v/>
      </c>
      <c r="AI196" s="37"/>
      <c r="AJ196" s="33"/>
      <c r="AK196" s="31"/>
      <c r="AL196" s="31"/>
      <c r="AM196" s="31"/>
      <c r="AN196" s="34"/>
      <c r="AO196" s="44">
        <f t="shared" si="14"/>
        <v>0</v>
      </c>
      <c r="AP196" s="48" t="str">
        <f t="shared" si="9"/>
        <v/>
      </c>
      <c r="AQ196" s="33"/>
      <c r="AR196" s="49" t="str">
        <f t="shared" si="10"/>
        <v/>
      </c>
      <c r="AS196" s="49" t="str">
        <f t="shared" si="11"/>
        <v/>
      </c>
      <c r="AT196" s="32" t="str">
        <f t="shared" si="12"/>
        <v/>
      </c>
    </row>
    <row r="197" ht="18.0" customHeight="1">
      <c r="A197" s="31"/>
      <c r="B197" s="31"/>
      <c r="C197" s="31"/>
      <c r="D197" s="32" t="str">
        <f>IF($A197="","",IF(COUNT($D$2:D196)=0,Settings!$J$5,MAX($D$2:D196)+1))</f>
        <v/>
      </c>
      <c r="E197" s="33"/>
      <c r="F197" s="34"/>
      <c r="G197" s="34"/>
      <c r="H197" s="34"/>
      <c r="I197" s="31"/>
      <c r="J197" s="31"/>
      <c r="K197" s="31"/>
      <c r="L197" s="37"/>
      <c r="M197" s="30" t="str">
        <f t="shared" si="1"/>
        <v/>
      </c>
      <c r="N197" s="38"/>
      <c r="O197" s="30" t="str">
        <f>IF($L197="","",$L197*IF($N197="",Settings!$J$11,$N197))</f>
        <v/>
      </c>
      <c r="P197" s="30" t="str">
        <f t="shared" si="15"/>
        <v/>
      </c>
      <c r="Q197" s="31"/>
      <c r="R197" s="37"/>
      <c r="S197" s="30" t="str">
        <f>IF($L197="","",IF($Q197&lt;&gt;"Yes",0,IF($R197&lt;&gt;"",$R197,ROUND($L197*Settings!$J$4,2))))</f>
        <v/>
      </c>
      <c r="T197" s="40" t="str">
        <f t="shared" si="3"/>
        <v/>
      </c>
      <c r="U197" s="30" t="str">
        <f t="shared" si="4"/>
        <v/>
      </c>
      <c r="V197" s="37"/>
      <c r="W197" s="31"/>
      <c r="X197" s="34"/>
      <c r="Y197" s="37"/>
      <c r="Z197" s="31"/>
      <c r="AA197" s="34"/>
      <c r="AB197" s="37"/>
      <c r="AC197" s="31"/>
      <c r="AD197" s="34"/>
      <c r="AE197" s="30" t="str">
        <f t="shared" si="5"/>
        <v/>
      </c>
      <c r="AF197" s="41" t="str">
        <f t="shared" si="6"/>
        <v/>
      </c>
      <c r="AG197" s="40" t="str">
        <f t="shared" si="13"/>
        <v/>
      </c>
      <c r="AH197" s="32" t="str">
        <f>IF(OR($L197="",$H197="",$AG197&lt;=0),"",MAX(0,TODAY()-($H197+Settings!$J$6)))</f>
        <v/>
      </c>
      <c r="AI197" s="37"/>
      <c r="AJ197" s="33"/>
      <c r="AK197" s="31"/>
      <c r="AL197" s="31"/>
      <c r="AM197" s="31"/>
      <c r="AN197" s="34"/>
      <c r="AO197" s="44">
        <f t="shared" si="14"/>
        <v>0</v>
      </c>
      <c r="AP197" s="48" t="str">
        <f t="shared" si="9"/>
        <v/>
      </c>
      <c r="AQ197" s="33"/>
      <c r="AR197" s="49" t="str">
        <f t="shared" si="10"/>
        <v/>
      </c>
      <c r="AS197" s="49" t="str">
        <f t="shared" si="11"/>
        <v/>
      </c>
      <c r="AT197" s="32" t="str">
        <f t="shared" si="12"/>
        <v/>
      </c>
    </row>
    <row r="198" ht="18.0" customHeight="1">
      <c r="A198" s="31"/>
      <c r="B198" s="31"/>
      <c r="C198" s="31"/>
      <c r="D198" s="32" t="str">
        <f>IF($A198="","",IF(COUNT($D$2:D197)=0,Settings!$J$5,MAX($D$2:D197)+1))</f>
        <v/>
      </c>
      <c r="E198" s="33"/>
      <c r="F198" s="34"/>
      <c r="G198" s="34"/>
      <c r="H198" s="34"/>
      <c r="I198" s="31"/>
      <c r="J198" s="31"/>
      <c r="K198" s="31"/>
      <c r="L198" s="37"/>
      <c r="M198" s="30" t="str">
        <f t="shared" si="1"/>
        <v/>
      </c>
      <c r="N198" s="38"/>
      <c r="O198" s="30" t="str">
        <f>IF($L198="","",$L198*IF($N198="",Settings!$J$11,$N198))</f>
        <v/>
      </c>
      <c r="P198" s="30" t="str">
        <f t="shared" si="15"/>
        <v/>
      </c>
      <c r="Q198" s="31"/>
      <c r="R198" s="37"/>
      <c r="S198" s="30" t="str">
        <f>IF($L198="","",IF($Q198&lt;&gt;"Yes",0,IF($R198&lt;&gt;"",$R198,ROUND($L198*Settings!$J$4,2))))</f>
        <v/>
      </c>
      <c r="T198" s="40" t="str">
        <f t="shared" si="3"/>
        <v/>
      </c>
      <c r="U198" s="30" t="str">
        <f t="shared" si="4"/>
        <v/>
      </c>
      <c r="V198" s="37"/>
      <c r="W198" s="31"/>
      <c r="X198" s="34"/>
      <c r="Y198" s="37"/>
      <c r="Z198" s="31"/>
      <c r="AA198" s="34"/>
      <c r="AB198" s="37"/>
      <c r="AC198" s="31"/>
      <c r="AD198" s="34"/>
      <c r="AE198" s="30" t="str">
        <f t="shared" si="5"/>
        <v/>
      </c>
      <c r="AF198" s="41" t="str">
        <f t="shared" si="6"/>
        <v/>
      </c>
      <c r="AG198" s="40" t="str">
        <f t="shared" si="13"/>
        <v/>
      </c>
      <c r="AH198" s="32" t="str">
        <f>IF(OR($L198="",$H198="",$AG198&lt;=0),"",MAX(0,TODAY()-($H198+Settings!$J$6)))</f>
        <v/>
      </c>
      <c r="AI198" s="37"/>
      <c r="AJ198" s="33"/>
      <c r="AK198" s="31"/>
      <c r="AL198" s="31"/>
      <c r="AM198" s="31"/>
      <c r="AN198" s="34"/>
      <c r="AO198" s="44">
        <f t="shared" si="14"/>
        <v>0</v>
      </c>
      <c r="AP198" s="48" t="str">
        <f t="shared" si="9"/>
        <v/>
      </c>
      <c r="AQ198" s="33"/>
      <c r="AR198" s="49" t="str">
        <f t="shared" si="10"/>
        <v/>
      </c>
      <c r="AS198" s="49" t="str">
        <f t="shared" si="11"/>
        <v/>
      </c>
      <c r="AT198" s="32" t="str">
        <f t="shared" si="12"/>
        <v/>
      </c>
    </row>
    <row r="199" ht="18.0" customHeight="1">
      <c r="A199" s="31"/>
      <c r="B199" s="31"/>
      <c r="C199" s="31"/>
      <c r="D199" s="32" t="str">
        <f>IF($A199="","",IF(COUNT($D$2:D198)=0,Settings!$J$5,MAX($D$2:D198)+1))</f>
        <v/>
      </c>
      <c r="E199" s="33"/>
      <c r="F199" s="34"/>
      <c r="G199" s="34"/>
      <c r="H199" s="34"/>
      <c r="I199" s="31"/>
      <c r="J199" s="31"/>
      <c r="K199" s="31"/>
      <c r="L199" s="37"/>
      <c r="M199" s="30" t="str">
        <f t="shared" si="1"/>
        <v/>
      </c>
      <c r="N199" s="38"/>
      <c r="O199" s="30" t="str">
        <f>IF($L199="","",$L199*IF($N199="",Settings!$J$11,$N199))</f>
        <v/>
      </c>
      <c r="P199" s="30" t="str">
        <f t="shared" si="15"/>
        <v/>
      </c>
      <c r="Q199" s="31"/>
      <c r="R199" s="37"/>
      <c r="S199" s="30" t="str">
        <f>IF($L199="","",IF($Q199&lt;&gt;"Yes",0,IF($R199&lt;&gt;"",$R199,ROUND($L199*Settings!$J$4,2))))</f>
        <v/>
      </c>
      <c r="T199" s="40" t="str">
        <f t="shared" si="3"/>
        <v/>
      </c>
      <c r="U199" s="30" t="str">
        <f t="shared" si="4"/>
        <v/>
      </c>
      <c r="V199" s="37"/>
      <c r="W199" s="31"/>
      <c r="X199" s="34"/>
      <c r="Y199" s="37"/>
      <c r="Z199" s="31"/>
      <c r="AA199" s="34"/>
      <c r="AB199" s="37"/>
      <c r="AC199" s="31"/>
      <c r="AD199" s="34"/>
      <c r="AE199" s="30" t="str">
        <f t="shared" si="5"/>
        <v/>
      </c>
      <c r="AF199" s="41" t="str">
        <f t="shared" si="6"/>
        <v/>
      </c>
      <c r="AG199" s="40" t="str">
        <f t="shared" si="13"/>
        <v/>
      </c>
      <c r="AH199" s="32" t="str">
        <f>IF(OR($L199="",$H199="",$AG199&lt;=0),"",MAX(0,TODAY()-($H199+Settings!$J$6)))</f>
        <v/>
      </c>
      <c r="AI199" s="37"/>
      <c r="AJ199" s="33"/>
      <c r="AK199" s="31"/>
      <c r="AL199" s="31"/>
      <c r="AM199" s="31"/>
      <c r="AN199" s="34"/>
      <c r="AO199" s="44">
        <f t="shared" si="14"/>
        <v>0</v>
      </c>
      <c r="AP199" s="48" t="str">
        <f t="shared" si="9"/>
        <v/>
      </c>
      <c r="AQ199" s="33"/>
      <c r="AR199" s="49" t="str">
        <f t="shared" si="10"/>
        <v/>
      </c>
      <c r="AS199" s="49" t="str">
        <f t="shared" si="11"/>
        <v/>
      </c>
      <c r="AT199" s="32" t="str">
        <f t="shared" si="12"/>
        <v/>
      </c>
    </row>
    <row r="200" ht="18.0" customHeight="1">
      <c r="A200" s="31"/>
      <c r="B200" s="31"/>
      <c r="C200" s="31"/>
      <c r="D200" s="32" t="str">
        <f>IF($A200="","",IF(COUNT($D$2:D199)=0,Settings!$J$5,MAX($D$2:D199)+1))</f>
        <v/>
      </c>
      <c r="E200" s="33"/>
      <c r="F200" s="34"/>
      <c r="G200" s="34"/>
      <c r="H200" s="34"/>
      <c r="I200" s="31"/>
      <c r="J200" s="31"/>
      <c r="K200" s="31"/>
      <c r="L200" s="37"/>
      <c r="M200" s="30" t="str">
        <f t="shared" si="1"/>
        <v/>
      </c>
      <c r="N200" s="38"/>
      <c r="O200" s="30" t="str">
        <f>IF($L200="","",$L200*IF($N200="",Settings!$J$11,$N200))</f>
        <v/>
      </c>
      <c r="P200" s="30" t="str">
        <f t="shared" si="15"/>
        <v/>
      </c>
      <c r="Q200" s="31"/>
      <c r="R200" s="37"/>
      <c r="S200" s="30" t="str">
        <f>IF($L200="","",IF($Q200&lt;&gt;"Yes",0,IF($R200&lt;&gt;"",$R200,ROUND($L200*Settings!$J$4,2))))</f>
        <v/>
      </c>
      <c r="T200" s="40" t="str">
        <f t="shared" si="3"/>
        <v/>
      </c>
      <c r="U200" s="30" t="str">
        <f t="shared" si="4"/>
        <v/>
      </c>
      <c r="V200" s="37"/>
      <c r="W200" s="31"/>
      <c r="X200" s="34"/>
      <c r="Y200" s="37"/>
      <c r="Z200" s="31"/>
      <c r="AA200" s="34"/>
      <c r="AB200" s="37"/>
      <c r="AC200" s="31"/>
      <c r="AD200" s="34"/>
      <c r="AE200" s="30" t="str">
        <f t="shared" si="5"/>
        <v/>
      </c>
      <c r="AF200" s="41" t="str">
        <f t="shared" si="6"/>
        <v/>
      </c>
      <c r="AG200" s="40" t="str">
        <f t="shared" si="13"/>
        <v/>
      </c>
      <c r="AH200" s="32" t="str">
        <f>IF(OR($L200="",$H200="",$AG200&lt;=0),"",MAX(0,TODAY()-($H200+Settings!$J$6)))</f>
        <v/>
      </c>
      <c r="AI200" s="37"/>
      <c r="AJ200" s="33"/>
      <c r="AK200" s="31"/>
      <c r="AL200" s="31"/>
      <c r="AM200" s="31"/>
      <c r="AN200" s="34"/>
      <c r="AO200" s="44">
        <f t="shared" si="14"/>
        <v>0</v>
      </c>
      <c r="AP200" s="48" t="str">
        <f t="shared" si="9"/>
        <v/>
      </c>
      <c r="AQ200" s="33"/>
      <c r="AR200" s="49" t="str">
        <f t="shared" si="10"/>
        <v/>
      </c>
      <c r="AS200" s="49" t="str">
        <f t="shared" si="11"/>
        <v/>
      </c>
      <c r="AT200" s="32" t="str">
        <f t="shared" si="12"/>
        <v/>
      </c>
    </row>
    <row r="201" ht="18.0" customHeight="1">
      <c r="A201" s="31"/>
      <c r="B201" s="31"/>
      <c r="C201" s="31"/>
      <c r="D201" s="32" t="str">
        <f>IF($A201="","",IF(COUNT($D$2:D200)=0,Settings!$J$5,MAX($D$2:D200)+1))</f>
        <v/>
      </c>
      <c r="E201" s="33"/>
      <c r="F201" s="34"/>
      <c r="G201" s="34"/>
      <c r="H201" s="34"/>
      <c r="I201" s="31"/>
      <c r="J201" s="31"/>
      <c r="K201" s="31"/>
      <c r="L201" s="37"/>
      <c r="M201" s="30" t="str">
        <f t="shared" si="1"/>
        <v/>
      </c>
      <c r="N201" s="38"/>
      <c r="O201" s="30" t="str">
        <f>IF($L201="","",$L201*IF($N201="",Settings!$J$11,$N201))</f>
        <v/>
      </c>
      <c r="P201" s="30" t="str">
        <f t="shared" si="15"/>
        <v/>
      </c>
      <c r="Q201" s="31"/>
      <c r="R201" s="37"/>
      <c r="S201" s="30" t="str">
        <f>IF($L201="","",IF($Q201&lt;&gt;"Yes",0,IF($R201&lt;&gt;"",$R201,ROUND($L201*Settings!$J$4,2))))</f>
        <v/>
      </c>
      <c r="T201" s="40" t="str">
        <f t="shared" si="3"/>
        <v/>
      </c>
      <c r="U201" s="30" t="str">
        <f t="shared" si="4"/>
        <v/>
      </c>
      <c r="V201" s="37"/>
      <c r="W201" s="31"/>
      <c r="X201" s="34"/>
      <c r="Y201" s="37"/>
      <c r="Z201" s="31"/>
      <c r="AA201" s="34"/>
      <c r="AB201" s="37"/>
      <c r="AC201" s="31"/>
      <c r="AD201" s="34"/>
      <c r="AE201" s="30" t="str">
        <f t="shared" si="5"/>
        <v/>
      </c>
      <c r="AF201" s="41" t="str">
        <f t="shared" si="6"/>
        <v/>
      </c>
      <c r="AG201" s="40" t="str">
        <f t="shared" si="13"/>
        <v/>
      </c>
      <c r="AH201" s="32" t="str">
        <f>IF(OR($L201="",$H201="",$AG201&lt;=0),"",MAX(0,TODAY()-($H201+Settings!$J$6)))</f>
        <v/>
      </c>
      <c r="AI201" s="37"/>
      <c r="AJ201" s="33"/>
      <c r="AK201" s="31"/>
      <c r="AL201" s="31"/>
      <c r="AM201" s="31"/>
      <c r="AN201" s="34"/>
      <c r="AO201" s="44">
        <f t="shared" si="14"/>
        <v>0</v>
      </c>
      <c r="AP201" s="48" t="str">
        <f t="shared" si="9"/>
        <v/>
      </c>
      <c r="AQ201" s="33"/>
      <c r="AR201" s="49" t="str">
        <f t="shared" si="10"/>
        <v/>
      </c>
      <c r="AS201" s="49" t="str">
        <f t="shared" si="11"/>
        <v/>
      </c>
      <c r="AT201" s="32" t="str">
        <f t="shared" si="12"/>
        <v/>
      </c>
    </row>
    <row r="202" ht="18.0" customHeight="1">
      <c r="A202" s="31"/>
      <c r="B202" s="31"/>
      <c r="C202" s="31"/>
      <c r="D202" s="32" t="str">
        <f>IF($A202="","",IF(COUNT($D$2:D201)=0,Settings!$J$5,MAX($D$2:D201)+1))</f>
        <v/>
      </c>
      <c r="E202" s="33"/>
      <c r="F202" s="34"/>
      <c r="G202" s="34"/>
      <c r="H202" s="34"/>
      <c r="I202" s="31"/>
      <c r="J202" s="31"/>
      <c r="K202" s="31"/>
      <c r="L202" s="37"/>
      <c r="M202" s="30" t="str">
        <f t="shared" si="1"/>
        <v/>
      </c>
      <c r="N202" s="38"/>
      <c r="O202" s="30" t="str">
        <f>IF($L202="","",$L202*IF($N202="",Settings!$J$11,$N202))</f>
        <v/>
      </c>
      <c r="P202" s="30" t="str">
        <f t="shared" si="15"/>
        <v/>
      </c>
      <c r="Q202" s="31"/>
      <c r="R202" s="37"/>
      <c r="S202" s="30" t="str">
        <f>IF($L202="","",IF($Q202&lt;&gt;"Yes",0,IF($R202&lt;&gt;"",$R202,ROUND($L202*Settings!$J$4,2))))</f>
        <v/>
      </c>
      <c r="T202" s="40" t="str">
        <f t="shared" si="3"/>
        <v/>
      </c>
      <c r="U202" s="30" t="str">
        <f t="shared" si="4"/>
        <v/>
      </c>
      <c r="V202" s="37"/>
      <c r="W202" s="31"/>
      <c r="X202" s="34"/>
      <c r="Y202" s="37"/>
      <c r="Z202" s="31"/>
      <c r="AA202" s="34"/>
      <c r="AB202" s="37"/>
      <c r="AC202" s="31"/>
      <c r="AD202" s="34"/>
      <c r="AE202" s="30" t="str">
        <f t="shared" si="5"/>
        <v/>
      </c>
      <c r="AF202" s="41" t="str">
        <f t="shared" si="6"/>
        <v/>
      </c>
      <c r="AG202" s="40" t="str">
        <f t="shared" si="13"/>
        <v/>
      </c>
      <c r="AH202" s="32" t="str">
        <f>IF(OR($L202="",$H202="",$AG202&lt;=0),"",MAX(0,TODAY()-($H202+Settings!$J$6)))</f>
        <v/>
      </c>
      <c r="AI202" s="37"/>
      <c r="AJ202" s="33"/>
      <c r="AK202" s="31"/>
      <c r="AL202" s="31"/>
      <c r="AM202" s="31"/>
      <c r="AN202" s="34"/>
      <c r="AO202" s="44">
        <f t="shared" si="14"/>
        <v>0</v>
      </c>
      <c r="AP202" s="48" t="str">
        <f t="shared" si="9"/>
        <v/>
      </c>
      <c r="AQ202" s="33"/>
      <c r="AR202" s="49" t="str">
        <f t="shared" si="10"/>
        <v/>
      </c>
      <c r="AS202" s="49" t="str">
        <f t="shared" si="11"/>
        <v/>
      </c>
      <c r="AT202" s="32" t="str">
        <f t="shared" si="12"/>
        <v/>
      </c>
    </row>
    <row r="203" ht="18.0" customHeight="1">
      <c r="A203" s="31"/>
      <c r="B203" s="31"/>
      <c r="C203" s="31"/>
      <c r="D203" s="32" t="str">
        <f>IF($A203="","",IF(COUNT($D$2:D202)=0,Settings!$J$5,MAX($D$2:D202)+1))</f>
        <v/>
      </c>
      <c r="E203" s="33"/>
      <c r="F203" s="34"/>
      <c r="G203" s="34"/>
      <c r="H203" s="34"/>
      <c r="I203" s="31"/>
      <c r="J203" s="31"/>
      <c r="K203" s="31"/>
      <c r="L203" s="37"/>
      <c r="M203" s="30" t="str">
        <f t="shared" si="1"/>
        <v/>
      </c>
      <c r="N203" s="38"/>
      <c r="O203" s="30" t="str">
        <f>IF($L203="","",$L203*IF($N203="",Settings!$J$11,$N203))</f>
        <v/>
      </c>
      <c r="P203" s="30" t="str">
        <f t="shared" si="15"/>
        <v/>
      </c>
      <c r="Q203" s="31"/>
      <c r="R203" s="37"/>
      <c r="S203" s="30" t="str">
        <f>IF($L203="","",IF($Q203&lt;&gt;"Yes",0,IF($R203&lt;&gt;"",$R203,ROUND($L203*Settings!$J$4,2))))</f>
        <v/>
      </c>
      <c r="T203" s="40" t="str">
        <f t="shared" si="3"/>
        <v/>
      </c>
      <c r="U203" s="30" t="str">
        <f t="shared" si="4"/>
        <v/>
      </c>
      <c r="V203" s="37"/>
      <c r="W203" s="31"/>
      <c r="X203" s="34"/>
      <c r="Y203" s="37"/>
      <c r="Z203" s="31"/>
      <c r="AA203" s="34"/>
      <c r="AB203" s="37"/>
      <c r="AC203" s="31"/>
      <c r="AD203" s="34"/>
      <c r="AE203" s="30" t="str">
        <f t="shared" si="5"/>
        <v/>
      </c>
      <c r="AF203" s="41" t="str">
        <f t="shared" si="6"/>
        <v/>
      </c>
      <c r="AG203" s="40" t="str">
        <f t="shared" si="13"/>
        <v/>
      </c>
      <c r="AH203" s="32" t="str">
        <f>IF(OR($L203="",$H203="",$AG203&lt;=0),"",MAX(0,TODAY()-($H203+Settings!$J$6)))</f>
        <v/>
      </c>
      <c r="AI203" s="37"/>
      <c r="AJ203" s="33"/>
      <c r="AK203" s="31"/>
      <c r="AL203" s="31"/>
      <c r="AM203" s="31"/>
      <c r="AN203" s="34"/>
      <c r="AO203" s="44">
        <f t="shared" si="14"/>
        <v>0</v>
      </c>
      <c r="AP203" s="48" t="str">
        <f t="shared" si="9"/>
        <v/>
      </c>
      <c r="AQ203" s="33"/>
      <c r="AR203" s="49" t="str">
        <f t="shared" si="10"/>
        <v/>
      </c>
      <c r="AS203" s="49" t="str">
        <f t="shared" si="11"/>
        <v/>
      </c>
      <c r="AT203" s="32" t="str">
        <f t="shared" si="12"/>
        <v/>
      </c>
    </row>
    <row r="204" ht="18.0" customHeight="1">
      <c r="A204" s="31"/>
      <c r="B204" s="31"/>
      <c r="C204" s="31"/>
      <c r="D204" s="32" t="str">
        <f>IF($A204="","",IF(COUNT($D$2:D203)=0,Settings!$J$5,MAX($D$2:D203)+1))</f>
        <v/>
      </c>
      <c r="E204" s="33"/>
      <c r="F204" s="34"/>
      <c r="G204" s="34"/>
      <c r="H204" s="34"/>
      <c r="I204" s="31"/>
      <c r="J204" s="31"/>
      <c r="K204" s="31"/>
      <c r="L204" s="37"/>
      <c r="M204" s="30" t="str">
        <f t="shared" si="1"/>
        <v/>
      </c>
      <c r="N204" s="38"/>
      <c r="O204" s="30" t="str">
        <f>IF($L204="","",$L204*IF($N204="",Settings!$J$11,$N204))</f>
        <v/>
      </c>
      <c r="P204" s="30" t="str">
        <f t="shared" si="15"/>
        <v/>
      </c>
      <c r="Q204" s="31"/>
      <c r="R204" s="37"/>
      <c r="S204" s="30" t="str">
        <f>IF($L204="","",IF($Q204&lt;&gt;"Yes",0,IF($R204&lt;&gt;"",$R204,ROUND($L204*Settings!$J$4,2))))</f>
        <v/>
      </c>
      <c r="T204" s="40" t="str">
        <f t="shared" si="3"/>
        <v/>
      </c>
      <c r="U204" s="30" t="str">
        <f t="shared" si="4"/>
        <v/>
      </c>
      <c r="V204" s="37"/>
      <c r="W204" s="31"/>
      <c r="X204" s="34"/>
      <c r="Y204" s="37"/>
      <c r="Z204" s="31"/>
      <c r="AA204" s="34"/>
      <c r="AB204" s="37"/>
      <c r="AC204" s="31"/>
      <c r="AD204" s="34"/>
      <c r="AE204" s="30" t="str">
        <f t="shared" si="5"/>
        <v/>
      </c>
      <c r="AF204" s="41" t="str">
        <f t="shared" si="6"/>
        <v/>
      </c>
      <c r="AG204" s="40" t="str">
        <f t="shared" si="13"/>
        <v/>
      </c>
      <c r="AH204" s="32" t="str">
        <f>IF(OR($L204="",$H204="",$AG204&lt;=0),"",MAX(0,TODAY()-($H204+Settings!$J$6)))</f>
        <v/>
      </c>
      <c r="AI204" s="37"/>
      <c r="AJ204" s="33"/>
      <c r="AK204" s="31"/>
      <c r="AL204" s="31"/>
      <c r="AM204" s="31"/>
      <c r="AN204" s="34"/>
      <c r="AO204" s="44">
        <f t="shared" si="14"/>
        <v>0</v>
      </c>
      <c r="AP204" s="48" t="str">
        <f t="shared" si="9"/>
        <v/>
      </c>
      <c r="AQ204" s="33"/>
      <c r="AR204" s="49" t="str">
        <f t="shared" si="10"/>
        <v/>
      </c>
      <c r="AS204" s="49" t="str">
        <f t="shared" si="11"/>
        <v/>
      </c>
      <c r="AT204" s="32" t="str">
        <f t="shared" si="12"/>
        <v/>
      </c>
    </row>
    <row r="205" ht="18.0" customHeight="1">
      <c r="A205" s="31"/>
      <c r="B205" s="31"/>
      <c r="C205" s="31"/>
      <c r="D205" s="32" t="str">
        <f>IF($A205="","",IF(COUNT($D$2:D204)=0,Settings!$J$5,MAX($D$2:D204)+1))</f>
        <v/>
      </c>
      <c r="E205" s="33"/>
      <c r="F205" s="34"/>
      <c r="G205" s="34"/>
      <c r="H205" s="34"/>
      <c r="I205" s="31"/>
      <c r="J205" s="31"/>
      <c r="K205" s="31"/>
      <c r="L205" s="37"/>
      <c r="M205" s="30" t="str">
        <f t="shared" si="1"/>
        <v/>
      </c>
      <c r="N205" s="38"/>
      <c r="O205" s="30" t="str">
        <f>IF($L205="","",$L205*IF($N205="",Settings!$J$11,$N205))</f>
        <v/>
      </c>
      <c r="P205" s="30" t="str">
        <f t="shared" si="15"/>
        <v/>
      </c>
      <c r="Q205" s="31"/>
      <c r="R205" s="37"/>
      <c r="S205" s="30" t="str">
        <f>IF($L205="","",IF($Q205&lt;&gt;"Yes",0,IF($R205&lt;&gt;"",$R205,ROUND($L205*Settings!$J$4,2))))</f>
        <v/>
      </c>
      <c r="T205" s="40" t="str">
        <f t="shared" si="3"/>
        <v/>
      </c>
      <c r="U205" s="30" t="str">
        <f t="shared" si="4"/>
        <v/>
      </c>
      <c r="V205" s="37"/>
      <c r="W205" s="31"/>
      <c r="X205" s="34"/>
      <c r="Y205" s="37"/>
      <c r="Z205" s="31"/>
      <c r="AA205" s="34"/>
      <c r="AB205" s="37"/>
      <c r="AC205" s="31"/>
      <c r="AD205" s="34"/>
      <c r="AE205" s="30" t="str">
        <f t="shared" si="5"/>
        <v/>
      </c>
      <c r="AF205" s="41" t="str">
        <f t="shared" si="6"/>
        <v/>
      </c>
      <c r="AG205" s="40" t="str">
        <f t="shared" si="13"/>
        <v/>
      </c>
      <c r="AH205" s="32" t="str">
        <f>IF(OR($L205="",$H205="",$AG205&lt;=0),"",MAX(0,TODAY()-($H205+Settings!$J$6)))</f>
        <v/>
      </c>
      <c r="AI205" s="37"/>
      <c r="AJ205" s="33"/>
      <c r="AK205" s="31"/>
      <c r="AL205" s="31"/>
      <c r="AM205" s="31"/>
      <c r="AN205" s="34"/>
      <c r="AO205" s="44">
        <f t="shared" si="14"/>
        <v>0</v>
      </c>
      <c r="AP205" s="48" t="str">
        <f t="shared" si="9"/>
        <v/>
      </c>
      <c r="AQ205" s="33"/>
      <c r="AR205" s="49" t="str">
        <f t="shared" si="10"/>
        <v/>
      </c>
      <c r="AS205" s="49" t="str">
        <f t="shared" si="11"/>
        <v/>
      </c>
      <c r="AT205" s="32" t="str">
        <f t="shared" si="12"/>
        <v/>
      </c>
    </row>
    <row r="206" ht="18.0" customHeight="1">
      <c r="A206" s="31"/>
      <c r="B206" s="31"/>
      <c r="C206" s="31"/>
      <c r="D206" s="32" t="str">
        <f>IF($A206="","",IF(COUNT($D$2:D205)=0,Settings!$J$5,MAX($D$2:D205)+1))</f>
        <v/>
      </c>
      <c r="E206" s="33"/>
      <c r="F206" s="34"/>
      <c r="G206" s="34"/>
      <c r="H206" s="34"/>
      <c r="I206" s="31"/>
      <c r="J206" s="31"/>
      <c r="K206" s="31"/>
      <c r="L206" s="37"/>
      <c r="M206" s="30" t="str">
        <f t="shared" si="1"/>
        <v/>
      </c>
      <c r="N206" s="38"/>
      <c r="O206" s="30" t="str">
        <f>IF($L206="","",$L206*IF($N206="",Settings!$J$11,$N206))</f>
        <v/>
      </c>
      <c r="P206" s="30" t="str">
        <f t="shared" si="15"/>
        <v/>
      </c>
      <c r="Q206" s="31"/>
      <c r="R206" s="37"/>
      <c r="S206" s="30" t="str">
        <f>IF($L206="","",IF($Q206&lt;&gt;"Yes",0,IF($R206&lt;&gt;"",$R206,ROUND($L206*Settings!$J$4,2))))</f>
        <v/>
      </c>
      <c r="T206" s="40" t="str">
        <f t="shared" si="3"/>
        <v/>
      </c>
      <c r="U206" s="30" t="str">
        <f t="shared" si="4"/>
        <v/>
      </c>
      <c r="V206" s="37"/>
      <c r="W206" s="31"/>
      <c r="X206" s="34"/>
      <c r="Y206" s="37"/>
      <c r="Z206" s="31"/>
      <c r="AA206" s="34"/>
      <c r="AB206" s="37"/>
      <c r="AC206" s="31"/>
      <c r="AD206" s="34"/>
      <c r="AE206" s="30" t="str">
        <f t="shared" si="5"/>
        <v/>
      </c>
      <c r="AF206" s="41" t="str">
        <f t="shared" si="6"/>
        <v/>
      </c>
      <c r="AG206" s="40" t="str">
        <f t="shared" si="13"/>
        <v/>
      </c>
      <c r="AH206" s="32" t="str">
        <f>IF(OR($L206="",$H206="",$AG206&lt;=0),"",MAX(0,TODAY()-($H206+Settings!$J$6)))</f>
        <v/>
      </c>
      <c r="AI206" s="37"/>
      <c r="AJ206" s="33"/>
      <c r="AK206" s="31"/>
      <c r="AL206" s="31"/>
      <c r="AM206" s="31"/>
      <c r="AN206" s="34"/>
      <c r="AO206" s="44">
        <f t="shared" si="14"/>
        <v>0</v>
      </c>
      <c r="AP206" s="48" t="str">
        <f t="shared" si="9"/>
        <v/>
      </c>
      <c r="AQ206" s="33"/>
      <c r="AR206" s="49" t="str">
        <f t="shared" si="10"/>
        <v/>
      </c>
      <c r="AS206" s="49" t="str">
        <f t="shared" si="11"/>
        <v/>
      </c>
      <c r="AT206" s="32" t="str">
        <f t="shared" si="12"/>
        <v/>
      </c>
    </row>
    <row r="207" ht="18.0" customHeight="1">
      <c r="A207" s="31"/>
      <c r="B207" s="31"/>
      <c r="C207" s="31"/>
      <c r="D207" s="32" t="str">
        <f>IF($A207="","",IF(COUNT($D$2:D206)=0,Settings!$J$5,MAX($D$2:D206)+1))</f>
        <v/>
      </c>
      <c r="E207" s="33"/>
      <c r="F207" s="34"/>
      <c r="G207" s="34"/>
      <c r="H207" s="34"/>
      <c r="I207" s="31"/>
      <c r="J207" s="31"/>
      <c r="K207" s="31"/>
      <c r="L207" s="37"/>
      <c r="M207" s="30" t="str">
        <f t="shared" si="1"/>
        <v/>
      </c>
      <c r="N207" s="38"/>
      <c r="O207" s="30" t="str">
        <f>IF($L207="","",$L207*IF($N207="",Settings!$J$11,$N207))</f>
        <v/>
      </c>
      <c r="P207" s="30" t="str">
        <f t="shared" si="15"/>
        <v/>
      </c>
      <c r="Q207" s="31"/>
      <c r="R207" s="37"/>
      <c r="S207" s="30" t="str">
        <f>IF($L207="","",IF($Q207&lt;&gt;"Yes",0,IF($R207&lt;&gt;"",$R207,ROUND($L207*Settings!$J$4,2))))</f>
        <v/>
      </c>
      <c r="T207" s="40" t="str">
        <f t="shared" si="3"/>
        <v/>
      </c>
      <c r="U207" s="30" t="str">
        <f t="shared" si="4"/>
        <v/>
      </c>
      <c r="V207" s="37"/>
      <c r="W207" s="31"/>
      <c r="X207" s="34"/>
      <c r="Y207" s="37"/>
      <c r="Z207" s="31"/>
      <c r="AA207" s="34"/>
      <c r="AB207" s="37"/>
      <c r="AC207" s="31"/>
      <c r="AD207" s="34"/>
      <c r="AE207" s="30" t="str">
        <f t="shared" si="5"/>
        <v/>
      </c>
      <c r="AF207" s="41" t="str">
        <f t="shared" si="6"/>
        <v/>
      </c>
      <c r="AG207" s="40" t="str">
        <f t="shared" si="13"/>
        <v/>
      </c>
      <c r="AH207" s="32" t="str">
        <f>IF(OR($L207="",$H207="",$AG207&lt;=0),"",MAX(0,TODAY()-($H207+Settings!$J$6)))</f>
        <v/>
      </c>
      <c r="AI207" s="37"/>
      <c r="AJ207" s="33"/>
      <c r="AK207" s="31"/>
      <c r="AL207" s="31"/>
      <c r="AM207" s="31"/>
      <c r="AN207" s="34"/>
      <c r="AO207" s="44">
        <f t="shared" si="14"/>
        <v>0</v>
      </c>
      <c r="AP207" s="48" t="str">
        <f t="shared" si="9"/>
        <v/>
      </c>
      <c r="AQ207" s="33"/>
      <c r="AR207" s="49" t="str">
        <f t="shared" si="10"/>
        <v/>
      </c>
      <c r="AS207" s="49" t="str">
        <f t="shared" si="11"/>
        <v/>
      </c>
      <c r="AT207" s="32" t="str">
        <f t="shared" si="12"/>
        <v/>
      </c>
    </row>
    <row r="208" ht="18.0" customHeight="1">
      <c r="A208" s="31"/>
      <c r="B208" s="31"/>
      <c r="C208" s="31"/>
      <c r="D208" s="32" t="str">
        <f>IF($A208="","",IF(COUNT($D$2:D207)=0,Settings!$J$5,MAX($D$2:D207)+1))</f>
        <v/>
      </c>
      <c r="E208" s="33"/>
      <c r="F208" s="34"/>
      <c r="G208" s="34"/>
      <c r="H208" s="34"/>
      <c r="I208" s="31"/>
      <c r="J208" s="31"/>
      <c r="K208" s="31"/>
      <c r="L208" s="37"/>
      <c r="M208" s="30" t="str">
        <f t="shared" si="1"/>
        <v/>
      </c>
      <c r="N208" s="38"/>
      <c r="O208" s="30" t="str">
        <f>IF($L208="","",$L208*IF($N208="",Settings!$J$11,$N208))</f>
        <v/>
      </c>
      <c r="P208" s="30" t="str">
        <f t="shared" si="15"/>
        <v/>
      </c>
      <c r="Q208" s="31"/>
      <c r="R208" s="37"/>
      <c r="S208" s="30" t="str">
        <f>IF($L208="","",IF($Q208&lt;&gt;"Yes",0,IF($R208&lt;&gt;"",$R208,ROUND($L208*Settings!$J$4,2))))</f>
        <v/>
      </c>
      <c r="T208" s="40" t="str">
        <f t="shared" si="3"/>
        <v/>
      </c>
      <c r="U208" s="30" t="str">
        <f t="shared" si="4"/>
        <v/>
      </c>
      <c r="V208" s="37"/>
      <c r="W208" s="31"/>
      <c r="X208" s="34"/>
      <c r="Y208" s="37"/>
      <c r="Z208" s="31"/>
      <c r="AA208" s="34"/>
      <c r="AB208" s="37"/>
      <c r="AC208" s="31"/>
      <c r="AD208" s="34"/>
      <c r="AE208" s="30" t="str">
        <f t="shared" si="5"/>
        <v/>
      </c>
      <c r="AF208" s="41" t="str">
        <f t="shared" si="6"/>
        <v/>
      </c>
      <c r="AG208" s="40" t="str">
        <f t="shared" si="13"/>
        <v/>
      </c>
      <c r="AH208" s="32" t="str">
        <f>IF(OR($L208="",$H208="",$AG208&lt;=0),"",MAX(0,TODAY()-($H208+Settings!$J$6)))</f>
        <v/>
      </c>
      <c r="AI208" s="37"/>
      <c r="AJ208" s="33"/>
      <c r="AK208" s="31"/>
      <c r="AL208" s="31"/>
      <c r="AM208" s="31"/>
      <c r="AN208" s="34"/>
      <c r="AO208" s="44">
        <f t="shared" si="14"/>
        <v>0</v>
      </c>
      <c r="AP208" s="48" t="str">
        <f t="shared" si="9"/>
        <v/>
      </c>
      <c r="AQ208" s="33"/>
      <c r="AR208" s="49" t="str">
        <f t="shared" si="10"/>
        <v/>
      </c>
      <c r="AS208" s="49" t="str">
        <f t="shared" si="11"/>
        <v/>
      </c>
      <c r="AT208" s="32" t="str">
        <f t="shared" si="12"/>
        <v/>
      </c>
    </row>
    <row r="209" ht="18.0" customHeight="1">
      <c r="A209" s="31"/>
      <c r="B209" s="31"/>
      <c r="C209" s="31"/>
      <c r="D209" s="32" t="str">
        <f>IF($A209="","",IF(COUNT($D$2:D208)=0,Settings!$J$5,MAX($D$2:D208)+1))</f>
        <v/>
      </c>
      <c r="E209" s="33"/>
      <c r="F209" s="34"/>
      <c r="G209" s="34"/>
      <c r="H209" s="34"/>
      <c r="I209" s="31"/>
      <c r="J209" s="31"/>
      <c r="K209" s="31"/>
      <c r="L209" s="37"/>
      <c r="M209" s="30" t="str">
        <f t="shared" si="1"/>
        <v/>
      </c>
      <c r="N209" s="38"/>
      <c r="O209" s="30" t="str">
        <f>IF($L209="","",$L209*IF($N209="",Settings!$J$11,$N209))</f>
        <v/>
      </c>
      <c r="P209" s="30" t="str">
        <f t="shared" si="15"/>
        <v/>
      </c>
      <c r="Q209" s="31"/>
      <c r="R209" s="37"/>
      <c r="S209" s="30" t="str">
        <f>IF($L209="","",IF($Q209&lt;&gt;"Yes",0,IF($R209&lt;&gt;"",$R209,ROUND($L209*Settings!$J$4,2))))</f>
        <v/>
      </c>
      <c r="T209" s="40" t="str">
        <f t="shared" si="3"/>
        <v/>
      </c>
      <c r="U209" s="30" t="str">
        <f t="shared" si="4"/>
        <v/>
      </c>
      <c r="V209" s="37"/>
      <c r="W209" s="31"/>
      <c r="X209" s="34"/>
      <c r="Y209" s="37"/>
      <c r="Z209" s="31"/>
      <c r="AA209" s="34"/>
      <c r="AB209" s="37"/>
      <c r="AC209" s="31"/>
      <c r="AD209" s="34"/>
      <c r="AE209" s="30" t="str">
        <f t="shared" si="5"/>
        <v/>
      </c>
      <c r="AF209" s="41" t="str">
        <f t="shared" si="6"/>
        <v/>
      </c>
      <c r="AG209" s="40" t="str">
        <f t="shared" si="13"/>
        <v/>
      </c>
      <c r="AH209" s="32" t="str">
        <f>IF(OR($L209="",$H209="",$AG209&lt;=0),"",MAX(0,TODAY()-($H209+Settings!$J$6)))</f>
        <v/>
      </c>
      <c r="AI209" s="37"/>
      <c r="AJ209" s="33"/>
      <c r="AK209" s="31"/>
      <c r="AL209" s="31"/>
      <c r="AM209" s="31"/>
      <c r="AN209" s="34"/>
      <c r="AO209" s="44">
        <f t="shared" si="14"/>
        <v>0</v>
      </c>
      <c r="AP209" s="48" t="str">
        <f t="shared" si="9"/>
        <v/>
      </c>
      <c r="AQ209" s="33"/>
      <c r="AR209" s="49" t="str">
        <f t="shared" si="10"/>
        <v/>
      </c>
      <c r="AS209" s="49" t="str">
        <f t="shared" si="11"/>
        <v/>
      </c>
      <c r="AT209" s="32" t="str">
        <f t="shared" si="12"/>
        <v/>
      </c>
    </row>
    <row r="210" ht="18.0" customHeight="1">
      <c r="A210" s="31"/>
      <c r="B210" s="31"/>
      <c r="C210" s="31"/>
      <c r="D210" s="32" t="str">
        <f>IF($A210="","",IF(COUNT($D$2:D209)=0,Settings!$J$5,MAX($D$2:D209)+1))</f>
        <v/>
      </c>
      <c r="E210" s="33"/>
      <c r="F210" s="34"/>
      <c r="G210" s="34"/>
      <c r="H210" s="34"/>
      <c r="I210" s="31"/>
      <c r="J210" s="31"/>
      <c r="K210" s="31"/>
      <c r="L210" s="37"/>
      <c r="M210" s="30" t="str">
        <f t="shared" si="1"/>
        <v/>
      </c>
      <c r="N210" s="38"/>
      <c r="O210" s="30" t="str">
        <f>IF($L210="","",$L210*IF($N210="",Settings!$J$11,$N210))</f>
        <v/>
      </c>
      <c r="P210" s="30" t="str">
        <f t="shared" si="15"/>
        <v/>
      </c>
      <c r="Q210" s="31"/>
      <c r="R210" s="37"/>
      <c r="S210" s="30" t="str">
        <f>IF($L210="","",IF($Q210&lt;&gt;"Yes",0,IF($R210&lt;&gt;"",$R210,ROUND($L210*Settings!$J$4,2))))</f>
        <v/>
      </c>
      <c r="T210" s="40" t="str">
        <f t="shared" si="3"/>
        <v/>
      </c>
      <c r="U210" s="30" t="str">
        <f t="shared" si="4"/>
        <v/>
      </c>
      <c r="V210" s="37"/>
      <c r="W210" s="31"/>
      <c r="X210" s="34"/>
      <c r="Y210" s="37"/>
      <c r="Z210" s="31"/>
      <c r="AA210" s="34"/>
      <c r="AB210" s="37"/>
      <c r="AC210" s="31"/>
      <c r="AD210" s="34"/>
      <c r="AE210" s="30" t="str">
        <f t="shared" si="5"/>
        <v/>
      </c>
      <c r="AF210" s="41" t="str">
        <f t="shared" si="6"/>
        <v/>
      </c>
      <c r="AG210" s="40" t="str">
        <f t="shared" si="13"/>
        <v/>
      </c>
      <c r="AH210" s="32" t="str">
        <f>IF(OR($L210="",$H210="",$AG210&lt;=0),"",MAX(0,TODAY()-($H210+Settings!$J$6)))</f>
        <v/>
      </c>
      <c r="AI210" s="37"/>
      <c r="AJ210" s="33"/>
      <c r="AK210" s="31"/>
      <c r="AL210" s="31"/>
      <c r="AM210" s="31"/>
      <c r="AN210" s="34"/>
      <c r="AO210" s="44">
        <f t="shared" si="14"/>
        <v>0</v>
      </c>
      <c r="AP210" s="48" t="str">
        <f t="shared" si="9"/>
        <v/>
      </c>
      <c r="AQ210" s="33"/>
      <c r="AR210" s="49" t="str">
        <f t="shared" si="10"/>
        <v/>
      </c>
      <c r="AS210" s="49" t="str">
        <f t="shared" si="11"/>
        <v/>
      </c>
      <c r="AT210" s="32" t="str">
        <f t="shared" si="12"/>
        <v/>
      </c>
    </row>
    <row r="211" ht="18.0" customHeight="1">
      <c r="A211" s="31"/>
      <c r="B211" s="31"/>
      <c r="C211" s="31"/>
      <c r="D211" s="32" t="str">
        <f>IF($A211="","",IF(COUNT($D$2:D210)=0,Settings!$J$5,MAX($D$2:D210)+1))</f>
        <v/>
      </c>
      <c r="E211" s="33"/>
      <c r="F211" s="34"/>
      <c r="G211" s="34"/>
      <c r="H211" s="34"/>
      <c r="I211" s="31"/>
      <c r="J211" s="31"/>
      <c r="K211" s="31"/>
      <c r="L211" s="37"/>
      <c r="M211" s="30" t="str">
        <f t="shared" si="1"/>
        <v/>
      </c>
      <c r="N211" s="38"/>
      <c r="O211" s="30" t="str">
        <f>IF($L211="","",$L211*IF($N211="",Settings!$J$11,$N211))</f>
        <v/>
      </c>
      <c r="P211" s="30" t="str">
        <f t="shared" si="15"/>
        <v/>
      </c>
      <c r="Q211" s="31"/>
      <c r="R211" s="37"/>
      <c r="S211" s="30" t="str">
        <f>IF($L211="","",IF($Q211&lt;&gt;"Yes",0,IF($R211&lt;&gt;"",$R211,ROUND($L211*Settings!$J$4,2))))</f>
        <v/>
      </c>
      <c r="T211" s="40" t="str">
        <f t="shared" si="3"/>
        <v/>
      </c>
      <c r="U211" s="30" t="str">
        <f t="shared" si="4"/>
        <v/>
      </c>
      <c r="V211" s="37"/>
      <c r="W211" s="31"/>
      <c r="X211" s="34"/>
      <c r="Y211" s="37"/>
      <c r="Z211" s="31"/>
      <c r="AA211" s="34"/>
      <c r="AB211" s="37"/>
      <c r="AC211" s="31"/>
      <c r="AD211" s="34"/>
      <c r="AE211" s="30" t="str">
        <f t="shared" si="5"/>
        <v/>
      </c>
      <c r="AF211" s="41" t="str">
        <f t="shared" si="6"/>
        <v/>
      </c>
      <c r="AG211" s="40" t="str">
        <f t="shared" si="13"/>
        <v/>
      </c>
      <c r="AH211" s="32" t="str">
        <f>IF(OR($L211="",$H211="",$AG211&lt;=0),"",MAX(0,TODAY()-($H211+Settings!$J$6)))</f>
        <v/>
      </c>
      <c r="AI211" s="37"/>
      <c r="AJ211" s="33"/>
      <c r="AK211" s="31"/>
      <c r="AL211" s="31"/>
      <c r="AM211" s="31"/>
      <c r="AN211" s="34"/>
      <c r="AO211" s="44">
        <f t="shared" si="14"/>
        <v>0</v>
      </c>
      <c r="AP211" s="48" t="str">
        <f t="shared" si="9"/>
        <v/>
      </c>
      <c r="AQ211" s="33"/>
      <c r="AR211" s="49" t="str">
        <f t="shared" si="10"/>
        <v/>
      </c>
      <c r="AS211" s="49" t="str">
        <f t="shared" si="11"/>
        <v/>
      </c>
      <c r="AT211" s="32" t="str">
        <f t="shared" si="12"/>
        <v/>
      </c>
    </row>
    <row r="212" ht="18.0" customHeight="1">
      <c r="A212" s="31"/>
      <c r="B212" s="31"/>
      <c r="C212" s="31"/>
      <c r="D212" s="32" t="str">
        <f>IF($A212="","",IF(COUNT($D$2:D211)=0,Settings!$J$5,MAX($D$2:D211)+1))</f>
        <v/>
      </c>
      <c r="E212" s="33"/>
      <c r="F212" s="34"/>
      <c r="G212" s="34"/>
      <c r="H212" s="34"/>
      <c r="I212" s="31"/>
      <c r="J212" s="31"/>
      <c r="K212" s="31"/>
      <c r="L212" s="37"/>
      <c r="M212" s="30" t="str">
        <f t="shared" si="1"/>
        <v/>
      </c>
      <c r="N212" s="38"/>
      <c r="O212" s="30" t="str">
        <f>IF($L212="","",$L212*IF($N212="",Settings!$J$11,$N212))</f>
        <v/>
      </c>
      <c r="P212" s="30" t="str">
        <f t="shared" si="15"/>
        <v/>
      </c>
      <c r="Q212" s="31"/>
      <c r="R212" s="37"/>
      <c r="S212" s="30" t="str">
        <f>IF($L212="","",IF($Q212&lt;&gt;"Yes",0,IF($R212&lt;&gt;"",$R212,ROUND($L212*Settings!$J$4,2))))</f>
        <v/>
      </c>
      <c r="T212" s="40" t="str">
        <f t="shared" si="3"/>
        <v/>
      </c>
      <c r="U212" s="30" t="str">
        <f t="shared" si="4"/>
        <v/>
      </c>
      <c r="V212" s="37"/>
      <c r="W212" s="31"/>
      <c r="X212" s="34"/>
      <c r="Y212" s="37"/>
      <c r="Z212" s="31"/>
      <c r="AA212" s="34"/>
      <c r="AB212" s="37"/>
      <c r="AC212" s="31"/>
      <c r="AD212" s="34"/>
      <c r="AE212" s="30" t="str">
        <f t="shared" si="5"/>
        <v/>
      </c>
      <c r="AF212" s="41" t="str">
        <f t="shared" si="6"/>
        <v/>
      </c>
      <c r="AG212" s="40" t="str">
        <f t="shared" si="13"/>
        <v/>
      </c>
      <c r="AH212" s="32" t="str">
        <f>IF(OR($L212="",$H212="",$AG212&lt;=0),"",MAX(0,TODAY()-($H212+Settings!$J$6)))</f>
        <v/>
      </c>
      <c r="AI212" s="37"/>
      <c r="AJ212" s="33"/>
      <c r="AK212" s="31"/>
      <c r="AL212" s="31"/>
      <c r="AM212" s="31"/>
      <c r="AN212" s="34"/>
      <c r="AO212" s="44">
        <f t="shared" si="14"/>
        <v>0</v>
      </c>
      <c r="AP212" s="48" t="str">
        <f t="shared" si="9"/>
        <v/>
      </c>
      <c r="AQ212" s="33"/>
      <c r="AR212" s="49" t="str">
        <f t="shared" si="10"/>
        <v/>
      </c>
      <c r="AS212" s="49" t="str">
        <f t="shared" si="11"/>
        <v/>
      </c>
      <c r="AT212" s="32" t="str">
        <f t="shared" si="12"/>
        <v/>
      </c>
    </row>
    <row r="213" ht="18.0" customHeight="1">
      <c r="A213" s="31"/>
      <c r="B213" s="31"/>
      <c r="C213" s="31"/>
      <c r="D213" s="32" t="str">
        <f>IF($A213="","",IF(COUNT($D$2:D212)=0,Settings!$J$5,MAX($D$2:D212)+1))</f>
        <v/>
      </c>
      <c r="E213" s="33"/>
      <c r="F213" s="34"/>
      <c r="G213" s="34"/>
      <c r="H213" s="34"/>
      <c r="I213" s="31"/>
      <c r="J213" s="31"/>
      <c r="K213" s="31"/>
      <c r="L213" s="37"/>
      <c r="M213" s="30" t="str">
        <f t="shared" si="1"/>
        <v/>
      </c>
      <c r="N213" s="38"/>
      <c r="O213" s="30" t="str">
        <f>IF($L213="","",$L213*IF($N213="",Settings!$J$11,$N213))</f>
        <v/>
      </c>
      <c r="P213" s="30" t="str">
        <f t="shared" si="15"/>
        <v/>
      </c>
      <c r="Q213" s="31"/>
      <c r="R213" s="37"/>
      <c r="S213" s="30" t="str">
        <f>IF($L213="","",IF($Q213&lt;&gt;"Yes",0,IF($R213&lt;&gt;"",$R213,ROUND($L213*Settings!$J$4,2))))</f>
        <v/>
      </c>
      <c r="T213" s="40" t="str">
        <f t="shared" si="3"/>
        <v/>
      </c>
      <c r="U213" s="30" t="str">
        <f t="shared" si="4"/>
        <v/>
      </c>
      <c r="V213" s="37"/>
      <c r="W213" s="31"/>
      <c r="X213" s="34"/>
      <c r="Y213" s="37"/>
      <c r="Z213" s="31"/>
      <c r="AA213" s="34"/>
      <c r="AB213" s="37"/>
      <c r="AC213" s="31"/>
      <c r="AD213" s="34"/>
      <c r="AE213" s="30" t="str">
        <f t="shared" si="5"/>
        <v/>
      </c>
      <c r="AF213" s="41" t="str">
        <f t="shared" si="6"/>
        <v/>
      </c>
      <c r="AG213" s="40" t="str">
        <f t="shared" si="13"/>
        <v/>
      </c>
      <c r="AH213" s="32" t="str">
        <f>IF(OR($L213="",$H213="",$AG213&lt;=0),"",MAX(0,TODAY()-($H213+Settings!$J$6)))</f>
        <v/>
      </c>
      <c r="AI213" s="37"/>
      <c r="AJ213" s="33"/>
      <c r="AK213" s="31"/>
      <c r="AL213" s="31"/>
      <c r="AM213" s="31"/>
      <c r="AN213" s="34"/>
      <c r="AO213" s="44">
        <f t="shared" si="14"/>
        <v>0</v>
      </c>
      <c r="AP213" s="48" t="str">
        <f t="shared" si="9"/>
        <v/>
      </c>
      <c r="AQ213" s="33"/>
      <c r="AR213" s="49" t="str">
        <f t="shared" si="10"/>
        <v/>
      </c>
      <c r="AS213" s="49" t="str">
        <f t="shared" si="11"/>
        <v/>
      </c>
      <c r="AT213" s="32" t="str">
        <f t="shared" si="12"/>
        <v/>
      </c>
    </row>
    <row r="214" ht="18.0" customHeight="1">
      <c r="A214" s="31"/>
      <c r="B214" s="31"/>
      <c r="C214" s="31"/>
      <c r="D214" s="32" t="str">
        <f>IF($A214="","",IF(COUNT($D$2:D213)=0,Settings!$J$5,MAX($D$2:D213)+1))</f>
        <v/>
      </c>
      <c r="E214" s="33"/>
      <c r="F214" s="34"/>
      <c r="G214" s="34"/>
      <c r="H214" s="34"/>
      <c r="I214" s="31"/>
      <c r="J214" s="31"/>
      <c r="K214" s="31"/>
      <c r="L214" s="37"/>
      <c r="M214" s="30" t="str">
        <f t="shared" si="1"/>
        <v/>
      </c>
      <c r="N214" s="38"/>
      <c r="O214" s="30" t="str">
        <f>IF($L214="","",$L214*IF($N214="",Settings!$J$11,$N214))</f>
        <v/>
      </c>
      <c r="P214" s="30" t="str">
        <f t="shared" si="15"/>
        <v/>
      </c>
      <c r="Q214" s="31"/>
      <c r="R214" s="37"/>
      <c r="S214" s="30" t="str">
        <f>IF($L214="","",IF($Q214&lt;&gt;"Yes",0,IF($R214&lt;&gt;"",$R214,ROUND($L214*Settings!$J$4,2))))</f>
        <v/>
      </c>
      <c r="T214" s="40" t="str">
        <f t="shared" si="3"/>
        <v/>
      </c>
      <c r="U214" s="30" t="str">
        <f t="shared" si="4"/>
        <v/>
      </c>
      <c r="V214" s="37"/>
      <c r="W214" s="31"/>
      <c r="X214" s="34"/>
      <c r="Y214" s="37"/>
      <c r="Z214" s="31"/>
      <c r="AA214" s="34"/>
      <c r="AB214" s="37"/>
      <c r="AC214" s="31"/>
      <c r="AD214" s="34"/>
      <c r="AE214" s="30" t="str">
        <f t="shared" si="5"/>
        <v/>
      </c>
      <c r="AF214" s="41" t="str">
        <f t="shared" si="6"/>
        <v/>
      </c>
      <c r="AG214" s="40" t="str">
        <f t="shared" si="13"/>
        <v/>
      </c>
      <c r="AH214" s="32" t="str">
        <f>IF(OR($L214="",$H214="",$AG214&lt;=0),"",MAX(0,TODAY()-($H214+Settings!$J$6)))</f>
        <v/>
      </c>
      <c r="AI214" s="37"/>
      <c r="AJ214" s="33"/>
      <c r="AK214" s="31"/>
      <c r="AL214" s="31"/>
      <c r="AM214" s="31"/>
      <c r="AN214" s="34"/>
      <c r="AO214" s="44">
        <f t="shared" si="14"/>
        <v>0</v>
      </c>
      <c r="AP214" s="48" t="str">
        <f t="shared" si="9"/>
        <v/>
      </c>
      <c r="AQ214" s="33"/>
      <c r="AR214" s="49" t="str">
        <f t="shared" si="10"/>
        <v/>
      </c>
      <c r="AS214" s="49" t="str">
        <f t="shared" si="11"/>
        <v/>
      </c>
      <c r="AT214" s="32" t="str">
        <f t="shared" si="12"/>
        <v/>
      </c>
    </row>
    <row r="215" ht="18.0" customHeight="1">
      <c r="A215" s="31"/>
      <c r="B215" s="31"/>
      <c r="C215" s="31"/>
      <c r="D215" s="32" t="str">
        <f>IF($A215="","",IF(COUNT($D$2:D214)=0,Settings!$J$5,MAX($D$2:D214)+1))</f>
        <v/>
      </c>
      <c r="E215" s="33"/>
      <c r="F215" s="34"/>
      <c r="G215" s="34"/>
      <c r="H215" s="34"/>
      <c r="I215" s="31"/>
      <c r="J215" s="31"/>
      <c r="K215" s="31"/>
      <c r="L215" s="37"/>
      <c r="M215" s="30" t="str">
        <f t="shared" si="1"/>
        <v/>
      </c>
      <c r="N215" s="38"/>
      <c r="O215" s="30" t="str">
        <f>IF($L215="","",$L215*IF($N215="",Settings!$J$11,$N215))</f>
        <v/>
      </c>
      <c r="P215" s="30" t="str">
        <f t="shared" si="15"/>
        <v/>
      </c>
      <c r="Q215" s="31"/>
      <c r="R215" s="37"/>
      <c r="S215" s="30" t="str">
        <f>IF($L215="","",IF($Q215&lt;&gt;"Yes",0,IF($R215&lt;&gt;"",$R215,ROUND($L215*Settings!$J$4,2))))</f>
        <v/>
      </c>
      <c r="T215" s="40" t="str">
        <f t="shared" si="3"/>
        <v/>
      </c>
      <c r="U215" s="30" t="str">
        <f t="shared" si="4"/>
        <v/>
      </c>
      <c r="V215" s="37"/>
      <c r="W215" s="31"/>
      <c r="X215" s="34"/>
      <c r="Y215" s="37"/>
      <c r="Z215" s="31"/>
      <c r="AA215" s="34"/>
      <c r="AB215" s="37"/>
      <c r="AC215" s="31"/>
      <c r="AD215" s="34"/>
      <c r="AE215" s="30" t="str">
        <f t="shared" si="5"/>
        <v/>
      </c>
      <c r="AF215" s="41" t="str">
        <f t="shared" si="6"/>
        <v/>
      </c>
      <c r="AG215" s="40" t="str">
        <f t="shared" si="13"/>
        <v/>
      </c>
      <c r="AH215" s="32" t="str">
        <f>IF(OR($L215="",$H215="",$AG215&lt;=0),"",MAX(0,TODAY()-($H215+Settings!$J$6)))</f>
        <v/>
      </c>
      <c r="AI215" s="37"/>
      <c r="AJ215" s="33"/>
      <c r="AK215" s="31"/>
      <c r="AL215" s="31"/>
      <c r="AM215" s="31"/>
      <c r="AN215" s="34"/>
      <c r="AO215" s="44">
        <f t="shared" si="14"/>
        <v>0</v>
      </c>
      <c r="AP215" s="48" t="str">
        <f t="shared" si="9"/>
        <v/>
      </c>
      <c r="AQ215" s="33"/>
      <c r="AR215" s="49" t="str">
        <f t="shared" si="10"/>
        <v/>
      </c>
      <c r="AS215" s="49" t="str">
        <f t="shared" si="11"/>
        <v/>
      </c>
      <c r="AT215" s="32" t="str">
        <f t="shared" si="12"/>
        <v/>
      </c>
    </row>
    <row r="216" ht="18.0" customHeight="1">
      <c r="A216" s="31"/>
      <c r="B216" s="31"/>
      <c r="C216" s="31"/>
      <c r="D216" s="32" t="str">
        <f>IF($A216="","",IF(COUNT($D$2:D215)=0,Settings!$J$5,MAX($D$2:D215)+1))</f>
        <v/>
      </c>
      <c r="E216" s="33"/>
      <c r="F216" s="34"/>
      <c r="G216" s="34"/>
      <c r="H216" s="34"/>
      <c r="I216" s="31"/>
      <c r="J216" s="31"/>
      <c r="K216" s="31"/>
      <c r="L216" s="37"/>
      <c r="M216" s="30" t="str">
        <f t="shared" si="1"/>
        <v/>
      </c>
      <c r="N216" s="38"/>
      <c r="O216" s="30" t="str">
        <f>IF($L216="","",$L216*IF($N216="",Settings!$J$11,$N216))</f>
        <v/>
      </c>
      <c r="P216" s="30" t="str">
        <f t="shared" si="15"/>
        <v/>
      </c>
      <c r="Q216" s="31"/>
      <c r="R216" s="37"/>
      <c r="S216" s="30" t="str">
        <f>IF($L216="","",IF($Q216&lt;&gt;"Yes",0,IF($R216&lt;&gt;"",$R216,ROUND($L216*Settings!$J$4,2))))</f>
        <v/>
      </c>
      <c r="T216" s="40" t="str">
        <f t="shared" si="3"/>
        <v/>
      </c>
      <c r="U216" s="30" t="str">
        <f t="shared" si="4"/>
        <v/>
      </c>
      <c r="V216" s="37"/>
      <c r="W216" s="31"/>
      <c r="X216" s="34"/>
      <c r="Y216" s="37"/>
      <c r="Z216" s="31"/>
      <c r="AA216" s="34"/>
      <c r="AB216" s="37"/>
      <c r="AC216" s="31"/>
      <c r="AD216" s="34"/>
      <c r="AE216" s="30" t="str">
        <f t="shared" si="5"/>
        <v/>
      </c>
      <c r="AF216" s="41" t="str">
        <f t="shared" si="6"/>
        <v/>
      </c>
      <c r="AG216" s="40" t="str">
        <f t="shared" si="13"/>
        <v/>
      </c>
      <c r="AH216" s="32" t="str">
        <f>IF(OR($L216="",$H216="",$AG216&lt;=0),"",MAX(0,TODAY()-($H216+Settings!$J$6)))</f>
        <v/>
      </c>
      <c r="AI216" s="37"/>
      <c r="AJ216" s="33"/>
      <c r="AK216" s="31"/>
      <c r="AL216" s="31"/>
      <c r="AM216" s="31"/>
      <c r="AN216" s="34"/>
      <c r="AO216" s="44">
        <f t="shared" si="14"/>
        <v>0</v>
      </c>
      <c r="AP216" s="48" t="str">
        <f t="shared" si="9"/>
        <v/>
      </c>
      <c r="AQ216" s="33"/>
      <c r="AR216" s="49" t="str">
        <f t="shared" si="10"/>
        <v/>
      </c>
      <c r="AS216" s="49" t="str">
        <f t="shared" si="11"/>
        <v/>
      </c>
      <c r="AT216" s="32" t="str">
        <f t="shared" si="12"/>
        <v/>
      </c>
    </row>
    <row r="217" ht="18.0" customHeight="1">
      <c r="A217" s="31"/>
      <c r="B217" s="31"/>
      <c r="C217" s="31"/>
      <c r="D217" s="32" t="str">
        <f>IF($A217="","",IF(COUNT($D$2:D216)=0,Settings!$J$5,MAX($D$2:D216)+1))</f>
        <v/>
      </c>
      <c r="E217" s="33"/>
      <c r="F217" s="34"/>
      <c r="G217" s="34"/>
      <c r="H217" s="34"/>
      <c r="I217" s="31"/>
      <c r="J217" s="31"/>
      <c r="K217" s="31"/>
      <c r="L217" s="37"/>
      <c r="M217" s="30" t="str">
        <f t="shared" si="1"/>
        <v/>
      </c>
      <c r="N217" s="38"/>
      <c r="O217" s="30" t="str">
        <f>IF($L217="","",$L217*IF($N217="",Settings!$J$11,$N217))</f>
        <v/>
      </c>
      <c r="P217" s="30" t="str">
        <f t="shared" si="15"/>
        <v/>
      </c>
      <c r="Q217" s="31"/>
      <c r="R217" s="37"/>
      <c r="S217" s="30" t="str">
        <f>IF($L217="","",IF($Q217&lt;&gt;"Yes",0,IF($R217&lt;&gt;"",$R217,ROUND($L217*Settings!$J$4,2))))</f>
        <v/>
      </c>
      <c r="T217" s="40" t="str">
        <f t="shared" si="3"/>
        <v/>
      </c>
      <c r="U217" s="30" t="str">
        <f t="shared" si="4"/>
        <v/>
      </c>
      <c r="V217" s="37"/>
      <c r="W217" s="31"/>
      <c r="X217" s="34"/>
      <c r="Y217" s="37"/>
      <c r="Z217" s="31"/>
      <c r="AA217" s="34"/>
      <c r="AB217" s="37"/>
      <c r="AC217" s="31"/>
      <c r="AD217" s="34"/>
      <c r="AE217" s="30" t="str">
        <f t="shared" si="5"/>
        <v/>
      </c>
      <c r="AF217" s="41" t="str">
        <f t="shared" si="6"/>
        <v/>
      </c>
      <c r="AG217" s="40" t="str">
        <f t="shared" si="13"/>
        <v/>
      </c>
      <c r="AH217" s="32" t="str">
        <f>IF(OR($L217="",$H217="",$AG217&lt;=0),"",MAX(0,TODAY()-($H217+Settings!$J$6)))</f>
        <v/>
      </c>
      <c r="AI217" s="37"/>
      <c r="AJ217" s="33"/>
      <c r="AK217" s="31"/>
      <c r="AL217" s="31"/>
      <c r="AM217" s="31"/>
      <c r="AN217" s="34"/>
      <c r="AO217" s="44">
        <f t="shared" si="14"/>
        <v>0</v>
      </c>
      <c r="AP217" s="48" t="str">
        <f t="shared" si="9"/>
        <v/>
      </c>
      <c r="AQ217" s="33"/>
      <c r="AR217" s="49" t="str">
        <f t="shared" si="10"/>
        <v/>
      </c>
      <c r="AS217" s="49" t="str">
        <f t="shared" si="11"/>
        <v/>
      </c>
      <c r="AT217" s="32" t="str">
        <f t="shared" si="12"/>
        <v/>
      </c>
    </row>
    <row r="218" ht="18.0" customHeight="1">
      <c r="A218" s="31"/>
      <c r="B218" s="31"/>
      <c r="C218" s="31"/>
      <c r="D218" s="32" t="str">
        <f>IF($A218="","",IF(COUNT($D$2:D217)=0,Settings!$J$5,MAX($D$2:D217)+1))</f>
        <v/>
      </c>
      <c r="E218" s="33"/>
      <c r="F218" s="34"/>
      <c r="G218" s="34"/>
      <c r="H218" s="34"/>
      <c r="I218" s="31"/>
      <c r="J218" s="31"/>
      <c r="K218" s="31"/>
      <c r="L218" s="37"/>
      <c r="M218" s="30" t="str">
        <f t="shared" si="1"/>
        <v/>
      </c>
      <c r="N218" s="38"/>
      <c r="O218" s="30" t="str">
        <f>IF($L218="","",$L218*IF($N218="",Settings!$J$11,$N218))</f>
        <v/>
      </c>
      <c r="P218" s="30" t="str">
        <f t="shared" si="15"/>
        <v/>
      </c>
      <c r="Q218" s="31"/>
      <c r="R218" s="37"/>
      <c r="S218" s="30" t="str">
        <f>IF($L218="","",IF($Q218&lt;&gt;"Yes",0,IF($R218&lt;&gt;"",$R218,ROUND($L218*Settings!$J$4,2))))</f>
        <v/>
      </c>
      <c r="T218" s="40" t="str">
        <f t="shared" si="3"/>
        <v/>
      </c>
      <c r="U218" s="30" t="str">
        <f t="shared" si="4"/>
        <v/>
      </c>
      <c r="V218" s="37"/>
      <c r="W218" s="31"/>
      <c r="X218" s="34"/>
      <c r="Y218" s="37"/>
      <c r="Z218" s="31"/>
      <c r="AA218" s="34"/>
      <c r="AB218" s="37"/>
      <c r="AC218" s="31"/>
      <c r="AD218" s="34"/>
      <c r="AE218" s="30" t="str">
        <f t="shared" si="5"/>
        <v/>
      </c>
      <c r="AF218" s="41" t="str">
        <f t="shared" si="6"/>
        <v/>
      </c>
      <c r="AG218" s="40" t="str">
        <f t="shared" si="13"/>
        <v/>
      </c>
      <c r="AH218" s="32" t="str">
        <f>IF(OR($L218="",$H218="",$AG218&lt;=0),"",MAX(0,TODAY()-($H218+Settings!$J$6)))</f>
        <v/>
      </c>
      <c r="AI218" s="37"/>
      <c r="AJ218" s="33"/>
      <c r="AK218" s="31"/>
      <c r="AL218" s="31"/>
      <c r="AM218" s="31"/>
      <c r="AN218" s="34"/>
      <c r="AO218" s="44">
        <f t="shared" si="14"/>
        <v>0</v>
      </c>
      <c r="AP218" s="48" t="str">
        <f t="shared" si="9"/>
        <v/>
      </c>
      <c r="AQ218" s="33"/>
      <c r="AR218" s="49" t="str">
        <f t="shared" si="10"/>
        <v/>
      </c>
      <c r="AS218" s="49" t="str">
        <f t="shared" si="11"/>
        <v/>
      </c>
      <c r="AT218" s="32" t="str">
        <f t="shared" si="12"/>
        <v/>
      </c>
    </row>
    <row r="219" ht="18.0" customHeight="1">
      <c r="A219" s="31"/>
      <c r="B219" s="31"/>
      <c r="C219" s="31"/>
      <c r="D219" s="32" t="str">
        <f>IF($A219="","",IF(COUNT($D$2:D218)=0,Settings!$J$5,MAX($D$2:D218)+1))</f>
        <v/>
      </c>
      <c r="E219" s="33"/>
      <c r="F219" s="34"/>
      <c r="G219" s="34"/>
      <c r="H219" s="34"/>
      <c r="I219" s="31"/>
      <c r="J219" s="31"/>
      <c r="K219" s="31"/>
      <c r="L219" s="37"/>
      <c r="M219" s="30" t="str">
        <f t="shared" si="1"/>
        <v/>
      </c>
      <c r="N219" s="38"/>
      <c r="O219" s="30" t="str">
        <f>IF($L219="","",$L219*IF($N219="",Settings!$J$11,$N219))</f>
        <v/>
      </c>
      <c r="P219" s="30" t="str">
        <f t="shared" si="15"/>
        <v/>
      </c>
      <c r="Q219" s="31"/>
      <c r="R219" s="37"/>
      <c r="S219" s="30" t="str">
        <f>IF($L219="","",IF($Q219&lt;&gt;"Yes",0,IF($R219&lt;&gt;"",$R219,ROUND($L219*Settings!$J$4,2))))</f>
        <v/>
      </c>
      <c r="T219" s="40" t="str">
        <f t="shared" si="3"/>
        <v/>
      </c>
      <c r="U219" s="30" t="str">
        <f t="shared" si="4"/>
        <v/>
      </c>
      <c r="V219" s="37"/>
      <c r="W219" s="31"/>
      <c r="X219" s="34"/>
      <c r="Y219" s="37"/>
      <c r="Z219" s="31"/>
      <c r="AA219" s="34"/>
      <c r="AB219" s="37"/>
      <c r="AC219" s="31"/>
      <c r="AD219" s="34"/>
      <c r="AE219" s="30" t="str">
        <f t="shared" si="5"/>
        <v/>
      </c>
      <c r="AF219" s="41" t="str">
        <f t="shared" si="6"/>
        <v/>
      </c>
      <c r="AG219" s="40" t="str">
        <f t="shared" si="13"/>
        <v/>
      </c>
      <c r="AH219" s="32" t="str">
        <f>IF(OR($L219="",$H219="",$AG219&lt;=0),"",MAX(0,TODAY()-($H219+Settings!$J$6)))</f>
        <v/>
      </c>
      <c r="AI219" s="37"/>
      <c r="AJ219" s="33"/>
      <c r="AK219" s="31"/>
      <c r="AL219" s="31"/>
      <c r="AM219" s="31"/>
      <c r="AN219" s="34"/>
      <c r="AO219" s="44">
        <f t="shared" si="14"/>
        <v>0</v>
      </c>
      <c r="AP219" s="48" t="str">
        <f t="shared" si="9"/>
        <v/>
      </c>
      <c r="AQ219" s="33"/>
      <c r="AR219" s="49" t="str">
        <f t="shared" si="10"/>
        <v/>
      </c>
      <c r="AS219" s="49" t="str">
        <f t="shared" si="11"/>
        <v/>
      </c>
      <c r="AT219" s="32" t="str">
        <f t="shared" si="12"/>
        <v/>
      </c>
    </row>
    <row r="220" ht="18.0" customHeight="1">
      <c r="A220" s="31"/>
      <c r="B220" s="31"/>
      <c r="C220" s="31"/>
      <c r="D220" s="32" t="str">
        <f>IF($A220="","",IF(COUNT($D$2:D219)=0,Settings!$J$5,MAX($D$2:D219)+1))</f>
        <v/>
      </c>
      <c r="E220" s="33"/>
      <c r="F220" s="34"/>
      <c r="G220" s="34"/>
      <c r="H220" s="34"/>
      <c r="I220" s="31"/>
      <c r="J220" s="31"/>
      <c r="K220" s="31"/>
      <c r="L220" s="37"/>
      <c r="M220" s="30" t="str">
        <f t="shared" si="1"/>
        <v/>
      </c>
      <c r="N220" s="38"/>
      <c r="O220" s="30" t="str">
        <f>IF($L220="","",$L220*IF($N220="",Settings!$J$11,$N220))</f>
        <v/>
      </c>
      <c r="P220" s="30" t="str">
        <f t="shared" si="15"/>
        <v/>
      </c>
      <c r="Q220" s="31"/>
      <c r="R220" s="37"/>
      <c r="S220" s="30" t="str">
        <f>IF($L220="","",IF($Q220&lt;&gt;"Yes",0,IF($R220&lt;&gt;"",$R220,ROUND($L220*Settings!$J$4,2))))</f>
        <v/>
      </c>
      <c r="T220" s="40" t="str">
        <f t="shared" si="3"/>
        <v/>
      </c>
      <c r="U220" s="30" t="str">
        <f t="shared" si="4"/>
        <v/>
      </c>
      <c r="V220" s="37"/>
      <c r="W220" s="31"/>
      <c r="X220" s="34"/>
      <c r="Y220" s="37"/>
      <c r="Z220" s="31"/>
      <c r="AA220" s="34"/>
      <c r="AB220" s="37"/>
      <c r="AC220" s="31"/>
      <c r="AD220" s="34"/>
      <c r="AE220" s="30" t="str">
        <f t="shared" si="5"/>
        <v/>
      </c>
      <c r="AF220" s="41" t="str">
        <f t="shared" si="6"/>
        <v/>
      </c>
      <c r="AG220" s="40" t="str">
        <f t="shared" si="13"/>
        <v/>
      </c>
      <c r="AH220" s="32" t="str">
        <f>IF(OR($L220="",$H220="",$AG220&lt;=0),"",MAX(0,TODAY()-($H220+Settings!$J$6)))</f>
        <v/>
      </c>
      <c r="AI220" s="37"/>
      <c r="AJ220" s="33"/>
      <c r="AK220" s="31"/>
      <c r="AL220" s="31"/>
      <c r="AM220" s="31"/>
      <c r="AN220" s="34"/>
      <c r="AO220" s="44">
        <f t="shared" si="14"/>
        <v>0</v>
      </c>
      <c r="AP220" s="48" t="str">
        <f t="shared" si="9"/>
        <v/>
      </c>
      <c r="AQ220" s="33"/>
      <c r="AR220" s="49" t="str">
        <f t="shared" si="10"/>
        <v/>
      </c>
      <c r="AS220" s="49" t="str">
        <f t="shared" si="11"/>
        <v/>
      </c>
      <c r="AT220" s="32" t="str">
        <f t="shared" si="12"/>
        <v/>
      </c>
    </row>
    <row r="221" ht="18.0" customHeight="1">
      <c r="A221" s="31"/>
      <c r="B221" s="31"/>
      <c r="C221" s="31"/>
      <c r="D221" s="32" t="str">
        <f>IF($A221="","",IF(COUNT($D$2:D220)=0,Settings!$J$5,MAX($D$2:D220)+1))</f>
        <v/>
      </c>
      <c r="E221" s="33"/>
      <c r="F221" s="34"/>
      <c r="G221" s="34"/>
      <c r="H221" s="34"/>
      <c r="I221" s="31"/>
      <c r="J221" s="31"/>
      <c r="K221" s="31"/>
      <c r="L221" s="37"/>
      <c r="M221" s="30" t="str">
        <f t="shared" si="1"/>
        <v/>
      </c>
      <c r="N221" s="38"/>
      <c r="O221" s="30" t="str">
        <f>IF($L221="","",$L221*IF($N221="",Settings!$J$11,$N221))</f>
        <v/>
      </c>
      <c r="P221" s="30" t="str">
        <f t="shared" si="15"/>
        <v/>
      </c>
      <c r="Q221" s="31"/>
      <c r="R221" s="37"/>
      <c r="S221" s="30" t="str">
        <f>IF($L221="","",IF($Q221&lt;&gt;"Yes",0,IF($R221&lt;&gt;"",$R221,ROUND($L221*Settings!$J$4,2))))</f>
        <v/>
      </c>
      <c r="T221" s="40" t="str">
        <f t="shared" si="3"/>
        <v/>
      </c>
      <c r="U221" s="30" t="str">
        <f t="shared" si="4"/>
        <v/>
      </c>
      <c r="V221" s="37"/>
      <c r="W221" s="31"/>
      <c r="X221" s="34"/>
      <c r="Y221" s="37"/>
      <c r="Z221" s="31"/>
      <c r="AA221" s="34"/>
      <c r="AB221" s="37"/>
      <c r="AC221" s="31"/>
      <c r="AD221" s="34"/>
      <c r="AE221" s="30" t="str">
        <f t="shared" si="5"/>
        <v/>
      </c>
      <c r="AF221" s="41" t="str">
        <f t="shared" si="6"/>
        <v/>
      </c>
      <c r="AG221" s="40" t="str">
        <f t="shared" si="13"/>
        <v/>
      </c>
      <c r="AH221" s="32" t="str">
        <f>IF(OR($L221="",$H221="",$AG221&lt;=0),"",MAX(0,TODAY()-($H221+Settings!$J$6)))</f>
        <v/>
      </c>
      <c r="AI221" s="37"/>
      <c r="AJ221" s="33"/>
      <c r="AK221" s="31"/>
      <c r="AL221" s="31"/>
      <c r="AM221" s="31"/>
      <c r="AN221" s="34"/>
      <c r="AO221" s="44">
        <f t="shared" si="14"/>
        <v>0</v>
      </c>
      <c r="AP221" s="48" t="str">
        <f t="shared" si="9"/>
        <v/>
      </c>
      <c r="AQ221" s="33"/>
      <c r="AR221" s="49" t="str">
        <f t="shared" si="10"/>
        <v/>
      </c>
      <c r="AS221" s="49" t="str">
        <f t="shared" si="11"/>
        <v/>
      </c>
      <c r="AT221" s="32" t="str">
        <f t="shared" si="12"/>
        <v/>
      </c>
    </row>
    <row r="222" ht="18.0" customHeight="1">
      <c r="A222" s="31"/>
      <c r="B222" s="31"/>
      <c r="C222" s="31"/>
      <c r="D222" s="32" t="str">
        <f>IF($A222="","",IF(COUNT($D$2:D221)=0,Settings!$J$5,MAX($D$2:D221)+1))</f>
        <v/>
      </c>
      <c r="E222" s="33"/>
      <c r="F222" s="34"/>
      <c r="G222" s="34"/>
      <c r="H222" s="34"/>
      <c r="I222" s="31"/>
      <c r="J222" s="31"/>
      <c r="K222" s="31"/>
      <c r="L222" s="37"/>
      <c r="M222" s="30" t="str">
        <f t="shared" si="1"/>
        <v/>
      </c>
      <c r="N222" s="38"/>
      <c r="O222" s="30" t="str">
        <f>IF($L222="","",$L222*IF($N222="",Settings!$J$11,$N222))</f>
        <v/>
      </c>
      <c r="P222" s="30" t="str">
        <f t="shared" si="15"/>
        <v/>
      </c>
      <c r="Q222" s="31"/>
      <c r="R222" s="37"/>
      <c r="S222" s="30" t="str">
        <f>IF($L222="","",IF($Q222&lt;&gt;"Yes",0,IF($R222&lt;&gt;"",$R222,ROUND($L222*Settings!$J$4,2))))</f>
        <v/>
      </c>
      <c r="T222" s="40" t="str">
        <f t="shared" si="3"/>
        <v/>
      </c>
      <c r="U222" s="30" t="str">
        <f t="shared" si="4"/>
        <v/>
      </c>
      <c r="V222" s="37"/>
      <c r="W222" s="31"/>
      <c r="X222" s="34"/>
      <c r="Y222" s="37"/>
      <c r="Z222" s="31"/>
      <c r="AA222" s="34"/>
      <c r="AB222" s="37"/>
      <c r="AC222" s="31"/>
      <c r="AD222" s="34"/>
      <c r="AE222" s="30" t="str">
        <f t="shared" si="5"/>
        <v/>
      </c>
      <c r="AF222" s="41" t="str">
        <f t="shared" si="6"/>
        <v/>
      </c>
      <c r="AG222" s="40" t="str">
        <f t="shared" si="13"/>
        <v/>
      </c>
      <c r="AH222" s="32" t="str">
        <f>IF(OR($L222="",$H222="",$AG222&lt;=0),"",MAX(0,TODAY()-($H222+Settings!$J$6)))</f>
        <v/>
      </c>
      <c r="AI222" s="37"/>
      <c r="AJ222" s="33"/>
      <c r="AK222" s="31"/>
      <c r="AL222" s="31"/>
      <c r="AM222" s="31"/>
      <c r="AN222" s="34"/>
      <c r="AO222" s="44">
        <f t="shared" si="14"/>
        <v>0</v>
      </c>
      <c r="AP222" s="48" t="str">
        <f t="shared" si="9"/>
        <v/>
      </c>
      <c r="AQ222" s="33"/>
      <c r="AR222" s="49" t="str">
        <f t="shared" si="10"/>
        <v/>
      </c>
      <c r="AS222" s="49" t="str">
        <f t="shared" si="11"/>
        <v/>
      </c>
      <c r="AT222" s="32" t="str">
        <f t="shared" si="12"/>
        <v/>
      </c>
    </row>
    <row r="223" ht="18.0" customHeight="1">
      <c r="A223" s="31"/>
      <c r="B223" s="31"/>
      <c r="C223" s="31"/>
      <c r="D223" s="32" t="str">
        <f>IF($A223="","",IF(COUNT($D$2:D222)=0,Settings!$J$5,MAX($D$2:D222)+1))</f>
        <v/>
      </c>
      <c r="E223" s="33"/>
      <c r="F223" s="34"/>
      <c r="G223" s="34"/>
      <c r="H223" s="34"/>
      <c r="I223" s="31"/>
      <c r="J223" s="31"/>
      <c r="K223" s="31"/>
      <c r="L223" s="37"/>
      <c r="M223" s="30" t="str">
        <f t="shared" si="1"/>
        <v/>
      </c>
      <c r="N223" s="38"/>
      <c r="O223" s="30" t="str">
        <f>IF($L223="","",$L223*IF($N223="",Settings!$J$11,$N223))</f>
        <v/>
      </c>
      <c r="P223" s="30" t="str">
        <f t="shared" si="15"/>
        <v/>
      </c>
      <c r="Q223" s="31"/>
      <c r="R223" s="37"/>
      <c r="S223" s="30" t="str">
        <f>IF($L223="","",IF($Q223&lt;&gt;"Yes",0,IF($R223&lt;&gt;"",$R223,ROUND($L223*Settings!$J$4,2))))</f>
        <v/>
      </c>
      <c r="T223" s="40" t="str">
        <f t="shared" si="3"/>
        <v/>
      </c>
      <c r="U223" s="30" t="str">
        <f t="shared" si="4"/>
        <v/>
      </c>
      <c r="V223" s="37"/>
      <c r="W223" s="31"/>
      <c r="X223" s="34"/>
      <c r="Y223" s="37"/>
      <c r="Z223" s="31"/>
      <c r="AA223" s="34"/>
      <c r="AB223" s="37"/>
      <c r="AC223" s="31"/>
      <c r="AD223" s="34"/>
      <c r="AE223" s="30" t="str">
        <f t="shared" si="5"/>
        <v/>
      </c>
      <c r="AF223" s="41" t="str">
        <f t="shared" si="6"/>
        <v/>
      </c>
      <c r="AG223" s="40" t="str">
        <f t="shared" si="13"/>
        <v/>
      </c>
      <c r="AH223" s="32" t="str">
        <f>IF(OR($L223="",$H223="",$AG223&lt;=0),"",MAX(0,TODAY()-($H223+Settings!$J$6)))</f>
        <v/>
      </c>
      <c r="AI223" s="37"/>
      <c r="AJ223" s="33"/>
      <c r="AK223" s="31"/>
      <c r="AL223" s="31"/>
      <c r="AM223" s="31"/>
      <c r="AN223" s="34"/>
      <c r="AO223" s="44">
        <f t="shared" si="14"/>
        <v>0</v>
      </c>
      <c r="AP223" s="48" t="str">
        <f t="shared" si="9"/>
        <v/>
      </c>
      <c r="AQ223" s="33"/>
      <c r="AR223" s="49" t="str">
        <f t="shared" si="10"/>
        <v/>
      </c>
      <c r="AS223" s="49" t="str">
        <f t="shared" si="11"/>
        <v/>
      </c>
      <c r="AT223" s="32" t="str">
        <f t="shared" si="12"/>
        <v/>
      </c>
    </row>
    <row r="224" ht="18.0" customHeight="1">
      <c r="A224" s="31"/>
      <c r="B224" s="31"/>
      <c r="C224" s="31"/>
      <c r="D224" s="32" t="str">
        <f>IF($A224="","",IF(COUNT($D$2:D223)=0,Settings!$J$5,MAX($D$2:D223)+1))</f>
        <v/>
      </c>
      <c r="E224" s="33"/>
      <c r="F224" s="34"/>
      <c r="G224" s="34"/>
      <c r="H224" s="34"/>
      <c r="I224" s="31"/>
      <c r="J224" s="31"/>
      <c r="K224" s="31"/>
      <c r="L224" s="37"/>
      <c r="M224" s="30" t="str">
        <f t="shared" si="1"/>
        <v/>
      </c>
      <c r="N224" s="38"/>
      <c r="O224" s="30" t="str">
        <f>IF($L224="","",$L224*IF($N224="",Settings!$J$11,$N224))</f>
        <v/>
      </c>
      <c r="P224" s="30" t="str">
        <f t="shared" si="15"/>
        <v/>
      </c>
      <c r="Q224" s="31"/>
      <c r="R224" s="37"/>
      <c r="S224" s="30" t="str">
        <f>IF($L224="","",IF($Q224&lt;&gt;"Yes",0,IF($R224&lt;&gt;"",$R224,ROUND($L224*Settings!$J$4,2))))</f>
        <v/>
      </c>
      <c r="T224" s="40" t="str">
        <f t="shared" si="3"/>
        <v/>
      </c>
      <c r="U224" s="30" t="str">
        <f t="shared" si="4"/>
        <v/>
      </c>
      <c r="V224" s="37"/>
      <c r="W224" s="31"/>
      <c r="X224" s="34"/>
      <c r="Y224" s="37"/>
      <c r="Z224" s="31"/>
      <c r="AA224" s="34"/>
      <c r="AB224" s="37"/>
      <c r="AC224" s="31"/>
      <c r="AD224" s="34"/>
      <c r="AE224" s="30" t="str">
        <f t="shared" si="5"/>
        <v/>
      </c>
      <c r="AF224" s="41" t="str">
        <f t="shared" si="6"/>
        <v/>
      </c>
      <c r="AG224" s="40" t="str">
        <f t="shared" si="13"/>
        <v/>
      </c>
      <c r="AH224" s="32" t="str">
        <f>IF(OR($L224="",$H224="",$AG224&lt;=0),"",MAX(0,TODAY()-($H224+Settings!$J$6)))</f>
        <v/>
      </c>
      <c r="AI224" s="37"/>
      <c r="AJ224" s="33"/>
      <c r="AK224" s="31"/>
      <c r="AL224" s="31"/>
      <c r="AM224" s="31"/>
      <c r="AN224" s="34"/>
      <c r="AO224" s="44">
        <f t="shared" si="14"/>
        <v>0</v>
      </c>
      <c r="AP224" s="48" t="str">
        <f t="shared" si="9"/>
        <v/>
      </c>
      <c r="AQ224" s="33"/>
      <c r="AR224" s="49" t="str">
        <f t="shared" si="10"/>
        <v/>
      </c>
      <c r="AS224" s="49" t="str">
        <f t="shared" si="11"/>
        <v/>
      </c>
      <c r="AT224" s="32" t="str">
        <f t="shared" si="12"/>
        <v/>
      </c>
    </row>
    <row r="225" ht="18.0" customHeight="1">
      <c r="A225" s="31"/>
      <c r="B225" s="31"/>
      <c r="C225" s="31"/>
      <c r="D225" s="32" t="str">
        <f>IF($A225="","",IF(COUNT($D$2:D224)=0,Settings!$J$5,MAX($D$2:D224)+1))</f>
        <v/>
      </c>
      <c r="E225" s="33"/>
      <c r="F225" s="34"/>
      <c r="G225" s="34"/>
      <c r="H225" s="34"/>
      <c r="I225" s="31"/>
      <c r="J225" s="31"/>
      <c r="K225" s="31"/>
      <c r="L225" s="37"/>
      <c r="M225" s="30" t="str">
        <f t="shared" si="1"/>
        <v/>
      </c>
      <c r="N225" s="38"/>
      <c r="O225" s="30" t="str">
        <f>IF($L225="","",$L225*IF($N225="",Settings!$J$11,$N225))</f>
        <v/>
      </c>
      <c r="P225" s="30" t="str">
        <f t="shared" si="15"/>
        <v/>
      </c>
      <c r="Q225" s="31"/>
      <c r="R225" s="37"/>
      <c r="S225" s="30" t="str">
        <f>IF($L225="","",IF($Q225&lt;&gt;"Yes",0,IF($R225&lt;&gt;"",$R225,ROUND($L225*Settings!$J$4,2))))</f>
        <v/>
      </c>
      <c r="T225" s="40" t="str">
        <f t="shared" si="3"/>
        <v/>
      </c>
      <c r="U225" s="30" t="str">
        <f t="shared" si="4"/>
        <v/>
      </c>
      <c r="V225" s="37"/>
      <c r="W225" s="31"/>
      <c r="X225" s="34"/>
      <c r="Y225" s="37"/>
      <c r="Z225" s="31"/>
      <c r="AA225" s="34"/>
      <c r="AB225" s="37"/>
      <c r="AC225" s="31"/>
      <c r="AD225" s="34"/>
      <c r="AE225" s="30" t="str">
        <f t="shared" si="5"/>
        <v/>
      </c>
      <c r="AF225" s="41" t="str">
        <f t="shared" si="6"/>
        <v/>
      </c>
      <c r="AG225" s="40" t="str">
        <f t="shared" si="13"/>
        <v/>
      </c>
      <c r="AH225" s="32" t="str">
        <f>IF(OR($L225="",$H225="",$AG225&lt;=0),"",MAX(0,TODAY()-($H225+Settings!$J$6)))</f>
        <v/>
      </c>
      <c r="AI225" s="37"/>
      <c r="AJ225" s="33"/>
      <c r="AK225" s="31"/>
      <c r="AL225" s="31"/>
      <c r="AM225" s="31"/>
      <c r="AN225" s="34"/>
      <c r="AO225" s="44">
        <f t="shared" si="14"/>
        <v>0</v>
      </c>
      <c r="AP225" s="48" t="str">
        <f t="shared" si="9"/>
        <v/>
      </c>
      <c r="AQ225" s="33"/>
      <c r="AR225" s="49" t="str">
        <f t="shared" si="10"/>
        <v/>
      </c>
      <c r="AS225" s="49" t="str">
        <f t="shared" si="11"/>
        <v/>
      </c>
      <c r="AT225" s="32" t="str">
        <f t="shared" si="12"/>
        <v/>
      </c>
    </row>
    <row r="226" ht="18.0" customHeight="1">
      <c r="A226" s="31"/>
      <c r="B226" s="31"/>
      <c r="C226" s="31"/>
      <c r="D226" s="32" t="str">
        <f>IF($A226="","",IF(COUNT($D$2:D225)=0,Settings!$J$5,MAX($D$2:D225)+1))</f>
        <v/>
      </c>
      <c r="E226" s="33"/>
      <c r="F226" s="34"/>
      <c r="G226" s="34"/>
      <c r="H226" s="34"/>
      <c r="I226" s="31"/>
      <c r="J226" s="31"/>
      <c r="K226" s="31"/>
      <c r="L226" s="37"/>
      <c r="M226" s="30" t="str">
        <f t="shared" si="1"/>
        <v/>
      </c>
      <c r="N226" s="38"/>
      <c r="O226" s="30" t="str">
        <f>IF($L226="","",$L226*IF($N226="",Settings!$J$11,$N226))</f>
        <v/>
      </c>
      <c r="P226" s="30" t="str">
        <f t="shared" si="15"/>
        <v/>
      </c>
      <c r="Q226" s="31"/>
      <c r="R226" s="37"/>
      <c r="S226" s="30" t="str">
        <f>IF($L226="","",IF($Q226&lt;&gt;"Yes",0,IF($R226&lt;&gt;"",$R226,ROUND($L226*Settings!$J$4,2))))</f>
        <v/>
      </c>
      <c r="T226" s="40" t="str">
        <f t="shared" si="3"/>
        <v/>
      </c>
      <c r="U226" s="30" t="str">
        <f t="shared" si="4"/>
        <v/>
      </c>
      <c r="V226" s="37"/>
      <c r="W226" s="31"/>
      <c r="X226" s="34"/>
      <c r="Y226" s="37"/>
      <c r="Z226" s="31"/>
      <c r="AA226" s="34"/>
      <c r="AB226" s="37"/>
      <c r="AC226" s="31"/>
      <c r="AD226" s="34"/>
      <c r="AE226" s="30" t="str">
        <f t="shared" si="5"/>
        <v/>
      </c>
      <c r="AF226" s="41" t="str">
        <f t="shared" si="6"/>
        <v/>
      </c>
      <c r="AG226" s="40" t="str">
        <f t="shared" si="13"/>
        <v/>
      </c>
      <c r="AH226" s="32" t="str">
        <f>IF(OR($L226="",$H226="",$AG226&lt;=0),"",MAX(0,TODAY()-($H226+Settings!$J$6)))</f>
        <v/>
      </c>
      <c r="AI226" s="37"/>
      <c r="AJ226" s="33"/>
      <c r="AK226" s="31"/>
      <c r="AL226" s="31"/>
      <c r="AM226" s="31"/>
      <c r="AN226" s="34"/>
      <c r="AO226" s="44">
        <f t="shared" si="14"/>
        <v>0</v>
      </c>
      <c r="AP226" s="48" t="str">
        <f t="shared" si="9"/>
        <v/>
      </c>
      <c r="AQ226" s="33"/>
      <c r="AR226" s="49" t="str">
        <f t="shared" si="10"/>
        <v/>
      </c>
      <c r="AS226" s="49" t="str">
        <f t="shared" si="11"/>
        <v/>
      </c>
      <c r="AT226" s="32" t="str">
        <f t="shared" si="12"/>
        <v/>
      </c>
    </row>
    <row r="227" ht="18.0" customHeight="1">
      <c r="A227" s="31"/>
      <c r="B227" s="31"/>
      <c r="C227" s="31"/>
      <c r="D227" s="32" t="str">
        <f>IF($A227="","",IF(COUNT($D$2:D226)=0,Settings!$J$5,MAX($D$2:D226)+1))</f>
        <v/>
      </c>
      <c r="E227" s="33"/>
      <c r="F227" s="34"/>
      <c r="G227" s="34"/>
      <c r="H227" s="34"/>
      <c r="I227" s="31"/>
      <c r="J227" s="31"/>
      <c r="K227" s="31"/>
      <c r="L227" s="37"/>
      <c r="M227" s="30" t="str">
        <f t="shared" si="1"/>
        <v/>
      </c>
      <c r="N227" s="38"/>
      <c r="O227" s="30" t="str">
        <f>IF($L227="","",$L227*IF($N227="",Settings!$J$11,$N227))</f>
        <v/>
      </c>
      <c r="P227" s="30" t="str">
        <f t="shared" si="15"/>
        <v/>
      </c>
      <c r="Q227" s="31"/>
      <c r="R227" s="37"/>
      <c r="S227" s="30" t="str">
        <f>IF($L227="","",IF($Q227&lt;&gt;"Yes",0,IF($R227&lt;&gt;"",$R227,ROUND($L227*Settings!$J$4,2))))</f>
        <v/>
      </c>
      <c r="T227" s="40" t="str">
        <f t="shared" si="3"/>
        <v/>
      </c>
      <c r="U227" s="30" t="str">
        <f t="shared" si="4"/>
        <v/>
      </c>
      <c r="V227" s="37"/>
      <c r="W227" s="31"/>
      <c r="X227" s="34"/>
      <c r="Y227" s="37"/>
      <c r="Z227" s="31"/>
      <c r="AA227" s="34"/>
      <c r="AB227" s="37"/>
      <c r="AC227" s="31"/>
      <c r="AD227" s="34"/>
      <c r="AE227" s="30" t="str">
        <f t="shared" si="5"/>
        <v/>
      </c>
      <c r="AF227" s="41" t="str">
        <f t="shared" si="6"/>
        <v/>
      </c>
      <c r="AG227" s="40" t="str">
        <f t="shared" si="13"/>
        <v/>
      </c>
      <c r="AH227" s="32" t="str">
        <f>IF(OR($L227="",$H227="",$AG227&lt;=0),"",MAX(0,TODAY()-($H227+Settings!$J$6)))</f>
        <v/>
      </c>
      <c r="AI227" s="37"/>
      <c r="AJ227" s="33"/>
      <c r="AK227" s="31"/>
      <c r="AL227" s="31"/>
      <c r="AM227" s="31"/>
      <c r="AN227" s="34"/>
      <c r="AO227" s="44">
        <f t="shared" si="14"/>
        <v>0</v>
      </c>
      <c r="AP227" s="48" t="str">
        <f t="shared" si="9"/>
        <v/>
      </c>
      <c r="AQ227" s="33"/>
      <c r="AR227" s="49" t="str">
        <f t="shared" si="10"/>
        <v/>
      </c>
      <c r="AS227" s="49" t="str">
        <f t="shared" si="11"/>
        <v/>
      </c>
      <c r="AT227" s="32" t="str">
        <f t="shared" si="12"/>
        <v/>
      </c>
    </row>
    <row r="228" ht="18.0" customHeight="1">
      <c r="A228" s="31"/>
      <c r="B228" s="31"/>
      <c r="C228" s="31"/>
      <c r="D228" s="32" t="str">
        <f>IF($A228="","",IF(COUNT($D$2:D227)=0,Settings!$J$5,MAX($D$2:D227)+1))</f>
        <v/>
      </c>
      <c r="E228" s="33"/>
      <c r="F228" s="34"/>
      <c r="G228" s="34"/>
      <c r="H228" s="34"/>
      <c r="I228" s="31"/>
      <c r="J228" s="31"/>
      <c r="K228" s="31"/>
      <c r="L228" s="37"/>
      <c r="M228" s="30" t="str">
        <f t="shared" si="1"/>
        <v/>
      </c>
      <c r="N228" s="38"/>
      <c r="O228" s="30" t="str">
        <f>IF($L228="","",$L228*IF($N228="",Settings!$J$11,$N228))</f>
        <v/>
      </c>
      <c r="P228" s="30" t="str">
        <f t="shared" si="15"/>
        <v/>
      </c>
      <c r="Q228" s="31"/>
      <c r="R228" s="37"/>
      <c r="S228" s="30" t="str">
        <f>IF($L228="","",IF($Q228&lt;&gt;"Yes",0,IF($R228&lt;&gt;"",$R228,ROUND($L228*Settings!$J$4,2))))</f>
        <v/>
      </c>
      <c r="T228" s="40" t="str">
        <f t="shared" si="3"/>
        <v/>
      </c>
      <c r="U228" s="30" t="str">
        <f t="shared" si="4"/>
        <v/>
      </c>
      <c r="V228" s="37"/>
      <c r="W228" s="31"/>
      <c r="X228" s="34"/>
      <c r="Y228" s="37"/>
      <c r="Z228" s="31"/>
      <c r="AA228" s="34"/>
      <c r="AB228" s="37"/>
      <c r="AC228" s="31"/>
      <c r="AD228" s="34"/>
      <c r="AE228" s="30" t="str">
        <f t="shared" si="5"/>
        <v/>
      </c>
      <c r="AF228" s="41" t="str">
        <f t="shared" si="6"/>
        <v/>
      </c>
      <c r="AG228" s="40" t="str">
        <f t="shared" si="13"/>
        <v/>
      </c>
      <c r="AH228" s="32" t="str">
        <f>IF(OR($L228="",$H228="",$AG228&lt;=0),"",MAX(0,TODAY()-($H228+Settings!$J$6)))</f>
        <v/>
      </c>
      <c r="AI228" s="37"/>
      <c r="AJ228" s="33"/>
      <c r="AK228" s="31"/>
      <c r="AL228" s="31"/>
      <c r="AM228" s="31"/>
      <c r="AN228" s="34"/>
      <c r="AO228" s="44">
        <f t="shared" si="14"/>
        <v>0</v>
      </c>
      <c r="AP228" s="48" t="str">
        <f t="shared" si="9"/>
        <v/>
      </c>
      <c r="AQ228" s="33"/>
      <c r="AR228" s="49" t="str">
        <f t="shared" si="10"/>
        <v/>
      </c>
      <c r="AS228" s="49" t="str">
        <f t="shared" si="11"/>
        <v/>
      </c>
      <c r="AT228" s="32" t="str">
        <f t="shared" si="12"/>
        <v/>
      </c>
    </row>
    <row r="229" ht="18.0" customHeight="1">
      <c r="A229" s="31"/>
      <c r="B229" s="31"/>
      <c r="C229" s="31"/>
      <c r="D229" s="32" t="str">
        <f>IF($A229="","",IF(COUNT($D$2:D228)=0,Settings!$J$5,MAX($D$2:D228)+1))</f>
        <v/>
      </c>
      <c r="E229" s="33"/>
      <c r="F229" s="34"/>
      <c r="G229" s="34"/>
      <c r="H229" s="34"/>
      <c r="I229" s="31"/>
      <c r="J229" s="31"/>
      <c r="K229" s="31"/>
      <c r="L229" s="37"/>
      <c r="M229" s="30" t="str">
        <f t="shared" si="1"/>
        <v/>
      </c>
      <c r="N229" s="38"/>
      <c r="O229" s="30" t="str">
        <f>IF($L229="","",$L229*IF($N229="",Settings!$J$11,$N229))</f>
        <v/>
      </c>
      <c r="P229" s="30" t="str">
        <f t="shared" si="15"/>
        <v/>
      </c>
      <c r="Q229" s="31"/>
      <c r="R229" s="37"/>
      <c r="S229" s="30" t="str">
        <f>IF($L229="","",IF($Q229&lt;&gt;"Yes",0,IF($R229&lt;&gt;"",$R229,ROUND($L229*Settings!$J$4,2))))</f>
        <v/>
      </c>
      <c r="T229" s="40" t="str">
        <f t="shared" si="3"/>
        <v/>
      </c>
      <c r="U229" s="30" t="str">
        <f t="shared" si="4"/>
        <v/>
      </c>
      <c r="V229" s="37"/>
      <c r="W229" s="31"/>
      <c r="X229" s="34"/>
      <c r="Y229" s="37"/>
      <c r="Z229" s="31"/>
      <c r="AA229" s="34"/>
      <c r="AB229" s="37"/>
      <c r="AC229" s="31"/>
      <c r="AD229" s="34"/>
      <c r="AE229" s="30" t="str">
        <f t="shared" si="5"/>
        <v/>
      </c>
      <c r="AF229" s="41" t="str">
        <f t="shared" si="6"/>
        <v/>
      </c>
      <c r="AG229" s="40" t="str">
        <f t="shared" si="13"/>
        <v/>
      </c>
      <c r="AH229" s="32" t="str">
        <f>IF(OR($L229="",$H229="",$AG229&lt;=0),"",MAX(0,TODAY()-($H229+Settings!$J$6)))</f>
        <v/>
      </c>
      <c r="AI229" s="37"/>
      <c r="AJ229" s="33"/>
      <c r="AK229" s="31"/>
      <c r="AL229" s="31"/>
      <c r="AM229" s="31"/>
      <c r="AN229" s="34"/>
      <c r="AO229" s="44">
        <f t="shared" si="14"/>
        <v>0</v>
      </c>
      <c r="AP229" s="48" t="str">
        <f t="shared" si="9"/>
        <v/>
      </c>
      <c r="AQ229" s="33"/>
      <c r="AR229" s="49" t="str">
        <f t="shared" si="10"/>
        <v/>
      </c>
      <c r="AS229" s="49" t="str">
        <f t="shared" si="11"/>
        <v/>
      </c>
      <c r="AT229" s="32" t="str">
        <f t="shared" si="12"/>
        <v/>
      </c>
    </row>
    <row r="230" ht="18.0" customHeight="1">
      <c r="A230" s="31"/>
      <c r="B230" s="31"/>
      <c r="C230" s="31"/>
      <c r="D230" s="32" t="str">
        <f>IF($A230="","",IF(COUNT($D$2:D229)=0,Settings!$J$5,MAX($D$2:D229)+1))</f>
        <v/>
      </c>
      <c r="E230" s="33"/>
      <c r="F230" s="34"/>
      <c r="G230" s="34"/>
      <c r="H230" s="34"/>
      <c r="I230" s="31"/>
      <c r="J230" s="31"/>
      <c r="K230" s="31"/>
      <c r="L230" s="37"/>
      <c r="M230" s="30" t="str">
        <f t="shared" si="1"/>
        <v/>
      </c>
      <c r="N230" s="38"/>
      <c r="O230" s="30" t="str">
        <f>IF($L230="","",$L230*IF($N230="",Settings!$J$11,$N230))</f>
        <v/>
      </c>
      <c r="P230" s="30" t="str">
        <f t="shared" si="15"/>
        <v/>
      </c>
      <c r="Q230" s="31"/>
      <c r="R230" s="37"/>
      <c r="S230" s="30" t="str">
        <f>IF($L230="","",IF($Q230&lt;&gt;"Yes",0,IF($R230&lt;&gt;"",$R230,ROUND($L230*Settings!$J$4,2))))</f>
        <v/>
      </c>
      <c r="T230" s="40" t="str">
        <f t="shared" si="3"/>
        <v/>
      </c>
      <c r="U230" s="30" t="str">
        <f t="shared" si="4"/>
        <v/>
      </c>
      <c r="V230" s="37"/>
      <c r="W230" s="31"/>
      <c r="X230" s="34"/>
      <c r="Y230" s="37"/>
      <c r="Z230" s="31"/>
      <c r="AA230" s="34"/>
      <c r="AB230" s="37"/>
      <c r="AC230" s="31"/>
      <c r="AD230" s="34"/>
      <c r="AE230" s="30" t="str">
        <f t="shared" si="5"/>
        <v/>
      </c>
      <c r="AF230" s="41" t="str">
        <f t="shared" si="6"/>
        <v/>
      </c>
      <c r="AG230" s="40" t="str">
        <f t="shared" si="13"/>
        <v/>
      </c>
      <c r="AH230" s="32" t="str">
        <f>IF(OR($L230="",$H230="",$AG230&lt;=0),"",MAX(0,TODAY()-($H230+Settings!$J$6)))</f>
        <v/>
      </c>
      <c r="AI230" s="37"/>
      <c r="AJ230" s="33"/>
      <c r="AK230" s="31"/>
      <c r="AL230" s="31"/>
      <c r="AM230" s="31"/>
      <c r="AN230" s="34"/>
      <c r="AO230" s="44">
        <f t="shared" si="14"/>
        <v>0</v>
      </c>
      <c r="AP230" s="48" t="str">
        <f t="shared" si="9"/>
        <v/>
      </c>
      <c r="AQ230" s="33"/>
      <c r="AR230" s="49" t="str">
        <f t="shared" si="10"/>
        <v/>
      </c>
      <c r="AS230" s="49" t="str">
        <f t="shared" si="11"/>
        <v/>
      </c>
      <c r="AT230" s="32" t="str">
        <f t="shared" si="12"/>
        <v/>
      </c>
    </row>
    <row r="231" ht="18.0" customHeight="1">
      <c r="A231" s="31"/>
      <c r="B231" s="31"/>
      <c r="C231" s="31"/>
      <c r="D231" s="32" t="str">
        <f>IF($A231="","",IF(COUNT($D$2:D230)=0,Settings!$J$5,MAX($D$2:D230)+1))</f>
        <v/>
      </c>
      <c r="E231" s="33"/>
      <c r="F231" s="34"/>
      <c r="G231" s="34"/>
      <c r="H231" s="34"/>
      <c r="I231" s="31"/>
      <c r="J231" s="31"/>
      <c r="K231" s="31"/>
      <c r="L231" s="37"/>
      <c r="M231" s="30" t="str">
        <f t="shared" si="1"/>
        <v/>
      </c>
      <c r="N231" s="38"/>
      <c r="O231" s="30" t="str">
        <f>IF($L231="","",$L231*IF($N231="",Settings!$J$11,$N231))</f>
        <v/>
      </c>
      <c r="P231" s="30" t="str">
        <f t="shared" si="15"/>
        <v/>
      </c>
      <c r="Q231" s="31"/>
      <c r="R231" s="37"/>
      <c r="S231" s="30" t="str">
        <f>IF($L231="","",IF($Q231&lt;&gt;"Yes",0,IF($R231&lt;&gt;"",$R231,ROUND($L231*Settings!$J$4,2))))</f>
        <v/>
      </c>
      <c r="T231" s="40" t="str">
        <f t="shared" si="3"/>
        <v/>
      </c>
      <c r="U231" s="30" t="str">
        <f t="shared" si="4"/>
        <v/>
      </c>
      <c r="V231" s="37"/>
      <c r="W231" s="31"/>
      <c r="X231" s="34"/>
      <c r="Y231" s="37"/>
      <c r="Z231" s="31"/>
      <c r="AA231" s="34"/>
      <c r="AB231" s="37"/>
      <c r="AC231" s="31"/>
      <c r="AD231" s="34"/>
      <c r="AE231" s="30" t="str">
        <f t="shared" si="5"/>
        <v/>
      </c>
      <c r="AF231" s="41" t="str">
        <f t="shared" si="6"/>
        <v/>
      </c>
      <c r="AG231" s="40" t="str">
        <f t="shared" si="13"/>
        <v/>
      </c>
      <c r="AH231" s="32" t="str">
        <f>IF(OR($L231="",$H231="",$AG231&lt;=0),"",MAX(0,TODAY()-($H231+Settings!$J$6)))</f>
        <v/>
      </c>
      <c r="AI231" s="37"/>
      <c r="AJ231" s="33"/>
      <c r="AK231" s="31"/>
      <c r="AL231" s="31"/>
      <c r="AM231" s="31"/>
      <c r="AN231" s="34"/>
      <c r="AO231" s="44">
        <f t="shared" si="14"/>
        <v>0</v>
      </c>
      <c r="AP231" s="48" t="str">
        <f t="shared" si="9"/>
        <v/>
      </c>
      <c r="AQ231" s="33"/>
      <c r="AR231" s="49" t="str">
        <f t="shared" si="10"/>
        <v/>
      </c>
      <c r="AS231" s="49" t="str">
        <f t="shared" si="11"/>
        <v/>
      </c>
      <c r="AT231" s="32" t="str">
        <f t="shared" si="12"/>
        <v/>
      </c>
    </row>
    <row r="232" ht="18.0" customHeight="1">
      <c r="A232" s="31"/>
      <c r="B232" s="31"/>
      <c r="C232" s="31"/>
      <c r="D232" s="32" t="str">
        <f>IF($A232="","",IF(COUNT($D$2:D231)=0,Settings!$J$5,MAX($D$2:D231)+1))</f>
        <v/>
      </c>
      <c r="E232" s="33"/>
      <c r="F232" s="34"/>
      <c r="G232" s="34"/>
      <c r="H232" s="34"/>
      <c r="I232" s="31"/>
      <c r="J232" s="31"/>
      <c r="K232" s="31"/>
      <c r="L232" s="37"/>
      <c r="M232" s="30" t="str">
        <f t="shared" si="1"/>
        <v/>
      </c>
      <c r="N232" s="38"/>
      <c r="O232" s="30" t="str">
        <f>IF($L232="","",$L232*IF($N232="",Settings!$J$11,$N232))</f>
        <v/>
      </c>
      <c r="P232" s="30" t="str">
        <f t="shared" si="15"/>
        <v/>
      </c>
      <c r="Q232" s="31"/>
      <c r="R232" s="37"/>
      <c r="S232" s="30" t="str">
        <f>IF($L232="","",IF($Q232&lt;&gt;"Yes",0,IF($R232&lt;&gt;"",$R232,ROUND($L232*Settings!$J$4,2))))</f>
        <v/>
      </c>
      <c r="T232" s="40" t="str">
        <f t="shared" si="3"/>
        <v/>
      </c>
      <c r="U232" s="30" t="str">
        <f t="shared" si="4"/>
        <v/>
      </c>
      <c r="V232" s="37"/>
      <c r="W232" s="31"/>
      <c r="X232" s="34"/>
      <c r="Y232" s="37"/>
      <c r="Z232" s="31"/>
      <c r="AA232" s="34"/>
      <c r="AB232" s="37"/>
      <c r="AC232" s="31"/>
      <c r="AD232" s="34"/>
      <c r="AE232" s="30" t="str">
        <f t="shared" si="5"/>
        <v/>
      </c>
      <c r="AF232" s="41" t="str">
        <f t="shared" si="6"/>
        <v/>
      </c>
      <c r="AG232" s="40" t="str">
        <f t="shared" si="13"/>
        <v/>
      </c>
      <c r="AH232" s="32" t="str">
        <f>IF(OR($L232="",$H232="",$AG232&lt;=0),"",MAX(0,TODAY()-($H232+Settings!$J$6)))</f>
        <v/>
      </c>
      <c r="AI232" s="37"/>
      <c r="AJ232" s="33"/>
      <c r="AK232" s="31"/>
      <c r="AL232" s="31"/>
      <c r="AM232" s="31"/>
      <c r="AN232" s="34"/>
      <c r="AO232" s="44">
        <f t="shared" si="14"/>
        <v>0</v>
      </c>
      <c r="AP232" s="48" t="str">
        <f t="shared" si="9"/>
        <v/>
      </c>
      <c r="AQ232" s="33"/>
      <c r="AR232" s="49" t="str">
        <f t="shared" si="10"/>
        <v/>
      </c>
      <c r="AS232" s="49" t="str">
        <f t="shared" si="11"/>
        <v/>
      </c>
      <c r="AT232" s="32" t="str">
        <f t="shared" si="12"/>
        <v/>
      </c>
    </row>
    <row r="233" ht="18.0" customHeight="1">
      <c r="A233" s="31"/>
      <c r="B233" s="31"/>
      <c r="C233" s="31"/>
      <c r="D233" s="32" t="str">
        <f>IF($A233="","",IF(COUNT($D$2:D232)=0,Settings!$J$5,MAX($D$2:D232)+1))</f>
        <v/>
      </c>
      <c r="E233" s="33"/>
      <c r="F233" s="34"/>
      <c r="G233" s="34"/>
      <c r="H233" s="34"/>
      <c r="I233" s="31"/>
      <c r="J233" s="31"/>
      <c r="K233" s="31"/>
      <c r="L233" s="37"/>
      <c r="M233" s="30" t="str">
        <f t="shared" si="1"/>
        <v/>
      </c>
      <c r="N233" s="38"/>
      <c r="O233" s="30" t="str">
        <f>IF($L233="","",$L233*IF($N233="",Settings!$J$11,$N233))</f>
        <v/>
      </c>
      <c r="P233" s="30" t="str">
        <f t="shared" si="15"/>
        <v/>
      </c>
      <c r="Q233" s="31"/>
      <c r="R233" s="37"/>
      <c r="S233" s="30" t="str">
        <f>IF($L233="","",IF($Q233&lt;&gt;"Yes",0,IF($R233&lt;&gt;"",$R233,ROUND($L233*Settings!$J$4,2))))</f>
        <v/>
      </c>
      <c r="T233" s="40" t="str">
        <f t="shared" si="3"/>
        <v/>
      </c>
      <c r="U233" s="30" t="str">
        <f t="shared" si="4"/>
        <v/>
      </c>
      <c r="V233" s="37"/>
      <c r="W233" s="31"/>
      <c r="X233" s="34"/>
      <c r="Y233" s="37"/>
      <c r="Z233" s="31"/>
      <c r="AA233" s="34"/>
      <c r="AB233" s="37"/>
      <c r="AC233" s="31"/>
      <c r="AD233" s="34"/>
      <c r="AE233" s="30" t="str">
        <f t="shared" si="5"/>
        <v/>
      </c>
      <c r="AF233" s="41" t="str">
        <f t="shared" si="6"/>
        <v/>
      </c>
      <c r="AG233" s="40" t="str">
        <f t="shared" si="13"/>
        <v/>
      </c>
      <c r="AH233" s="32" t="str">
        <f>IF(OR($L233="",$H233="",$AG233&lt;=0),"",MAX(0,TODAY()-($H233+Settings!$J$6)))</f>
        <v/>
      </c>
      <c r="AI233" s="37"/>
      <c r="AJ233" s="33"/>
      <c r="AK233" s="31"/>
      <c r="AL233" s="31"/>
      <c r="AM233" s="31"/>
      <c r="AN233" s="34"/>
      <c r="AO233" s="44">
        <f t="shared" si="14"/>
        <v>0</v>
      </c>
      <c r="AP233" s="48" t="str">
        <f t="shared" si="9"/>
        <v/>
      </c>
      <c r="AQ233" s="33"/>
      <c r="AR233" s="49" t="str">
        <f t="shared" si="10"/>
        <v/>
      </c>
      <c r="AS233" s="49" t="str">
        <f t="shared" si="11"/>
        <v/>
      </c>
      <c r="AT233" s="32" t="str">
        <f t="shared" si="12"/>
        <v/>
      </c>
    </row>
    <row r="234" ht="18.0" customHeight="1">
      <c r="A234" s="31"/>
      <c r="B234" s="31"/>
      <c r="C234" s="31"/>
      <c r="D234" s="32" t="str">
        <f>IF($A234="","",IF(COUNT($D$2:D233)=0,Settings!$J$5,MAX($D$2:D233)+1))</f>
        <v/>
      </c>
      <c r="E234" s="33"/>
      <c r="F234" s="34"/>
      <c r="G234" s="34"/>
      <c r="H234" s="34"/>
      <c r="I234" s="31"/>
      <c r="J234" s="31"/>
      <c r="K234" s="31"/>
      <c r="L234" s="37"/>
      <c r="M234" s="30" t="str">
        <f t="shared" si="1"/>
        <v/>
      </c>
      <c r="N234" s="38"/>
      <c r="O234" s="30" t="str">
        <f>IF($L234="","",$L234*IF($N234="",Settings!$J$11,$N234))</f>
        <v/>
      </c>
      <c r="P234" s="30" t="str">
        <f t="shared" si="15"/>
        <v/>
      </c>
      <c r="Q234" s="31"/>
      <c r="R234" s="37"/>
      <c r="S234" s="30" t="str">
        <f>IF($L234="","",IF($Q234&lt;&gt;"Yes",0,IF($R234&lt;&gt;"",$R234,ROUND($L234*Settings!$J$4,2))))</f>
        <v/>
      </c>
      <c r="T234" s="40" t="str">
        <f t="shared" si="3"/>
        <v/>
      </c>
      <c r="U234" s="30" t="str">
        <f t="shared" si="4"/>
        <v/>
      </c>
      <c r="V234" s="37"/>
      <c r="W234" s="31"/>
      <c r="X234" s="34"/>
      <c r="Y234" s="37"/>
      <c r="Z234" s="31"/>
      <c r="AA234" s="34"/>
      <c r="AB234" s="37"/>
      <c r="AC234" s="31"/>
      <c r="AD234" s="34"/>
      <c r="AE234" s="30" t="str">
        <f t="shared" si="5"/>
        <v/>
      </c>
      <c r="AF234" s="41" t="str">
        <f t="shared" si="6"/>
        <v/>
      </c>
      <c r="AG234" s="40" t="str">
        <f t="shared" si="13"/>
        <v/>
      </c>
      <c r="AH234" s="32" t="str">
        <f>IF(OR($L234="",$H234="",$AG234&lt;=0),"",MAX(0,TODAY()-($H234+Settings!$J$6)))</f>
        <v/>
      </c>
      <c r="AI234" s="37"/>
      <c r="AJ234" s="33"/>
      <c r="AK234" s="31"/>
      <c r="AL234" s="31"/>
      <c r="AM234" s="31"/>
      <c r="AN234" s="34"/>
      <c r="AO234" s="44">
        <f t="shared" si="14"/>
        <v>0</v>
      </c>
      <c r="AP234" s="48" t="str">
        <f t="shared" si="9"/>
        <v/>
      </c>
      <c r="AQ234" s="33"/>
      <c r="AR234" s="49" t="str">
        <f t="shared" si="10"/>
        <v/>
      </c>
      <c r="AS234" s="49" t="str">
        <f t="shared" si="11"/>
        <v/>
      </c>
      <c r="AT234" s="32" t="str">
        <f t="shared" si="12"/>
        <v/>
      </c>
    </row>
    <row r="235" ht="18.0" customHeight="1">
      <c r="A235" s="31"/>
      <c r="B235" s="31"/>
      <c r="C235" s="31"/>
      <c r="D235" s="32" t="str">
        <f>IF($A235="","",IF(COUNT($D$2:D234)=0,Settings!$J$5,MAX($D$2:D234)+1))</f>
        <v/>
      </c>
      <c r="E235" s="33"/>
      <c r="F235" s="34"/>
      <c r="G235" s="34"/>
      <c r="H235" s="34"/>
      <c r="I235" s="31"/>
      <c r="J235" s="31"/>
      <c r="K235" s="31"/>
      <c r="L235" s="37"/>
      <c r="M235" s="30" t="str">
        <f t="shared" si="1"/>
        <v/>
      </c>
      <c r="N235" s="38"/>
      <c r="O235" s="30" t="str">
        <f>IF($L235="","",$L235*IF($N235="",Settings!$J$11,$N235))</f>
        <v/>
      </c>
      <c r="P235" s="30" t="str">
        <f t="shared" si="15"/>
        <v/>
      </c>
      <c r="Q235" s="31"/>
      <c r="R235" s="37"/>
      <c r="S235" s="30" t="str">
        <f>IF($L235="","",IF($Q235&lt;&gt;"Yes",0,IF($R235&lt;&gt;"",$R235,ROUND($L235*Settings!$J$4,2))))</f>
        <v/>
      </c>
      <c r="T235" s="40" t="str">
        <f t="shared" si="3"/>
        <v/>
      </c>
      <c r="U235" s="30" t="str">
        <f t="shared" si="4"/>
        <v/>
      </c>
      <c r="V235" s="37"/>
      <c r="W235" s="31"/>
      <c r="X235" s="34"/>
      <c r="Y235" s="37"/>
      <c r="Z235" s="31"/>
      <c r="AA235" s="34"/>
      <c r="AB235" s="37"/>
      <c r="AC235" s="31"/>
      <c r="AD235" s="34"/>
      <c r="AE235" s="30" t="str">
        <f t="shared" si="5"/>
        <v/>
      </c>
      <c r="AF235" s="41" t="str">
        <f t="shared" si="6"/>
        <v/>
      </c>
      <c r="AG235" s="40" t="str">
        <f t="shared" si="13"/>
        <v/>
      </c>
      <c r="AH235" s="32" t="str">
        <f>IF(OR($L235="",$H235="",$AG235&lt;=0),"",MAX(0,TODAY()-($H235+Settings!$J$6)))</f>
        <v/>
      </c>
      <c r="AI235" s="37"/>
      <c r="AJ235" s="33"/>
      <c r="AK235" s="31"/>
      <c r="AL235" s="31"/>
      <c r="AM235" s="31"/>
      <c r="AN235" s="34"/>
      <c r="AO235" s="44">
        <f t="shared" si="14"/>
        <v>0</v>
      </c>
      <c r="AP235" s="48" t="str">
        <f t="shared" si="9"/>
        <v/>
      </c>
      <c r="AQ235" s="33"/>
      <c r="AR235" s="49" t="str">
        <f t="shared" si="10"/>
        <v/>
      </c>
      <c r="AS235" s="49" t="str">
        <f t="shared" si="11"/>
        <v/>
      </c>
      <c r="AT235" s="32" t="str">
        <f t="shared" si="12"/>
        <v/>
      </c>
    </row>
    <row r="236" ht="18.0" customHeight="1">
      <c r="A236" s="31"/>
      <c r="B236" s="31"/>
      <c r="C236" s="31"/>
      <c r="D236" s="32" t="str">
        <f>IF($A236="","",IF(COUNT($D$2:D235)=0,Settings!$J$5,MAX($D$2:D235)+1))</f>
        <v/>
      </c>
      <c r="E236" s="33"/>
      <c r="F236" s="34"/>
      <c r="G236" s="34"/>
      <c r="H236" s="34"/>
      <c r="I236" s="31"/>
      <c r="J236" s="31"/>
      <c r="K236" s="31"/>
      <c r="L236" s="37"/>
      <c r="M236" s="30" t="str">
        <f t="shared" si="1"/>
        <v/>
      </c>
      <c r="N236" s="38"/>
      <c r="O236" s="30" t="str">
        <f>IF($L236="","",$L236*IF($N236="",Settings!$J$11,$N236))</f>
        <v/>
      </c>
      <c r="P236" s="30" t="str">
        <f t="shared" si="15"/>
        <v/>
      </c>
      <c r="Q236" s="31"/>
      <c r="R236" s="37"/>
      <c r="S236" s="30" t="str">
        <f>IF($L236="","",IF($Q236&lt;&gt;"Yes",0,IF($R236&lt;&gt;"",$R236,ROUND($L236*Settings!$J$4,2))))</f>
        <v/>
      </c>
      <c r="T236" s="40" t="str">
        <f t="shared" si="3"/>
        <v/>
      </c>
      <c r="U236" s="30" t="str">
        <f t="shared" si="4"/>
        <v/>
      </c>
      <c r="V236" s="37"/>
      <c r="W236" s="31"/>
      <c r="X236" s="34"/>
      <c r="Y236" s="37"/>
      <c r="Z236" s="31"/>
      <c r="AA236" s="34"/>
      <c r="AB236" s="37"/>
      <c r="AC236" s="31"/>
      <c r="AD236" s="34"/>
      <c r="AE236" s="30" t="str">
        <f t="shared" si="5"/>
        <v/>
      </c>
      <c r="AF236" s="41" t="str">
        <f t="shared" si="6"/>
        <v/>
      </c>
      <c r="AG236" s="40" t="str">
        <f t="shared" si="13"/>
        <v/>
      </c>
      <c r="AH236" s="32" t="str">
        <f>IF(OR($L236="",$H236="",$AG236&lt;=0),"",MAX(0,TODAY()-($H236+Settings!$J$6)))</f>
        <v/>
      </c>
      <c r="AI236" s="37"/>
      <c r="AJ236" s="33"/>
      <c r="AK236" s="31"/>
      <c r="AL236" s="31"/>
      <c r="AM236" s="31"/>
      <c r="AN236" s="34"/>
      <c r="AO236" s="44">
        <f t="shared" si="14"/>
        <v>0</v>
      </c>
      <c r="AP236" s="48" t="str">
        <f t="shared" si="9"/>
        <v/>
      </c>
      <c r="AQ236" s="33"/>
      <c r="AR236" s="49" t="str">
        <f t="shared" si="10"/>
        <v/>
      </c>
      <c r="AS236" s="49" t="str">
        <f t="shared" si="11"/>
        <v/>
      </c>
      <c r="AT236" s="32" t="str">
        <f t="shared" si="12"/>
        <v/>
      </c>
    </row>
    <row r="237" ht="18.0" customHeight="1">
      <c r="A237" s="31"/>
      <c r="B237" s="31"/>
      <c r="C237" s="31"/>
      <c r="D237" s="32" t="str">
        <f>IF($A237="","",IF(COUNT($D$2:D236)=0,Settings!$J$5,MAX($D$2:D236)+1))</f>
        <v/>
      </c>
      <c r="E237" s="33"/>
      <c r="F237" s="34"/>
      <c r="G237" s="34"/>
      <c r="H237" s="34"/>
      <c r="I237" s="31"/>
      <c r="J237" s="31"/>
      <c r="K237" s="31"/>
      <c r="L237" s="37"/>
      <c r="M237" s="30" t="str">
        <f t="shared" si="1"/>
        <v/>
      </c>
      <c r="N237" s="38"/>
      <c r="O237" s="30" t="str">
        <f>IF($L237="","",$L237*IF($N237="",Settings!$J$11,$N237))</f>
        <v/>
      </c>
      <c r="P237" s="30" t="str">
        <f t="shared" si="15"/>
        <v/>
      </c>
      <c r="Q237" s="31"/>
      <c r="R237" s="37"/>
      <c r="S237" s="30" t="str">
        <f>IF($L237="","",IF($Q237&lt;&gt;"Yes",0,IF($R237&lt;&gt;"",$R237,ROUND($L237*Settings!$J$4,2))))</f>
        <v/>
      </c>
      <c r="T237" s="40" t="str">
        <f t="shared" si="3"/>
        <v/>
      </c>
      <c r="U237" s="30" t="str">
        <f t="shared" si="4"/>
        <v/>
      </c>
      <c r="V237" s="37"/>
      <c r="W237" s="31"/>
      <c r="X237" s="34"/>
      <c r="Y237" s="37"/>
      <c r="Z237" s="31"/>
      <c r="AA237" s="34"/>
      <c r="AB237" s="37"/>
      <c r="AC237" s="31"/>
      <c r="AD237" s="34"/>
      <c r="AE237" s="30" t="str">
        <f t="shared" si="5"/>
        <v/>
      </c>
      <c r="AF237" s="41" t="str">
        <f t="shared" si="6"/>
        <v/>
      </c>
      <c r="AG237" s="40" t="str">
        <f t="shared" si="13"/>
        <v/>
      </c>
      <c r="AH237" s="32" t="str">
        <f>IF(OR($L237="",$H237="",$AG237&lt;=0),"",MAX(0,TODAY()-($H237+Settings!$J$6)))</f>
        <v/>
      </c>
      <c r="AI237" s="37"/>
      <c r="AJ237" s="33"/>
      <c r="AK237" s="31"/>
      <c r="AL237" s="31"/>
      <c r="AM237" s="31"/>
      <c r="AN237" s="34"/>
      <c r="AO237" s="44">
        <f t="shared" si="14"/>
        <v>0</v>
      </c>
      <c r="AP237" s="48" t="str">
        <f t="shared" si="9"/>
        <v/>
      </c>
      <c r="AQ237" s="33"/>
      <c r="AR237" s="49" t="str">
        <f t="shared" si="10"/>
        <v/>
      </c>
      <c r="AS237" s="49" t="str">
        <f t="shared" si="11"/>
        <v/>
      </c>
      <c r="AT237" s="32" t="str">
        <f t="shared" si="12"/>
        <v/>
      </c>
    </row>
    <row r="238" ht="18.0" customHeight="1">
      <c r="A238" s="31"/>
      <c r="B238" s="31"/>
      <c r="C238" s="31"/>
      <c r="D238" s="32" t="str">
        <f>IF($A238="","",IF(COUNT($D$2:D237)=0,Settings!$J$5,MAX($D$2:D237)+1))</f>
        <v/>
      </c>
      <c r="E238" s="33"/>
      <c r="F238" s="34"/>
      <c r="G238" s="34"/>
      <c r="H238" s="34"/>
      <c r="I238" s="31"/>
      <c r="J238" s="31"/>
      <c r="K238" s="31"/>
      <c r="L238" s="37"/>
      <c r="M238" s="30" t="str">
        <f t="shared" si="1"/>
        <v/>
      </c>
      <c r="N238" s="38"/>
      <c r="O238" s="30" t="str">
        <f>IF($L238="","",$L238*IF($N238="",Settings!$J$11,$N238))</f>
        <v/>
      </c>
      <c r="P238" s="30" t="str">
        <f t="shared" si="15"/>
        <v/>
      </c>
      <c r="Q238" s="31"/>
      <c r="R238" s="37"/>
      <c r="S238" s="30" t="str">
        <f>IF($L238="","",IF($Q238&lt;&gt;"Yes",0,IF($R238&lt;&gt;"",$R238,ROUND($L238*Settings!$J$4,2))))</f>
        <v/>
      </c>
      <c r="T238" s="40" t="str">
        <f t="shared" si="3"/>
        <v/>
      </c>
      <c r="U238" s="30" t="str">
        <f t="shared" si="4"/>
        <v/>
      </c>
      <c r="V238" s="37"/>
      <c r="W238" s="31"/>
      <c r="X238" s="34"/>
      <c r="Y238" s="37"/>
      <c r="Z238" s="31"/>
      <c r="AA238" s="34"/>
      <c r="AB238" s="37"/>
      <c r="AC238" s="31"/>
      <c r="AD238" s="34"/>
      <c r="AE238" s="30" t="str">
        <f t="shared" si="5"/>
        <v/>
      </c>
      <c r="AF238" s="41" t="str">
        <f t="shared" si="6"/>
        <v/>
      </c>
      <c r="AG238" s="40" t="str">
        <f t="shared" si="13"/>
        <v/>
      </c>
      <c r="AH238" s="32" t="str">
        <f>IF(OR($L238="",$H238="",$AG238&lt;=0),"",MAX(0,TODAY()-($H238+Settings!$J$6)))</f>
        <v/>
      </c>
      <c r="AI238" s="37"/>
      <c r="AJ238" s="33"/>
      <c r="AK238" s="31"/>
      <c r="AL238" s="31"/>
      <c r="AM238" s="31"/>
      <c r="AN238" s="34"/>
      <c r="AO238" s="44">
        <f t="shared" si="14"/>
        <v>0</v>
      </c>
      <c r="AP238" s="48" t="str">
        <f t="shared" si="9"/>
        <v/>
      </c>
      <c r="AQ238" s="33"/>
      <c r="AR238" s="49" t="str">
        <f t="shared" si="10"/>
        <v/>
      </c>
      <c r="AS238" s="49" t="str">
        <f t="shared" si="11"/>
        <v/>
      </c>
      <c r="AT238" s="32" t="str">
        <f t="shared" si="12"/>
        <v/>
      </c>
    </row>
    <row r="239" ht="18.0" customHeight="1">
      <c r="A239" s="31"/>
      <c r="B239" s="31"/>
      <c r="C239" s="31"/>
      <c r="D239" s="32" t="str">
        <f>IF($A239="","",IF(COUNT($D$2:D238)=0,Settings!$J$5,MAX($D$2:D238)+1))</f>
        <v/>
      </c>
      <c r="E239" s="33"/>
      <c r="F239" s="34"/>
      <c r="G239" s="34"/>
      <c r="H239" s="34"/>
      <c r="I239" s="31"/>
      <c r="J239" s="31"/>
      <c r="K239" s="31"/>
      <c r="L239" s="37"/>
      <c r="M239" s="30" t="str">
        <f t="shared" si="1"/>
        <v/>
      </c>
      <c r="N239" s="38"/>
      <c r="O239" s="30" t="str">
        <f>IF($L239="","",$L239*IF($N239="",Settings!$J$11,$N239))</f>
        <v/>
      </c>
      <c r="P239" s="30" t="str">
        <f t="shared" si="15"/>
        <v/>
      </c>
      <c r="Q239" s="31"/>
      <c r="R239" s="37"/>
      <c r="S239" s="30" t="str">
        <f>IF($L239="","",IF($Q239&lt;&gt;"Yes",0,IF($R239&lt;&gt;"",$R239,ROUND($L239*Settings!$J$4,2))))</f>
        <v/>
      </c>
      <c r="T239" s="40" t="str">
        <f t="shared" si="3"/>
        <v/>
      </c>
      <c r="U239" s="30" t="str">
        <f t="shared" si="4"/>
        <v/>
      </c>
      <c r="V239" s="37"/>
      <c r="W239" s="31"/>
      <c r="X239" s="34"/>
      <c r="Y239" s="37"/>
      <c r="Z239" s="31"/>
      <c r="AA239" s="34"/>
      <c r="AB239" s="37"/>
      <c r="AC239" s="31"/>
      <c r="AD239" s="34"/>
      <c r="AE239" s="30" t="str">
        <f t="shared" si="5"/>
        <v/>
      </c>
      <c r="AF239" s="41" t="str">
        <f t="shared" si="6"/>
        <v/>
      </c>
      <c r="AG239" s="40" t="str">
        <f t="shared" si="13"/>
        <v/>
      </c>
      <c r="AH239" s="32" t="str">
        <f>IF(OR($L239="",$H239="",$AG239&lt;=0),"",MAX(0,TODAY()-($H239+Settings!$J$6)))</f>
        <v/>
      </c>
      <c r="AI239" s="37"/>
      <c r="AJ239" s="33"/>
      <c r="AK239" s="31"/>
      <c r="AL239" s="31"/>
      <c r="AM239" s="31"/>
      <c r="AN239" s="34"/>
      <c r="AO239" s="44">
        <f t="shared" si="14"/>
        <v>0</v>
      </c>
      <c r="AP239" s="48" t="str">
        <f t="shared" si="9"/>
        <v/>
      </c>
      <c r="AQ239" s="33"/>
      <c r="AR239" s="49" t="str">
        <f t="shared" si="10"/>
        <v/>
      </c>
      <c r="AS239" s="49" t="str">
        <f t="shared" si="11"/>
        <v/>
      </c>
      <c r="AT239" s="32" t="str">
        <f t="shared" si="12"/>
        <v/>
      </c>
    </row>
    <row r="240" ht="18.0" customHeight="1">
      <c r="A240" s="31"/>
      <c r="B240" s="31"/>
      <c r="C240" s="31"/>
      <c r="D240" s="32" t="str">
        <f>IF($A240="","",IF(COUNT($D$2:D239)=0,Settings!$J$5,MAX($D$2:D239)+1))</f>
        <v/>
      </c>
      <c r="E240" s="33"/>
      <c r="F240" s="34"/>
      <c r="G240" s="34"/>
      <c r="H240" s="34"/>
      <c r="I240" s="31"/>
      <c r="J240" s="31"/>
      <c r="K240" s="31"/>
      <c r="L240" s="37"/>
      <c r="M240" s="30" t="str">
        <f t="shared" si="1"/>
        <v/>
      </c>
      <c r="N240" s="38"/>
      <c r="O240" s="30" t="str">
        <f>IF($L240="","",$L240*IF($N240="",Settings!$J$11,$N240))</f>
        <v/>
      </c>
      <c r="P240" s="30" t="str">
        <f t="shared" si="15"/>
        <v/>
      </c>
      <c r="Q240" s="31"/>
      <c r="R240" s="37"/>
      <c r="S240" s="30" t="str">
        <f>IF($L240="","",IF($Q240&lt;&gt;"Yes",0,IF($R240&lt;&gt;"",$R240,ROUND($L240*Settings!$J$4,2))))</f>
        <v/>
      </c>
      <c r="T240" s="40" t="str">
        <f t="shared" si="3"/>
        <v/>
      </c>
      <c r="U240" s="30" t="str">
        <f t="shared" si="4"/>
        <v/>
      </c>
      <c r="V240" s="37"/>
      <c r="W240" s="31"/>
      <c r="X240" s="34"/>
      <c r="Y240" s="37"/>
      <c r="Z240" s="31"/>
      <c r="AA240" s="34"/>
      <c r="AB240" s="37"/>
      <c r="AC240" s="31"/>
      <c r="AD240" s="34"/>
      <c r="AE240" s="30" t="str">
        <f t="shared" si="5"/>
        <v/>
      </c>
      <c r="AF240" s="41" t="str">
        <f t="shared" si="6"/>
        <v/>
      </c>
      <c r="AG240" s="40" t="str">
        <f t="shared" si="13"/>
        <v/>
      </c>
      <c r="AH240" s="32" t="str">
        <f>IF(OR($L240="",$H240="",$AG240&lt;=0),"",MAX(0,TODAY()-($H240+Settings!$J$6)))</f>
        <v/>
      </c>
      <c r="AI240" s="37"/>
      <c r="AJ240" s="33"/>
      <c r="AK240" s="31"/>
      <c r="AL240" s="31"/>
      <c r="AM240" s="31"/>
      <c r="AN240" s="34"/>
      <c r="AO240" s="44">
        <f t="shared" si="14"/>
        <v>0</v>
      </c>
      <c r="AP240" s="48" t="str">
        <f t="shared" si="9"/>
        <v/>
      </c>
      <c r="AQ240" s="33"/>
      <c r="AR240" s="49" t="str">
        <f t="shared" si="10"/>
        <v/>
      </c>
      <c r="AS240" s="49" t="str">
        <f t="shared" si="11"/>
        <v/>
      </c>
      <c r="AT240" s="32" t="str">
        <f t="shared" si="12"/>
        <v/>
      </c>
    </row>
    <row r="241" ht="18.0" customHeight="1">
      <c r="A241" s="31"/>
      <c r="B241" s="31"/>
      <c r="C241" s="31"/>
      <c r="D241" s="32" t="str">
        <f>IF($A241="","",IF(COUNT($D$2:D240)=0,Settings!$J$5,MAX($D$2:D240)+1))</f>
        <v/>
      </c>
      <c r="E241" s="33"/>
      <c r="F241" s="34"/>
      <c r="G241" s="34"/>
      <c r="H241" s="34"/>
      <c r="I241" s="31"/>
      <c r="J241" s="31"/>
      <c r="K241" s="31"/>
      <c r="L241" s="37"/>
      <c r="M241" s="30" t="str">
        <f t="shared" si="1"/>
        <v/>
      </c>
      <c r="N241" s="38"/>
      <c r="O241" s="30" t="str">
        <f>IF($L241="","",$L241*IF($N241="",Settings!$J$11,$N241))</f>
        <v/>
      </c>
      <c r="P241" s="30" t="str">
        <f t="shared" si="15"/>
        <v/>
      </c>
      <c r="Q241" s="31"/>
      <c r="R241" s="37"/>
      <c r="S241" s="30" t="str">
        <f>IF($L241="","",IF($Q241&lt;&gt;"Yes",0,IF($R241&lt;&gt;"",$R241,ROUND($L241*Settings!$J$4,2))))</f>
        <v/>
      </c>
      <c r="T241" s="40" t="str">
        <f t="shared" si="3"/>
        <v/>
      </c>
      <c r="U241" s="30" t="str">
        <f t="shared" si="4"/>
        <v/>
      </c>
      <c r="V241" s="37"/>
      <c r="W241" s="31"/>
      <c r="X241" s="34"/>
      <c r="Y241" s="37"/>
      <c r="Z241" s="31"/>
      <c r="AA241" s="34"/>
      <c r="AB241" s="37"/>
      <c r="AC241" s="31"/>
      <c r="AD241" s="34"/>
      <c r="AE241" s="30" t="str">
        <f t="shared" si="5"/>
        <v/>
      </c>
      <c r="AF241" s="41" t="str">
        <f t="shared" si="6"/>
        <v/>
      </c>
      <c r="AG241" s="40" t="str">
        <f t="shared" si="13"/>
        <v/>
      </c>
      <c r="AH241" s="32" t="str">
        <f>IF(OR($L241="",$H241="",$AG241&lt;=0),"",MAX(0,TODAY()-($H241+Settings!$J$6)))</f>
        <v/>
      </c>
      <c r="AI241" s="37"/>
      <c r="AJ241" s="33"/>
      <c r="AK241" s="31"/>
      <c r="AL241" s="31"/>
      <c r="AM241" s="31"/>
      <c r="AN241" s="34"/>
      <c r="AO241" s="44">
        <f t="shared" si="14"/>
        <v>0</v>
      </c>
      <c r="AP241" s="48" t="str">
        <f t="shared" si="9"/>
        <v/>
      </c>
      <c r="AQ241" s="33"/>
      <c r="AR241" s="49" t="str">
        <f t="shared" si="10"/>
        <v/>
      </c>
      <c r="AS241" s="49" t="str">
        <f t="shared" si="11"/>
        <v/>
      </c>
      <c r="AT241" s="32" t="str">
        <f t="shared" si="12"/>
        <v/>
      </c>
    </row>
    <row r="242" ht="18.0" customHeight="1">
      <c r="A242" s="31"/>
      <c r="B242" s="31"/>
      <c r="C242" s="31"/>
      <c r="D242" s="32" t="str">
        <f>IF($A242="","",IF(COUNT($D$2:D241)=0,Settings!$J$5,MAX($D$2:D241)+1))</f>
        <v/>
      </c>
      <c r="E242" s="33"/>
      <c r="F242" s="34"/>
      <c r="G242" s="34"/>
      <c r="H242" s="34"/>
      <c r="I242" s="31"/>
      <c r="J242" s="31"/>
      <c r="K242" s="31"/>
      <c r="L242" s="37"/>
      <c r="M242" s="30" t="str">
        <f t="shared" si="1"/>
        <v/>
      </c>
      <c r="N242" s="38"/>
      <c r="O242" s="30" t="str">
        <f>IF($L242="","",$L242*IF($N242="",Settings!$J$11,$N242))</f>
        <v/>
      </c>
      <c r="P242" s="30" t="str">
        <f t="shared" si="15"/>
        <v/>
      </c>
      <c r="Q242" s="31"/>
      <c r="R242" s="37"/>
      <c r="S242" s="30" t="str">
        <f>IF($L242="","",IF($Q242&lt;&gt;"Yes",0,IF($R242&lt;&gt;"",$R242,ROUND($L242*Settings!$J$4,2))))</f>
        <v/>
      </c>
      <c r="T242" s="40" t="str">
        <f t="shared" si="3"/>
        <v/>
      </c>
      <c r="U242" s="30" t="str">
        <f t="shared" si="4"/>
        <v/>
      </c>
      <c r="V242" s="37"/>
      <c r="W242" s="31"/>
      <c r="X242" s="34"/>
      <c r="Y242" s="37"/>
      <c r="Z242" s="31"/>
      <c r="AA242" s="34"/>
      <c r="AB242" s="37"/>
      <c r="AC242" s="31"/>
      <c r="AD242" s="34"/>
      <c r="AE242" s="30" t="str">
        <f t="shared" si="5"/>
        <v/>
      </c>
      <c r="AF242" s="41" t="str">
        <f t="shared" si="6"/>
        <v/>
      </c>
      <c r="AG242" s="40" t="str">
        <f t="shared" si="13"/>
        <v/>
      </c>
      <c r="AH242" s="32" t="str">
        <f>IF(OR($L242="",$H242="",$AG242&lt;=0),"",MAX(0,TODAY()-($H242+Settings!$J$6)))</f>
        <v/>
      </c>
      <c r="AI242" s="37"/>
      <c r="AJ242" s="33"/>
      <c r="AK242" s="31"/>
      <c r="AL242" s="31"/>
      <c r="AM242" s="31"/>
      <c r="AN242" s="34"/>
      <c r="AO242" s="44">
        <f t="shared" si="14"/>
        <v>0</v>
      </c>
      <c r="AP242" s="48" t="str">
        <f t="shared" si="9"/>
        <v/>
      </c>
      <c r="AQ242" s="33"/>
      <c r="AR242" s="49" t="str">
        <f t="shared" si="10"/>
        <v/>
      </c>
      <c r="AS242" s="49" t="str">
        <f t="shared" si="11"/>
        <v/>
      </c>
      <c r="AT242" s="32" t="str">
        <f t="shared" si="12"/>
        <v/>
      </c>
    </row>
    <row r="243" ht="18.0" customHeight="1">
      <c r="A243" s="31"/>
      <c r="B243" s="31"/>
      <c r="C243" s="31"/>
      <c r="D243" s="32" t="str">
        <f>IF($A243="","",IF(COUNT($D$2:D242)=0,Settings!$J$5,MAX($D$2:D242)+1))</f>
        <v/>
      </c>
      <c r="E243" s="33"/>
      <c r="F243" s="34"/>
      <c r="G243" s="34"/>
      <c r="H243" s="34"/>
      <c r="I243" s="31"/>
      <c r="J243" s="31"/>
      <c r="K243" s="31"/>
      <c r="L243" s="37"/>
      <c r="M243" s="30" t="str">
        <f t="shared" si="1"/>
        <v/>
      </c>
      <c r="N243" s="38"/>
      <c r="O243" s="30" t="str">
        <f>IF($L243="","",$L243*IF($N243="",Settings!$J$11,$N243))</f>
        <v/>
      </c>
      <c r="P243" s="30" t="str">
        <f t="shared" si="15"/>
        <v/>
      </c>
      <c r="Q243" s="31"/>
      <c r="R243" s="37"/>
      <c r="S243" s="30" t="str">
        <f>IF($L243="","",IF($Q243&lt;&gt;"Yes",0,IF($R243&lt;&gt;"",$R243,ROUND($L243*Settings!$J$4,2))))</f>
        <v/>
      </c>
      <c r="T243" s="40" t="str">
        <f t="shared" si="3"/>
        <v/>
      </c>
      <c r="U243" s="30" t="str">
        <f t="shared" si="4"/>
        <v/>
      </c>
      <c r="V243" s="37"/>
      <c r="W243" s="31"/>
      <c r="X243" s="34"/>
      <c r="Y243" s="37"/>
      <c r="Z243" s="31"/>
      <c r="AA243" s="34"/>
      <c r="AB243" s="37"/>
      <c r="AC243" s="31"/>
      <c r="AD243" s="34"/>
      <c r="AE243" s="30" t="str">
        <f t="shared" si="5"/>
        <v/>
      </c>
      <c r="AF243" s="41" t="str">
        <f t="shared" si="6"/>
        <v/>
      </c>
      <c r="AG243" s="40" t="str">
        <f t="shared" si="13"/>
        <v/>
      </c>
      <c r="AH243" s="32" t="str">
        <f>IF(OR($L243="",$H243="",$AG243&lt;=0),"",MAX(0,TODAY()-($H243+Settings!$J$6)))</f>
        <v/>
      </c>
      <c r="AI243" s="37"/>
      <c r="AJ243" s="33"/>
      <c r="AK243" s="31"/>
      <c r="AL243" s="31"/>
      <c r="AM243" s="31"/>
      <c r="AN243" s="34"/>
      <c r="AO243" s="44">
        <f t="shared" si="14"/>
        <v>0</v>
      </c>
      <c r="AP243" s="48" t="str">
        <f t="shared" si="9"/>
        <v/>
      </c>
      <c r="AQ243" s="33"/>
      <c r="AR243" s="49" t="str">
        <f t="shared" si="10"/>
        <v/>
      </c>
      <c r="AS243" s="49" t="str">
        <f t="shared" si="11"/>
        <v/>
      </c>
      <c r="AT243" s="32" t="str">
        <f t="shared" si="12"/>
        <v/>
      </c>
    </row>
    <row r="244" ht="18.0" customHeight="1">
      <c r="A244" s="31"/>
      <c r="B244" s="31"/>
      <c r="C244" s="31"/>
      <c r="D244" s="32" t="str">
        <f>IF($A244="","",IF(COUNT($D$2:D243)=0,Settings!$J$5,MAX($D$2:D243)+1))</f>
        <v/>
      </c>
      <c r="E244" s="33"/>
      <c r="F244" s="34"/>
      <c r="G244" s="34"/>
      <c r="H244" s="34"/>
      <c r="I244" s="31"/>
      <c r="J244" s="31"/>
      <c r="K244" s="31"/>
      <c r="L244" s="37"/>
      <c r="M244" s="30" t="str">
        <f t="shared" si="1"/>
        <v/>
      </c>
      <c r="N244" s="38"/>
      <c r="O244" s="30" t="str">
        <f>IF($L244="","",$L244*IF($N244="",Settings!$J$11,$N244))</f>
        <v/>
      </c>
      <c r="P244" s="30" t="str">
        <f t="shared" si="15"/>
        <v/>
      </c>
      <c r="Q244" s="31"/>
      <c r="R244" s="37"/>
      <c r="S244" s="30" t="str">
        <f>IF($L244="","",IF($Q244&lt;&gt;"Yes",0,IF($R244&lt;&gt;"",$R244,ROUND($L244*Settings!$J$4,2))))</f>
        <v/>
      </c>
      <c r="T244" s="40" t="str">
        <f t="shared" si="3"/>
        <v/>
      </c>
      <c r="U244" s="30" t="str">
        <f t="shared" si="4"/>
        <v/>
      </c>
      <c r="V244" s="37"/>
      <c r="W244" s="31"/>
      <c r="X244" s="34"/>
      <c r="Y244" s="37"/>
      <c r="Z244" s="31"/>
      <c r="AA244" s="34"/>
      <c r="AB244" s="37"/>
      <c r="AC244" s="31"/>
      <c r="AD244" s="34"/>
      <c r="AE244" s="30" t="str">
        <f t="shared" si="5"/>
        <v/>
      </c>
      <c r="AF244" s="41" t="str">
        <f t="shared" si="6"/>
        <v/>
      </c>
      <c r="AG244" s="40" t="str">
        <f t="shared" si="13"/>
        <v/>
      </c>
      <c r="AH244" s="32" t="str">
        <f>IF(OR($L244="",$H244="",$AG244&lt;=0),"",MAX(0,TODAY()-($H244+Settings!$J$6)))</f>
        <v/>
      </c>
      <c r="AI244" s="37"/>
      <c r="AJ244" s="33"/>
      <c r="AK244" s="31"/>
      <c r="AL244" s="31"/>
      <c r="AM244" s="31"/>
      <c r="AN244" s="34"/>
      <c r="AO244" s="44">
        <f t="shared" si="14"/>
        <v>0</v>
      </c>
      <c r="AP244" s="48" t="str">
        <f t="shared" si="9"/>
        <v/>
      </c>
      <c r="AQ244" s="33"/>
      <c r="AR244" s="49" t="str">
        <f t="shared" si="10"/>
        <v/>
      </c>
      <c r="AS244" s="49" t="str">
        <f t="shared" si="11"/>
        <v/>
      </c>
      <c r="AT244" s="32" t="str">
        <f t="shared" si="12"/>
        <v/>
      </c>
    </row>
    <row r="245" ht="18.0" customHeight="1">
      <c r="A245" s="31"/>
      <c r="B245" s="31"/>
      <c r="C245" s="31"/>
      <c r="D245" s="32" t="str">
        <f>IF($A245="","",IF(COUNT($D$2:D244)=0,Settings!$J$5,MAX($D$2:D244)+1))</f>
        <v/>
      </c>
      <c r="E245" s="33"/>
      <c r="F245" s="34"/>
      <c r="G245" s="34"/>
      <c r="H245" s="34"/>
      <c r="I245" s="31"/>
      <c r="J245" s="31"/>
      <c r="K245" s="31"/>
      <c r="L245" s="37"/>
      <c r="M245" s="30" t="str">
        <f t="shared" si="1"/>
        <v/>
      </c>
      <c r="N245" s="38"/>
      <c r="O245" s="30" t="str">
        <f>IF($L245="","",$L245*IF($N245="",Settings!$J$11,$N245))</f>
        <v/>
      </c>
      <c r="P245" s="30" t="str">
        <f t="shared" si="15"/>
        <v/>
      </c>
      <c r="Q245" s="31"/>
      <c r="R245" s="37"/>
      <c r="S245" s="30" t="str">
        <f>IF($L245="","",IF($Q245&lt;&gt;"Yes",0,IF($R245&lt;&gt;"",$R245,ROUND($L245*Settings!$J$4,2))))</f>
        <v/>
      </c>
      <c r="T245" s="40" t="str">
        <f t="shared" si="3"/>
        <v/>
      </c>
      <c r="U245" s="30" t="str">
        <f t="shared" si="4"/>
        <v/>
      </c>
      <c r="V245" s="37"/>
      <c r="W245" s="31"/>
      <c r="X245" s="34"/>
      <c r="Y245" s="37"/>
      <c r="Z245" s="31"/>
      <c r="AA245" s="34"/>
      <c r="AB245" s="37"/>
      <c r="AC245" s="31"/>
      <c r="AD245" s="34"/>
      <c r="AE245" s="30" t="str">
        <f t="shared" si="5"/>
        <v/>
      </c>
      <c r="AF245" s="41" t="str">
        <f t="shared" si="6"/>
        <v/>
      </c>
      <c r="AG245" s="40" t="str">
        <f t="shared" si="13"/>
        <v/>
      </c>
      <c r="AH245" s="32" t="str">
        <f>IF(OR($L245="",$H245="",$AG245&lt;=0),"",MAX(0,TODAY()-($H245+Settings!$J$6)))</f>
        <v/>
      </c>
      <c r="AI245" s="37"/>
      <c r="AJ245" s="33"/>
      <c r="AK245" s="31"/>
      <c r="AL245" s="31"/>
      <c r="AM245" s="31"/>
      <c r="AN245" s="34"/>
      <c r="AO245" s="44">
        <f t="shared" si="14"/>
        <v>0</v>
      </c>
      <c r="AP245" s="48" t="str">
        <f t="shared" si="9"/>
        <v/>
      </c>
      <c r="AQ245" s="33"/>
      <c r="AR245" s="49" t="str">
        <f t="shared" si="10"/>
        <v/>
      </c>
      <c r="AS245" s="49" t="str">
        <f t="shared" si="11"/>
        <v/>
      </c>
      <c r="AT245" s="32" t="str">
        <f t="shared" si="12"/>
        <v/>
      </c>
    </row>
    <row r="246" ht="18.0" customHeight="1">
      <c r="A246" s="31"/>
      <c r="B246" s="31"/>
      <c r="C246" s="31"/>
      <c r="D246" s="32" t="str">
        <f>IF($A246="","",IF(COUNT($D$2:D245)=0,Settings!$J$5,MAX($D$2:D245)+1))</f>
        <v/>
      </c>
      <c r="E246" s="33"/>
      <c r="F246" s="34"/>
      <c r="G246" s="34"/>
      <c r="H246" s="34"/>
      <c r="I246" s="31"/>
      <c r="J246" s="31"/>
      <c r="K246" s="31"/>
      <c r="L246" s="37"/>
      <c r="M246" s="30" t="str">
        <f t="shared" si="1"/>
        <v/>
      </c>
      <c r="N246" s="38"/>
      <c r="O246" s="30" t="str">
        <f>IF($L246="","",$L246*IF($N246="",Settings!$J$11,$N246))</f>
        <v/>
      </c>
      <c r="P246" s="30" t="str">
        <f t="shared" si="15"/>
        <v/>
      </c>
      <c r="Q246" s="31"/>
      <c r="R246" s="37"/>
      <c r="S246" s="30" t="str">
        <f>IF($L246="","",IF($Q246&lt;&gt;"Yes",0,IF($R246&lt;&gt;"",$R246,ROUND($L246*Settings!$J$4,2))))</f>
        <v/>
      </c>
      <c r="T246" s="40" t="str">
        <f t="shared" si="3"/>
        <v/>
      </c>
      <c r="U246" s="30" t="str">
        <f t="shared" si="4"/>
        <v/>
      </c>
      <c r="V246" s="37"/>
      <c r="W246" s="31"/>
      <c r="X246" s="34"/>
      <c r="Y246" s="37"/>
      <c r="Z246" s="31"/>
      <c r="AA246" s="34"/>
      <c r="AB246" s="37"/>
      <c r="AC246" s="31"/>
      <c r="AD246" s="34"/>
      <c r="AE246" s="30" t="str">
        <f t="shared" si="5"/>
        <v/>
      </c>
      <c r="AF246" s="41" t="str">
        <f t="shared" si="6"/>
        <v/>
      </c>
      <c r="AG246" s="40" t="str">
        <f t="shared" si="13"/>
        <v/>
      </c>
      <c r="AH246" s="32" t="str">
        <f>IF(OR($L246="",$H246="",$AG246&lt;=0),"",MAX(0,TODAY()-($H246+Settings!$J$6)))</f>
        <v/>
      </c>
      <c r="AI246" s="37"/>
      <c r="AJ246" s="33"/>
      <c r="AK246" s="31"/>
      <c r="AL246" s="31"/>
      <c r="AM246" s="31"/>
      <c r="AN246" s="34"/>
      <c r="AO246" s="44">
        <f t="shared" si="14"/>
        <v>0</v>
      </c>
      <c r="AP246" s="48" t="str">
        <f t="shared" si="9"/>
        <v/>
      </c>
      <c r="AQ246" s="33"/>
      <c r="AR246" s="49" t="str">
        <f t="shared" si="10"/>
        <v/>
      </c>
      <c r="AS246" s="49" t="str">
        <f t="shared" si="11"/>
        <v/>
      </c>
      <c r="AT246" s="32" t="str">
        <f t="shared" si="12"/>
        <v/>
      </c>
    </row>
    <row r="247" ht="18.0" customHeight="1">
      <c r="A247" s="31"/>
      <c r="B247" s="31"/>
      <c r="C247" s="31"/>
      <c r="D247" s="32" t="str">
        <f>IF($A247="","",IF(COUNT($D$2:D246)=0,Settings!$J$5,MAX($D$2:D246)+1))</f>
        <v/>
      </c>
      <c r="E247" s="33"/>
      <c r="F247" s="34"/>
      <c r="G247" s="34"/>
      <c r="H247" s="34"/>
      <c r="I247" s="31"/>
      <c r="J247" s="31"/>
      <c r="K247" s="31"/>
      <c r="L247" s="37"/>
      <c r="M247" s="30" t="str">
        <f t="shared" si="1"/>
        <v/>
      </c>
      <c r="N247" s="38"/>
      <c r="O247" s="30" t="str">
        <f>IF($L247="","",$L247*IF($N247="",Settings!$J$11,$N247))</f>
        <v/>
      </c>
      <c r="P247" s="30" t="str">
        <f t="shared" si="15"/>
        <v/>
      </c>
      <c r="Q247" s="31"/>
      <c r="R247" s="37"/>
      <c r="S247" s="30" t="str">
        <f>IF($L247="","",IF($Q247&lt;&gt;"Yes",0,IF($R247&lt;&gt;"",$R247,ROUND($L247*Settings!$J$4,2))))</f>
        <v/>
      </c>
      <c r="T247" s="40" t="str">
        <f t="shared" si="3"/>
        <v/>
      </c>
      <c r="U247" s="30" t="str">
        <f t="shared" si="4"/>
        <v/>
      </c>
      <c r="V247" s="37"/>
      <c r="W247" s="31"/>
      <c r="X247" s="34"/>
      <c r="Y247" s="37"/>
      <c r="Z247" s="31"/>
      <c r="AA247" s="34"/>
      <c r="AB247" s="37"/>
      <c r="AC247" s="31"/>
      <c r="AD247" s="34"/>
      <c r="AE247" s="30" t="str">
        <f t="shared" si="5"/>
        <v/>
      </c>
      <c r="AF247" s="41" t="str">
        <f t="shared" si="6"/>
        <v/>
      </c>
      <c r="AG247" s="40" t="str">
        <f t="shared" si="13"/>
        <v/>
      </c>
      <c r="AH247" s="32" t="str">
        <f>IF(OR($L247="",$H247="",$AG247&lt;=0),"",MAX(0,TODAY()-($H247+Settings!$J$6)))</f>
        <v/>
      </c>
      <c r="AI247" s="37"/>
      <c r="AJ247" s="33"/>
      <c r="AK247" s="31"/>
      <c r="AL247" s="31"/>
      <c r="AM247" s="31"/>
      <c r="AN247" s="34"/>
      <c r="AO247" s="44">
        <f t="shared" si="14"/>
        <v>0</v>
      </c>
      <c r="AP247" s="48" t="str">
        <f t="shared" si="9"/>
        <v/>
      </c>
      <c r="AQ247" s="33"/>
      <c r="AR247" s="49" t="str">
        <f t="shared" si="10"/>
        <v/>
      </c>
      <c r="AS247" s="49" t="str">
        <f t="shared" si="11"/>
        <v/>
      </c>
      <c r="AT247" s="32" t="str">
        <f t="shared" si="12"/>
        <v/>
      </c>
    </row>
    <row r="248" ht="18.0" customHeight="1">
      <c r="A248" s="31"/>
      <c r="B248" s="31"/>
      <c r="C248" s="31"/>
      <c r="D248" s="32" t="str">
        <f>IF($A248="","",IF(COUNT($D$2:D247)=0,Settings!$J$5,MAX($D$2:D247)+1))</f>
        <v/>
      </c>
      <c r="E248" s="33"/>
      <c r="F248" s="34"/>
      <c r="G248" s="34"/>
      <c r="H248" s="34"/>
      <c r="I248" s="31"/>
      <c r="J248" s="31"/>
      <c r="K248" s="31"/>
      <c r="L248" s="37"/>
      <c r="M248" s="30" t="str">
        <f t="shared" si="1"/>
        <v/>
      </c>
      <c r="N248" s="38"/>
      <c r="O248" s="30" t="str">
        <f>IF($L248="","",$L248*IF($N248="",Settings!$J$11,$N248))</f>
        <v/>
      </c>
      <c r="P248" s="30" t="str">
        <f t="shared" si="15"/>
        <v/>
      </c>
      <c r="Q248" s="31"/>
      <c r="R248" s="37"/>
      <c r="S248" s="30" t="str">
        <f>IF($L248="","",IF($Q248&lt;&gt;"Yes",0,IF($R248&lt;&gt;"",$R248,ROUND($L248*Settings!$J$4,2))))</f>
        <v/>
      </c>
      <c r="T248" s="40" t="str">
        <f t="shared" si="3"/>
        <v/>
      </c>
      <c r="U248" s="30" t="str">
        <f t="shared" si="4"/>
        <v/>
      </c>
      <c r="V248" s="37"/>
      <c r="W248" s="31"/>
      <c r="X248" s="34"/>
      <c r="Y248" s="37"/>
      <c r="Z248" s="31"/>
      <c r="AA248" s="34"/>
      <c r="AB248" s="37"/>
      <c r="AC248" s="31"/>
      <c r="AD248" s="34"/>
      <c r="AE248" s="30" t="str">
        <f t="shared" si="5"/>
        <v/>
      </c>
      <c r="AF248" s="41" t="str">
        <f t="shared" si="6"/>
        <v/>
      </c>
      <c r="AG248" s="40" t="str">
        <f t="shared" si="13"/>
        <v/>
      </c>
      <c r="AH248" s="32" t="str">
        <f>IF(OR($L248="",$H248="",$AG248&lt;=0),"",MAX(0,TODAY()-($H248+Settings!$J$6)))</f>
        <v/>
      </c>
      <c r="AI248" s="37"/>
      <c r="AJ248" s="33"/>
      <c r="AK248" s="31"/>
      <c r="AL248" s="31"/>
      <c r="AM248" s="31"/>
      <c r="AN248" s="34"/>
      <c r="AO248" s="44">
        <f t="shared" si="14"/>
        <v>0</v>
      </c>
      <c r="AP248" s="48" t="str">
        <f t="shared" si="9"/>
        <v/>
      </c>
      <c r="AQ248" s="33"/>
      <c r="AR248" s="49" t="str">
        <f t="shared" si="10"/>
        <v/>
      </c>
      <c r="AS248" s="49" t="str">
        <f t="shared" si="11"/>
        <v/>
      </c>
      <c r="AT248" s="32" t="str">
        <f t="shared" si="12"/>
        <v/>
      </c>
    </row>
    <row r="249" ht="18.0" customHeight="1">
      <c r="A249" s="31"/>
      <c r="B249" s="31"/>
      <c r="C249" s="31"/>
      <c r="D249" s="32" t="str">
        <f>IF($A249="","",IF(COUNT($D$2:D248)=0,Settings!$J$5,MAX($D$2:D248)+1))</f>
        <v/>
      </c>
      <c r="E249" s="33"/>
      <c r="F249" s="34"/>
      <c r="G249" s="34"/>
      <c r="H249" s="34"/>
      <c r="I249" s="31"/>
      <c r="J249" s="31"/>
      <c r="K249" s="31"/>
      <c r="L249" s="37"/>
      <c r="M249" s="30" t="str">
        <f t="shared" si="1"/>
        <v/>
      </c>
      <c r="N249" s="38"/>
      <c r="O249" s="30" t="str">
        <f>IF($L249="","",$L249*IF($N249="",Settings!$J$11,$N249))</f>
        <v/>
      </c>
      <c r="P249" s="30" t="str">
        <f t="shared" si="15"/>
        <v/>
      </c>
      <c r="Q249" s="31"/>
      <c r="R249" s="37"/>
      <c r="S249" s="30" t="str">
        <f>IF($L249="","",IF($Q249&lt;&gt;"Yes",0,IF($R249&lt;&gt;"",$R249,ROUND($L249*Settings!$J$4,2))))</f>
        <v/>
      </c>
      <c r="T249" s="40" t="str">
        <f t="shared" si="3"/>
        <v/>
      </c>
      <c r="U249" s="30" t="str">
        <f t="shared" si="4"/>
        <v/>
      </c>
      <c r="V249" s="37"/>
      <c r="W249" s="31"/>
      <c r="X249" s="34"/>
      <c r="Y249" s="37"/>
      <c r="Z249" s="31"/>
      <c r="AA249" s="34"/>
      <c r="AB249" s="37"/>
      <c r="AC249" s="31"/>
      <c r="AD249" s="34"/>
      <c r="AE249" s="30" t="str">
        <f t="shared" si="5"/>
        <v/>
      </c>
      <c r="AF249" s="41" t="str">
        <f t="shared" si="6"/>
        <v/>
      </c>
      <c r="AG249" s="40" t="str">
        <f t="shared" si="13"/>
        <v/>
      </c>
      <c r="AH249" s="32" t="str">
        <f>IF(OR($L249="",$H249="",$AG249&lt;=0),"",MAX(0,TODAY()-($H249+Settings!$J$6)))</f>
        <v/>
      </c>
      <c r="AI249" s="37"/>
      <c r="AJ249" s="33"/>
      <c r="AK249" s="31"/>
      <c r="AL249" s="31"/>
      <c r="AM249" s="31"/>
      <c r="AN249" s="34"/>
      <c r="AO249" s="44">
        <f t="shared" si="14"/>
        <v>0</v>
      </c>
      <c r="AP249" s="48" t="str">
        <f t="shared" si="9"/>
        <v/>
      </c>
      <c r="AQ249" s="33"/>
      <c r="AR249" s="49" t="str">
        <f t="shared" si="10"/>
        <v/>
      </c>
      <c r="AS249" s="49" t="str">
        <f t="shared" si="11"/>
        <v/>
      </c>
      <c r="AT249" s="32" t="str">
        <f t="shared" si="12"/>
        <v/>
      </c>
    </row>
    <row r="250" ht="18.0" customHeight="1">
      <c r="A250" s="31"/>
      <c r="B250" s="31"/>
      <c r="C250" s="31"/>
      <c r="D250" s="32" t="str">
        <f>IF($A250="","",IF(COUNT($D$2:D249)=0,Settings!$J$5,MAX($D$2:D249)+1))</f>
        <v/>
      </c>
      <c r="E250" s="33"/>
      <c r="F250" s="34"/>
      <c r="G250" s="34"/>
      <c r="H250" s="34"/>
      <c r="I250" s="31"/>
      <c r="J250" s="31"/>
      <c r="K250" s="31"/>
      <c r="L250" s="37"/>
      <c r="M250" s="30" t="str">
        <f t="shared" si="1"/>
        <v/>
      </c>
      <c r="N250" s="38"/>
      <c r="O250" s="30" t="str">
        <f>IF($L250="","",$L250*IF($N250="",Settings!$J$11,$N250))</f>
        <v/>
      </c>
      <c r="P250" s="30" t="str">
        <f t="shared" si="15"/>
        <v/>
      </c>
      <c r="Q250" s="31"/>
      <c r="R250" s="37"/>
      <c r="S250" s="30" t="str">
        <f>IF($L250="","",IF($Q250&lt;&gt;"Yes",0,IF($R250&lt;&gt;"",$R250,ROUND($L250*Settings!$J$4,2))))</f>
        <v/>
      </c>
      <c r="T250" s="40" t="str">
        <f t="shared" si="3"/>
        <v/>
      </c>
      <c r="U250" s="30" t="str">
        <f t="shared" si="4"/>
        <v/>
      </c>
      <c r="V250" s="37"/>
      <c r="W250" s="31"/>
      <c r="X250" s="34"/>
      <c r="Y250" s="37"/>
      <c r="Z250" s="31"/>
      <c r="AA250" s="34"/>
      <c r="AB250" s="37"/>
      <c r="AC250" s="31"/>
      <c r="AD250" s="34"/>
      <c r="AE250" s="30" t="str">
        <f t="shared" si="5"/>
        <v/>
      </c>
      <c r="AF250" s="41" t="str">
        <f t="shared" si="6"/>
        <v/>
      </c>
      <c r="AG250" s="40" t="str">
        <f t="shared" si="13"/>
        <v/>
      </c>
      <c r="AH250" s="32" t="str">
        <f>IF(OR($L250="",$H250="",$AG250&lt;=0),"",MAX(0,TODAY()-($H250+Settings!$J$6)))</f>
        <v/>
      </c>
      <c r="AI250" s="37"/>
      <c r="AJ250" s="33"/>
      <c r="AK250" s="31"/>
      <c r="AL250" s="31"/>
      <c r="AM250" s="31"/>
      <c r="AN250" s="34"/>
      <c r="AO250" s="44">
        <f t="shared" si="14"/>
        <v>0</v>
      </c>
      <c r="AP250" s="48" t="str">
        <f t="shared" si="9"/>
        <v/>
      </c>
      <c r="AQ250" s="33"/>
      <c r="AR250" s="49" t="str">
        <f t="shared" si="10"/>
        <v/>
      </c>
      <c r="AS250" s="49" t="str">
        <f t="shared" si="11"/>
        <v/>
      </c>
      <c r="AT250" s="32" t="str">
        <f t="shared" si="12"/>
        <v/>
      </c>
    </row>
    <row r="251" ht="18.0" customHeight="1">
      <c r="A251" s="31"/>
      <c r="B251" s="31"/>
      <c r="C251" s="31"/>
      <c r="D251" s="32" t="str">
        <f>IF($A251="","",IF(COUNT($D$2:D250)=0,Settings!$J$5,MAX($D$2:D250)+1))</f>
        <v/>
      </c>
      <c r="E251" s="33"/>
      <c r="F251" s="34"/>
      <c r="G251" s="34"/>
      <c r="H251" s="34"/>
      <c r="I251" s="31"/>
      <c r="J251" s="31"/>
      <c r="K251" s="31"/>
      <c r="L251" s="37"/>
      <c r="M251" s="30" t="str">
        <f t="shared" si="1"/>
        <v/>
      </c>
      <c r="N251" s="38"/>
      <c r="O251" s="30" t="str">
        <f>IF($L251="","",$L251*IF($N251="",Settings!$J$11,$N251))</f>
        <v/>
      </c>
      <c r="P251" s="30" t="str">
        <f t="shared" si="15"/>
        <v/>
      </c>
      <c r="Q251" s="31"/>
      <c r="R251" s="37"/>
      <c r="S251" s="30" t="str">
        <f>IF($L251="","",IF($Q251&lt;&gt;"Yes",0,IF($R251&lt;&gt;"",$R251,ROUND($L251*Settings!$J$4,2))))</f>
        <v/>
      </c>
      <c r="T251" s="40" t="str">
        <f t="shared" si="3"/>
        <v/>
      </c>
      <c r="U251" s="30" t="str">
        <f t="shared" si="4"/>
        <v/>
      </c>
      <c r="V251" s="37"/>
      <c r="W251" s="31"/>
      <c r="X251" s="34"/>
      <c r="Y251" s="37"/>
      <c r="Z251" s="31"/>
      <c r="AA251" s="34"/>
      <c r="AB251" s="37"/>
      <c r="AC251" s="31"/>
      <c r="AD251" s="34"/>
      <c r="AE251" s="30" t="str">
        <f t="shared" si="5"/>
        <v/>
      </c>
      <c r="AF251" s="41" t="str">
        <f t="shared" si="6"/>
        <v/>
      </c>
      <c r="AG251" s="40" t="str">
        <f t="shared" si="13"/>
        <v/>
      </c>
      <c r="AH251" s="32" t="str">
        <f>IF(OR($L251="",$H251="",$AG251&lt;=0),"",MAX(0,TODAY()-($H251+Settings!$J$6)))</f>
        <v/>
      </c>
      <c r="AI251" s="37"/>
      <c r="AJ251" s="33"/>
      <c r="AK251" s="31"/>
      <c r="AL251" s="31"/>
      <c r="AM251" s="31"/>
      <c r="AN251" s="34"/>
      <c r="AO251" s="44">
        <f t="shared" si="14"/>
        <v>0</v>
      </c>
      <c r="AP251" s="48" t="str">
        <f t="shared" si="9"/>
        <v/>
      </c>
      <c r="AQ251" s="33"/>
      <c r="AR251" s="49" t="str">
        <f t="shared" si="10"/>
        <v/>
      </c>
      <c r="AS251" s="49" t="str">
        <f t="shared" si="11"/>
        <v/>
      </c>
      <c r="AT251" s="32" t="str">
        <f t="shared" si="12"/>
        <v/>
      </c>
    </row>
    <row r="252" ht="18.0" customHeight="1">
      <c r="A252" s="31"/>
      <c r="B252" s="31"/>
      <c r="C252" s="31"/>
      <c r="D252" s="32" t="str">
        <f>IF($A252="","",IF(COUNT($D$2:D251)=0,Settings!$J$5,MAX($D$2:D251)+1))</f>
        <v/>
      </c>
      <c r="E252" s="33"/>
      <c r="F252" s="34"/>
      <c r="G252" s="34"/>
      <c r="H252" s="34"/>
      <c r="I252" s="31"/>
      <c r="J252" s="31"/>
      <c r="K252" s="31"/>
      <c r="L252" s="37"/>
      <c r="M252" s="30" t="str">
        <f t="shared" si="1"/>
        <v/>
      </c>
      <c r="N252" s="38"/>
      <c r="O252" s="30" t="str">
        <f>IF($L252="","",$L252*IF($N252="",Settings!$J$11,$N252))</f>
        <v/>
      </c>
      <c r="P252" s="30" t="str">
        <f t="shared" si="15"/>
        <v/>
      </c>
      <c r="Q252" s="31"/>
      <c r="R252" s="37"/>
      <c r="S252" s="30" t="str">
        <f>IF($L252="","",IF($Q252&lt;&gt;"Yes",0,IF($R252&lt;&gt;"",$R252,ROUND($L252*Settings!$J$4,2))))</f>
        <v/>
      </c>
      <c r="T252" s="40" t="str">
        <f t="shared" si="3"/>
        <v/>
      </c>
      <c r="U252" s="30" t="str">
        <f t="shared" si="4"/>
        <v/>
      </c>
      <c r="V252" s="37"/>
      <c r="W252" s="31"/>
      <c r="X252" s="34"/>
      <c r="Y252" s="37"/>
      <c r="Z252" s="31"/>
      <c r="AA252" s="34"/>
      <c r="AB252" s="37"/>
      <c r="AC252" s="31"/>
      <c r="AD252" s="34"/>
      <c r="AE252" s="30" t="str">
        <f t="shared" si="5"/>
        <v/>
      </c>
      <c r="AF252" s="41" t="str">
        <f t="shared" si="6"/>
        <v/>
      </c>
      <c r="AG252" s="40" t="str">
        <f t="shared" si="13"/>
        <v/>
      </c>
      <c r="AH252" s="32" t="str">
        <f>IF(OR($L252="",$H252="",$AG252&lt;=0),"",MAX(0,TODAY()-($H252+Settings!$J$6)))</f>
        <v/>
      </c>
      <c r="AI252" s="37"/>
      <c r="AJ252" s="33"/>
      <c r="AK252" s="31"/>
      <c r="AL252" s="31"/>
      <c r="AM252" s="31"/>
      <c r="AN252" s="34"/>
      <c r="AO252" s="44">
        <f t="shared" si="14"/>
        <v>0</v>
      </c>
      <c r="AP252" s="48" t="str">
        <f t="shared" si="9"/>
        <v/>
      </c>
      <c r="AQ252" s="33"/>
      <c r="AR252" s="49" t="str">
        <f t="shared" si="10"/>
        <v/>
      </c>
      <c r="AS252" s="49" t="str">
        <f t="shared" si="11"/>
        <v/>
      </c>
      <c r="AT252" s="32" t="str">
        <f t="shared" si="12"/>
        <v/>
      </c>
    </row>
    <row r="253" ht="18.0" customHeight="1">
      <c r="A253" s="31"/>
      <c r="B253" s="31"/>
      <c r="C253" s="31"/>
      <c r="D253" s="32" t="str">
        <f>IF($A253="","",IF(COUNT($D$2:D252)=0,Settings!$J$5,MAX($D$2:D252)+1))</f>
        <v/>
      </c>
      <c r="E253" s="33"/>
      <c r="F253" s="34"/>
      <c r="G253" s="34"/>
      <c r="H253" s="34"/>
      <c r="I253" s="31"/>
      <c r="J253" s="31"/>
      <c r="K253" s="31"/>
      <c r="L253" s="37"/>
      <c r="M253" s="30" t="str">
        <f t="shared" si="1"/>
        <v/>
      </c>
      <c r="N253" s="38"/>
      <c r="O253" s="30" t="str">
        <f>IF($L253="","",$L253*IF($N253="",Settings!$J$11,$N253))</f>
        <v/>
      </c>
      <c r="P253" s="30" t="str">
        <f t="shared" si="15"/>
        <v/>
      </c>
      <c r="Q253" s="31"/>
      <c r="R253" s="37"/>
      <c r="S253" s="30" t="str">
        <f>IF($L253="","",IF($Q253&lt;&gt;"Yes",0,IF($R253&lt;&gt;"",$R253,ROUND($L253*Settings!$J$4,2))))</f>
        <v/>
      </c>
      <c r="T253" s="40" t="str">
        <f t="shared" si="3"/>
        <v/>
      </c>
      <c r="U253" s="30" t="str">
        <f t="shared" si="4"/>
        <v/>
      </c>
      <c r="V253" s="37"/>
      <c r="W253" s="31"/>
      <c r="X253" s="34"/>
      <c r="Y253" s="37"/>
      <c r="Z253" s="31"/>
      <c r="AA253" s="34"/>
      <c r="AB253" s="37"/>
      <c r="AC253" s="31"/>
      <c r="AD253" s="34"/>
      <c r="AE253" s="30" t="str">
        <f t="shared" si="5"/>
        <v/>
      </c>
      <c r="AF253" s="41" t="str">
        <f t="shared" si="6"/>
        <v/>
      </c>
      <c r="AG253" s="40" t="str">
        <f t="shared" si="13"/>
        <v/>
      </c>
      <c r="AH253" s="32" t="str">
        <f>IF(OR($L253="",$H253="",$AG253&lt;=0),"",MAX(0,TODAY()-($H253+Settings!$J$6)))</f>
        <v/>
      </c>
      <c r="AI253" s="37"/>
      <c r="AJ253" s="33"/>
      <c r="AK253" s="31"/>
      <c r="AL253" s="31"/>
      <c r="AM253" s="31"/>
      <c r="AN253" s="34"/>
      <c r="AO253" s="44">
        <f t="shared" si="14"/>
        <v>0</v>
      </c>
      <c r="AP253" s="48" t="str">
        <f t="shared" si="9"/>
        <v/>
      </c>
      <c r="AQ253" s="33"/>
      <c r="AR253" s="49" t="str">
        <f t="shared" si="10"/>
        <v/>
      </c>
      <c r="AS253" s="49" t="str">
        <f t="shared" si="11"/>
        <v/>
      </c>
      <c r="AT253" s="32" t="str">
        <f t="shared" si="12"/>
        <v/>
      </c>
    </row>
    <row r="254" ht="18.0" customHeight="1">
      <c r="A254" s="31"/>
      <c r="B254" s="31"/>
      <c r="C254" s="31"/>
      <c r="D254" s="32" t="str">
        <f>IF($A254="","",IF(COUNT($D$2:D253)=0,Settings!$J$5,MAX($D$2:D253)+1))</f>
        <v/>
      </c>
      <c r="E254" s="33"/>
      <c r="F254" s="34"/>
      <c r="G254" s="34"/>
      <c r="H254" s="34"/>
      <c r="I254" s="31"/>
      <c r="J254" s="31"/>
      <c r="K254" s="31"/>
      <c r="L254" s="37"/>
      <c r="M254" s="30" t="str">
        <f t="shared" si="1"/>
        <v/>
      </c>
      <c r="N254" s="38"/>
      <c r="O254" s="30" t="str">
        <f>IF($L254="","",$L254*IF($N254="",Settings!$J$11,$N254))</f>
        <v/>
      </c>
      <c r="P254" s="30" t="str">
        <f t="shared" si="15"/>
        <v/>
      </c>
      <c r="Q254" s="31"/>
      <c r="R254" s="37"/>
      <c r="S254" s="30" t="str">
        <f>IF($L254="","",IF($Q254&lt;&gt;"Yes",0,IF($R254&lt;&gt;"",$R254,ROUND($L254*Settings!$J$4,2))))</f>
        <v/>
      </c>
      <c r="T254" s="40" t="str">
        <f t="shared" si="3"/>
        <v/>
      </c>
      <c r="U254" s="30" t="str">
        <f t="shared" si="4"/>
        <v/>
      </c>
      <c r="V254" s="37"/>
      <c r="W254" s="31"/>
      <c r="X254" s="34"/>
      <c r="Y254" s="37"/>
      <c r="Z254" s="31"/>
      <c r="AA254" s="34"/>
      <c r="AB254" s="37"/>
      <c r="AC254" s="31"/>
      <c r="AD254" s="34"/>
      <c r="AE254" s="30" t="str">
        <f t="shared" si="5"/>
        <v/>
      </c>
      <c r="AF254" s="41" t="str">
        <f t="shared" si="6"/>
        <v/>
      </c>
      <c r="AG254" s="40" t="str">
        <f t="shared" si="13"/>
        <v/>
      </c>
      <c r="AH254" s="32" t="str">
        <f>IF(OR($L254="",$H254="",$AG254&lt;=0),"",MAX(0,TODAY()-($H254+Settings!$J$6)))</f>
        <v/>
      </c>
      <c r="AI254" s="37"/>
      <c r="AJ254" s="33"/>
      <c r="AK254" s="31"/>
      <c r="AL254" s="31"/>
      <c r="AM254" s="31"/>
      <c r="AN254" s="34"/>
      <c r="AO254" s="44">
        <f t="shared" si="14"/>
        <v>0</v>
      </c>
      <c r="AP254" s="48" t="str">
        <f t="shared" si="9"/>
        <v/>
      </c>
      <c r="AQ254" s="33"/>
      <c r="AR254" s="49" t="str">
        <f t="shared" si="10"/>
        <v/>
      </c>
      <c r="AS254" s="49" t="str">
        <f t="shared" si="11"/>
        <v/>
      </c>
      <c r="AT254" s="32" t="str">
        <f t="shared" si="12"/>
        <v/>
      </c>
    </row>
    <row r="255" ht="18.0" customHeight="1">
      <c r="A255" s="31"/>
      <c r="B255" s="31"/>
      <c r="C255" s="31"/>
      <c r="D255" s="32" t="str">
        <f>IF($A255="","",IF(COUNT($D$2:D254)=0,Settings!$J$5,MAX($D$2:D254)+1))</f>
        <v/>
      </c>
      <c r="E255" s="33"/>
      <c r="F255" s="34"/>
      <c r="G255" s="34"/>
      <c r="H255" s="34"/>
      <c r="I255" s="31"/>
      <c r="J255" s="31"/>
      <c r="K255" s="31"/>
      <c r="L255" s="37"/>
      <c r="M255" s="30" t="str">
        <f t="shared" si="1"/>
        <v/>
      </c>
      <c r="N255" s="38"/>
      <c r="O255" s="30" t="str">
        <f>IF($L255="","",$L255*IF($N255="",Settings!$J$11,$N255))</f>
        <v/>
      </c>
      <c r="P255" s="30" t="str">
        <f t="shared" si="15"/>
        <v/>
      </c>
      <c r="Q255" s="31"/>
      <c r="R255" s="37"/>
      <c r="S255" s="30" t="str">
        <f>IF($L255="","",IF($Q255&lt;&gt;"Yes",0,IF($R255&lt;&gt;"",$R255,ROUND($L255*Settings!$J$4,2))))</f>
        <v/>
      </c>
      <c r="T255" s="40" t="str">
        <f t="shared" si="3"/>
        <v/>
      </c>
      <c r="U255" s="30" t="str">
        <f t="shared" si="4"/>
        <v/>
      </c>
      <c r="V255" s="37"/>
      <c r="W255" s="31"/>
      <c r="X255" s="34"/>
      <c r="Y255" s="37"/>
      <c r="Z255" s="31"/>
      <c r="AA255" s="34"/>
      <c r="AB255" s="37"/>
      <c r="AC255" s="31"/>
      <c r="AD255" s="34"/>
      <c r="AE255" s="30" t="str">
        <f t="shared" si="5"/>
        <v/>
      </c>
      <c r="AF255" s="41" t="str">
        <f t="shared" si="6"/>
        <v/>
      </c>
      <c r="AG255" s="40" t="str">
        <f t="shared" si="13"/>
        <v/>
      </c>
      <c r="AH255" s="32" t="str">
        <f>IF(OR($L255="",$H255="",$AG255&lt;=0),"",MAX(0,TODAY()-($H255+Settings!$J$6)))</f>
        <v/>
      </c>
      <c r="AI255" s="37"/>
      <c r="AJ255" s="33"/>
      <c r="AK255" s="31"/>
      <c r="AL255" s="31"/>
      <c r="AM255" s="31"/>
      <c r="AN255" s="34"/>
      <c r="AO255" s="44">
        <f t="shared" si="14"/>
        <v>0</v>
      </c>
      <c r="AP255" s="48" t="str">
        <f t="shared" si="9"/>
        <v/>
      </c>
      <c r="AQ255" s="33"/>
      <c r="AR255" s="49" t="str">
        <f t="shared" si="10"/>
        <v/>
      </c>
      <c r="AS255" s="49" t="str">
        <f t="shared" si="11"/>
        <v/>
      </c>
      <c r="AT255" s="32" t="str">
        <f t="shared" si="12"/>
        <v/>
      </c>
    </row>
    <row r="256" ht="18.0" customHeight="1">
      <c r="A256" s="31"/>
      <c r="B256" s="31"/>
      <c r="C256" s="31"/>
      <c r="D256" s="32" t="str">
        <f>IF($A256="","",IF(COUNT($D$2:D255)=0,Settings!$J$5,MAX($D$2:D255)+1))</f>
        <v/>
      </c>
      <c r="E256" s="33"/>
      <c r="F256" s="34"/>
      <c r="G256" s="34"/>
      <c r="H256" s="34"/>
      <c r="I256" s="31"/>
      <c r="J256" s="31"/>
      <c r="K256" s="31"/>
      <c r="L256" s="37"/>
      <c r="M256" s="30" t="str">
        <f t="shared" si="1"/>
        <v/>
      </c>
      <c r="N256" s="38"/>
      <c r="O256" s="30" t="str">
        <f>IF($L256="","",$L256*IF($N256="",Settings!$J$11,$N256))</f>
        <v/>
      </c>
      <c r="P256" s="30" t="str">
        <f t="shared" si="15"/>
        <v/>
      </c>
      <c r="Q256" s="31"/>
      <c r="R256" s="37"/>
      <c r="S256" s="30" t="str">
        <f>IF($L256="","",IF($Q256&lt;&gt;"Yes",0,IF($R256&lt;&gt;"",$R256,ROUND($L256*Settings!$J$4,2))))</f>
        <v/>
      </c>
      <c r="T256" s="40" t="str">
        <f t="shared" si="3"/>
        <v/>
      </c>
      <c r="U256" s="30" t="str">
        <f t="shared" si="4"/>
        <v/>
      </c>
      <c r="V256" s="37"/>
      <c r="W256" s="31"/>
      <c r="X256" s="34"/>
      <c r="Y256" s="37"/>
      <c r="Z256" s="31"/>
      <c r="AA256" s="34"/>
      <c r="AB256" s="37"/>
      <c r="AC256" s="31"/>
      <c r="AD256" s="34"/>
      <c r="AE256" s="30" t="str">
        <f t="shared" si="5"/>
        <v/>
      </c>
      <c r="AF256" s="41" t="str">
        <f t="shared" si="6"/>
        <v/>
      </c>
      <c r="AG256" s="40" t="str">
        <f t="shared" si="13"/>
        <v/>
      </c>
      <c r="AH256" s="32" t="str">
        <f>IF(OR($L256="",$H256="",$AG256&lt;=0),"",MAX(0,TODAY()-($H256+Settings!$J$6)))</f>
        <v/>
      </c>
      <c r="AI256" s="37"/>
      <c r="AJ256" s="33"/>
      <c r="AK256" s="31"/>
      <c r="AL256" s="31"/>
      <c r="AM256" s="31"/>
      <c r="AN256" s="34"/>
      <c r="AO256" s="44">
        <f t="shared" si="14"/>
        <v>0</v>
      </c>
      <c r="AP256" s="48" t="str">
        <f t="shared" si="9"/>
        <v/>
      </c>
      <c r="AQ256" s="33"/>
      <c r="AR256" s="49" t="str">
        <f t="shared" si="10"/>
        <v/>
      </c>
      <c r="AS256" s="49" t="str">
        <f t="shared" si="11"/>
        <v/>
      </c>
      <c r="AT256" s="32" t="str">
        <f t="shared" si="12"/>
        <v/>
      </c>
    </row>
    <row r="257" ht="18.0" customHeight="1">
      <c r="A257" s="31"/>
      <c r="B257" s="31"/>
      <c r="C257" s="31"/>
      <c r="D257" s="32" t="str">
        <f>IF($A257="","",IF(COUNT($D$2:D256)=0,Settings!$J$5,MAX($D$2:D256)+1))</f>
        <v/>
      </c>
      <c r="E257" s="33"/>
      <c r="F257" s="34"/>
      <c r="G257" s="34"/>
      <c r="H257" s="34"/>
      <c r="I257" s="31"/>
      <c r="J257" s="31"/>
      <c r="K257" s="31"/>
      <c r="L257" s="37"/>
      <c r="M257" s="30" t="str">
        <f t="shared" si="1"/>
        <v/>
      </c>
      <c r="N257" s="38"/>
      <c r="O257" s="30" t="str">
        <f>IF($L257="","",$L257*IF($N257="",Settings!$J$11,$N257))</f>
        <v/>
      </c>
      <c r="P257" s="30" t="str">
        <f t="shared" si="15"/>
        <v/>
      </c>
      <c r="Q257" s="31"/>
      <c r="R257" s="37"/>
      <c r="S257" s="30" t="str">
        <f>IF($L257="","",IF($Q257&lt;&gt;"Yes",0,IF($R257&lt;&gt;"",$R257,ROUND($L257*Settings!$J$4,2))))</f>
        <v/>
      </c>
      <c r="T257" s="40" t="str">
        <f t="shared" si="3"/>
        <v/>
      </c>
      <c r="U257" s="30" t="str">
        <f t="shared" si="4"/>
        <v/>
      </c>
      <c r="V257" s="37"/>
      <c r="W257" s="31"/>
      <c r="X257" s="34"/>
      <c r="Y257" s="37"/>
      <c r="Z257" s="31"/>
      <c r="AA257" s="34"/>
      <c r="AB257" s="37"/>
      <c r="AC257" s="31"/>
      <c r="AD257" s="34"/>
      <c r="AE257" s="30" t="str">
        <f t="shared" si="5"/>
        <v/>
      </c>
      <c r="AF257" s="41" t="str">
        <f t="shared" si="6"/>
        <v/>
      </c>
      <c r="AG257" s="40" t="str">
        <f t="shared" si="13"/>
        <v/>
      </c>
      <c r="AH257" s="32" t="str">
        <f>IF(OR($L257="",$H257="",$AG257&lt;=0),"",MAX(0,TODAY()-($H257+Settings!$J$6)))</f>
        <v/>
      </c>
      <c r="AI257" s="37"/>
      <c r="AJ257" s="33"/>
      <c r="AK257" s="31"/>
      <c r="AL257" s="31"/>
      <c r="AM257" s="31"/>
      <c r="AN257" s="34"/>
      <c r="AO257" s="44">
        <f t="shared" si="14"/>
        <v>0</v>
      </c>
      <c r="AP257" s="48" t="str">
        <f t="shared" si="9"/>
        <v/>
      </c>
      <c r="AQ257" s="33"/>
      <c r="AR257" s="49" t="str">
        <f t="shared" si="10"/>
        <v/>
      </c>
      <c r="AS257" s="49" t="str">
        <f t="shared" si="11"/>
        <v/>
      </c>
      <c r="AT257" s="32" t="str">
        <f t="shared" si="12"/>
        <v/>
      </c>
    </row>
    <row r="258" ht="18.0" customHeight="1">
      <c r="A258" s="31"/>
      <c r="B258" s="31"/>
      <c r="C258" s="31"/>
      <c r="D258" s="32" t="str">
        <f>IF($A258="","",IF(COUNT($D$2:D257)=0,Settings!$J$5,MAX($D$2:D257)+1))</f>
        <v/>
      </c>
      <c r="E258" s="33"/>
      <c r="F258" s="34"/>
      <c r="G258" s="34"/>
      <c r="H258" s="34"/>
      <c r="I258" s="31"/>
      <c r="J258" s="31"/>
      <c r="K258" s="31"/>
      <c r="L258" s="37"/>
      <c r="M258" s="30" t="str">
        <f t="shared" si="1"/>
        <v/>
      </c>
      <c r="N258" s="38"/>
      <c r="O258" s="30" t="str">
        <f>IF($L258="","",$L258*IF($N258="",Settings!$J$11,$N258))</f>
        <v/>
      </c>
      <c r="P258" s="30" t="str">
        <f t="shared" si="15"/>
        <v/>
      </c>
      <c r="Q258" s="31"/>
      <c r="R258" s="37"/>
      <c r="S258" s="30" t="str">
        <f>IF($L258="","",IF($Q258&lt;&gt;"Yes",0,IF($R258&lt;&gt;"",$R258,ROUND($L258*Settings!$J$4,2))))</f>
        <v/>
      </c>
      <c r="T258" s="40" t="str">
        <f t="shared" si="3"/>
        <v/>
      </c>
      <c r="U258" s="30" t="str">
        <f t="shared" si="4"/>
        <v/>
      </c>
      <c r="V258" s="37"/>
      <c r="W258" s="31"/>
      <c r="X258" s="34"/>
      <c r="Y258" s="37"/>
      <c r="Z258" s="31"/>
      <c r="AA258" s="34"/>
      <c r="AB258" s="37"/>
      <c r="AC258" s="31"/>
      <c r="AD258" s="34"/>
      <c r="AE258" s="30" t="str">
        <f t="shared" si="5"/>
        <v/>
      </c>
      <c r="AF258" s="41" t="str">
        <f t="shared" si="6"/>
        <v/>
      </c>
      <c r="AG258" s="40" t="str">
        <f t="shared" si="13"/>
        <v/>
      </c>
      <c r="AH258" s="32" t="str">
        <f>IF(OR($L258="",$H258="",$AG258&lt;=0),"",MAX(0,TODAY()-($H258+Settings!$J$6)))</f>
        <v/>
      </c>
      <c r="AI258" s="37"/>
      <c r="AJ258" s="33"/>
      <c r="AK258" s="31"/>
      <c r="AL258" s="31"/>
      <c r="AM258" s="31"/>
      <c r="AN258" s="34"/>
      <c r="AO258" s="44">
        <f t="shared" si="14"/>
        <v>0</v>
      </c>
      <c r="AP258" s="48" t="str">
        <f t="shared" si="9"/>
        <v/>
      </c>
      <c r="AQ258" s="33"/>
      <c r="AR258" s="49" t="str">
        <f t="shared" si="10"/>
        <v/>
      </c>
      <c r="AS258" s="49" t="str">
        <f t="shared" si="11"/>
        <v/>
      </c>
      <c r="AT258" s="32" t="str">
        <f t="shared" si="12"/>
        <v/>
      </c>
    </row>
    <row r="259" ht="18.0" customHeight="1">
      <c r="A259" s="31"/>
      <c r="B259" s="31"/>
      <c r="C259" s="31"/>
      <c r="D259" s="32" t="str">
        <f>IF($A259="","",IF(COUNT($D$2:D258)=0,Settings!$J$5,MAX($D$2:D258)+1))</f>
        <v/>
      </c>
      <c r="E259" s="33"/>
      <c r="F259" s="34"/>
      <c r="G259" s="34"/>
      <c r="H259" s="34"/>
      <c r="I259" s="31"/>
      <c r="J259" s="31"/>
      <c r="K259" s="31"/>
      <c r="L259" s="37"/>
      <c r="M259" s="30" t="str">
        <f t="shared" si="1"/>
        <v/>
      </c>
      <c r="N259" s="38"/>
      <c r="O259" s="30" t="str">
        <f>IF($L259="","",$L259*IF($N259="",Settings!$J$11,$N259))</f>
        <v/>
      </c>
      <c r="P259" s="30" t="str">
        <f t="shared" si="15"/>
        <v/>
      </c>
      <c r="Q259" s="31"/>
      <c r="R259" s="37"/>
      <c r="S259" s="30" t="str">
        <f>IF($L259="","",IF($Q259&lt;&gt;"Yes",0,IF($R259&lt;&gt;"",$R259,ROUND($L259*Settings!$J$4,2))))</f>
        <v/>
      </c>
      <c r="T259" s="40" t="str">
        <f t="shared" si="3"/>
        <v/>
      </c>
      <c r="U259" s="30" t="str">
        <f t="shared" si="4"/>
        <v/>
      </c>
      <c r="V259" s="37"/>
      <c r="W259" s="31"/>
      <c r="X259" s="34"/>
      <c r="Y259" s="37"/>
      <c r="Z259" s="31"/>
      <c r="AA259" s="34"/>
      <c r="AB259" s="37"/>
      <c r="AC259" s="31"/>
      <c r="AD259" s="34"/>
      <c r="AE259" s="30" t="str">
        <f t="shared" si="5"/>
        <v/>
      </c>
      <c r="AF259" s="41" t="str">
        <f t="shared" si="6"/>
        <v/>
      </c>
      <c r="AG259" s="40" t="str">
        <f t="shared" si="13"/>
        <v/>
      </c>
      <c r="AH259" s="32" t="str">
        <f>IF(OR($L259="",$H259="",$AG259&lt;=0),"",MAX(0,TODAY()-($H259+Settings!$J$6)))</f>
        <v/>
      </c>
      <c r="AI259" s="37"/>
      <c r="AJ259" s="33"/>
      <c r="AK259" s="31"/>
      <c r="AL259" s="31"/>
      <c r="AM259" s="31"/>
      <c r="AN259" s="34"/>
      <c r="AO259" s="44">
        <f t="shared" si="14"/>
        <v>0</v>
      </c>
      <c r="AP259" s="48" t="str">
        <f t="shared" si="9"/>
        <v/>
      </c>
      <c r="AQ259" s="33"/>
      <c r="AR259" s="49" t="str">
        <f t="shared" si="10"/>
        <v/>
      </c>
      <c r="AS259" s="49" t="str">
        <f t="shared" si="11"/>
        <v/>
      </c>
      <c r="AT259" s="32" t="str">
        <f t="shared" si="12"/>
        <v/>
      </c>
    </row>
    <row r="260" ht="18.0" customHeight="1">
      <c r="A260" s="31"/>
      <c r="B260" s="31"/>
      <c r="C260" s="31"/>
      <c r="D260" s="32" t="str">
        <f>IF($A260="","",IF(COUNT($D$2:D259)=0,Settings!$J$5,MAX($D$2:D259)+1))</f>
        <v/>
      </c>
      <c r="E260" s="33"/>
      <c r="F260" s="34"/>
      <c r="G260" s="34"/>
      <c r="H260" s="34"/>
      <c r="I260" s="31"/>
      <c r="J260" s="31"/>
      <c r="K260" s="31"/>
      <c r="L260" s="37"/>
      <c r="M260" s="30" t="str">
        <f t="shared" si="1"/>
        <v/>
      </c>
      <c r="N260" s="38"/>
      <c r="O260" s="30" t="str">
        <f>IF($L260="","",$L260*IF($N260="",Settings!$J$11,$N260))</f>
        <v/>
      </c>
      <c r="P260" s="30" t="str">
        <f t="shared" si="15"/>
        <v/>
      </c>
      <c r="Q260" s="31"/>
      <c r="R260" s="37"/>
      <c r="S260" s="30" t="str">
        <f>IF($L260="","",IF($Q260&lt;&gt;"Yes",0,IF($R260&lt;&gt;"",$R260,ROUND($L260*Settings!$J$4,2))))</f>
        <v/>
      </c>
      <c r="T260" s="40" t="str">
        <f t="shared" si="3"/>
        <v/>
      </c>
      <c r="U260" s="30" t="str">
        <f t="shared" si="4"/>
        <v/>
      </c>
      <c r="V260" s="37"/>
      <c r="W260" s="31"/>
      <c r="X260" s="34"/>
      <c r="Y260" s="37"/>
      <c r="Z260" s="31"/>
      <c r="AA260" s="34"/>
      <c r="AB260" s="37"/>
      <c r="AC260" s="31"/>
      <c r="AD260" s="34"/>
      <c r="AE260" s="30" t="str">
        <f t="shared" si="5"/>
        <v/>
      </c>
      <c r="AF260" s="41" t="str">
        <f t="shared" si="6"/>
        <v/>
      </c>
      <c r="AG260" s="40" t="str">
        <f t="shared" si="13"/>
        <v/>
      </c>
      <c r="AH260" s="32" t="str">
        <f>IF(OR($L260="",$H260="",$AG260&lt;=0),"",MAX(0,TODAY()-($H260+Settings!$J$6)))</f>
        <v/>
      </c>
      <c r="AI260" s="37"/>
      <c r="AJ260" s="33"/>
      <c r="AK260" s="31"/>
      <c r="AL260" s="31"/>
      <c r="AM260" s="31"/>
      <c r="AN260" s="34"/>
      <c r="AO260" s="44">
        <f t="shared" si="14"/>
        <v>0</v>
      </c>
      <c r="AP260" s="48" t="str">
        <f t="shared" si="9"/>
        <v/>
      </c>
      <c r="AQ260" s="33"/>
      <c r="AR260" s="49" t="str">
        <f t="shared" si="10"/>
        <v/>
      </c>
      <c r="AS260" s="49" t="str">
        <f t="shared" si="11"/>
        <v/>
      </c>
      <c r="AT260" s="32" t="str">
        <f t="shared" si="12"/>
        <v/>
      </c>
    </row>
    <row r="261" ht="18.0" customHeight="1">
      <c r="A261" s="31"/>
      <c r="B261" s="31"/>
      <c r="C261" s="31"/>
      <c r="D261" s="32" t="str">
        <f>IF($A261="","",IF(COUNT($D$2:D260)=0,Settings!$J$5,MAX($D$2:D260)+1))</f>
        <v/>
      </c>
      <c r="E261" s="33"/>
      <c r="F261" s="34"/>
      <c r="G261" s="34"/>
      <c r="H261" s="34"/>
      <c r="I261" s="31"/>
      <c r="J261" s="31"/>
      <c r="K261" s="31"/>
      <c r="L261" s="37"/>
      <c r="M261" s="30" t="str">
        <f t="shared" si="1"/>
        <v/>
      </c>
      <c r="N261" s="38"/>
      <c r="O261" s="30" t="str">
        <f>IF($L261="","",$L261*IF($N261="",Settings!$J$11,$N261))</f>
        <v/>
      </c>
      <c r="P261" s="30" t="str">
        <f t="shared" si="15"/>
        <v/>
      </c>
      <c r="Q261" s="31"/>
      <c r="R261" s="37"/>
      <c r="S261" s="30" t="str">
        <f>IF($L261="","",IF($Q261&lt;&gt;"Yes",0,IF($R261&lt;&gt;"",$R261,ROUND($L261*Settings!$J$4,2))))</f>
        <v/>
      </c>
      <c r="T261" s="40" t="str">
        <f t="shared" si="3"/>
        <v/>
      </c>
      <c r="U261" s="30" t="str">
        <f t="shared" si="4"/>
        <v/>
      </c>
      <c r="V261" s="37"/>
      <c r="W261" s="31"/>
      <c r="X261" s="34"/>
      <c r="Y261" s="37"/>
      <c r="Z261" s="31"/>
      <c r="AA261" s="34"/>
      <c r="AB261" s="37"/>
      <c r="AC261" s="31"/>
      <c r="AD261" s="34"/>
      <c r="AE261" s="30" t="str">
        <f t="shared" si="5"/>
        <v/>
      </c>
      <c r="AF261" s="41" t="str">
        <f t="shared" si="6"/>
        <v/>
      </c>
      <c r="AG261" s="40" t="str">
        <f t="shared" si="13"/>
        <v/>
      </c>
      <c r="AH261" s="32" t="str">
        <f>IF(OR($L261="",$H261="",$AG261&lt;=0),"",MAX(0,TODAY()-($H261+Settings!$J$6)))</f>
        <v/>
      </c>
      <c r="AI261" s="37"/>
      <c r="AJ261" s="33"/>
      <c r="AK261" s="31"/>
      <c r="AL261" s="31"/>
      <c r="AM261" s="31"/>
      <c r="AN261" s="34"/>
      <c r="AO261" s="44">
        <f t="shared" si="14"/>
        <v>0</v>
      </c>
      <c r="AP261" s="48" t="str">
        <f t="shared" si="9"/>
        <v/>
      </c>
      <c r="AQ261" s="33"/>
      <c r="AR261" s="49" t="str">
        <f t="shared" si="10"/>
        <v/>
      </c>
      <c r="AS261" s="49" t="str">
        <f t="shared" si="11"/>
        <v/>
      </c>
      <c r="AT261" s="32" t="str">
        <f t="shared" si="12"/>
        <v/>
      </c>
    </row>
    <row r="262" ht="18.0" customHeight="1">
      <c r="A262" s="31"/>
      <c r="B262" s="31"/>
      <c r="C262" s="31"/>
      <c r="D262" s="32" t="str">
        <f>IF($A262="","",IF(COUNT($D$2:D261)=0,Settings!$J$5,MAX($D$2:D261)+1))</f>
        <v/>
      </c>
      <c r="E262" s="33"/>
      <c r="F262" s="34"/>
      <c r="G262" s="34"/>
      <c r="H262" s="34"/>
      <c r="I262" s="31"/>
      <c r="J262" s="31"/>
      <c r="K262" s="31"/>
      <c r="L262" s="37"/>
      <c r="M262" s="30" t="str">
        <f t="shared" si="1"/>
        <v/>
      </c>
      <c r="N262" s="38"/>
      <c r="O262" s="30" t="str">
        <f>IF($L262="","",$L262*IF($N262="",Settings!$J$11,$N262))</f>
        <v/>
      </c>
      <c r="P262" s="30" t="str">
        <f t="shared" si="15"/>
        <v/>
      </c>
      <c r="Q262" s="31"/>
      <c r="R262" s="37"/>
      <c r="S262" s="30" t="str">
        <f>IF($L262="","",IF($Q262&lt;&gt;"Yes",0,IF($R262&lt;&gt;"",$R262,ROUND($L262*Settings!$J$4,2))))</f>
        <v/>
      </c>
      <c r="T262" s="40" t="str">
        <f t="shared" si="3"/>
        <v/>
      </c>
      <c r="U262" s="30" t="str">
        <f t="shared" si="4"/>
        <v/>
      </c>
      <c r="V262" s="37"/>
      <c r="W262" s="31"/>
      <c r="X262" s="34"/>
      <c r="Y262" s="37"/>
      <c r="Z262" s="31"/>
      <c r="AA262" s="34"/>
      <c r="AB262" s="37"/>
      <c r="AC262" s="31"/>
      <c r="AD262" s="34"/>
      <c r="AE262" s="30" t="str">
        <f t="shared" si="5"/>
        <v/>
      </c>
      <c r="AF262" s="41" t="str">
        <f t="shared" si="6"/>
        <v/>
      </c>
      <c r="AG262" s="40" t="str">
        <f t="shared" si="13"/>
        <v/>
      </c>
      <c r="AH262" s="32" t="str">
        <f>IF(OR($L262="",$H262="",$AG262&lt;=0),"",MAX(0,TODAY()-($H262+Settings!$J$6)))</f>
        <v/>
      </c>
      <c r="AI262" s="37"/>
      <c r="AJ262" s="33"/>
      <c r="AK262" s="31"/>
      <c r="AL262" s="31"/>
      <c r="AM262" s="31"/>
      <c r="AN262" s="34"/>
      <c r="AO262" s="44">
        <f t="shared" si="14"/>
        <v>0</v>
      </c>
      <c r="AP262" s="48" t="str">
        <f t="shared" si="9"/>
        <v/>
      </c>
      <c r="AQ262" s="33"/>
      <c r="AR262" s="49" t="str">
        <f t="shared" si="10"/>
        <v/>
      </c>
      <c r="AS262" s="49" t="str">
        <f t="shared" si="11"/>
        <v/>
      </c>
      <c r="AT262" s="32" t="str">
        <f t="shared" si="12"/>
        <v/>
      </c>
    </row>
    <row r="263" ht="18.0" customHeight="1">
      <c r="A263" s="31"/>
      <c r="B263" s="31"/>
      <c r="C263" s="31"/>
      <c r="D263" s="32" t="str">
        <f>IF($A263="","",IF(COUNT($D$2:D262)=0,Settings!$J$5,MAX($D$2:D262)+1))</f>
        <v/>
      </c>
      <c r="E263" s="33"/>
      <c r="F263" s="34"/>
      <c r="G263" s="34"/>
      <c r="H263" s="34"/>
      <c r="I263" s="31"/>
      <c r="J263" s="31"/>
      <c r="K263" s="31"/>
      <c r="L263" s="37"/>
      <c r="M263" s="30" t="str">
        <f t="shared" si="1"/>
        <v/>
      </c>
      <c r="N263" s="38"/>
      <c r="O263" s="30" t="str">
        <f>IF($L263="","",$L263*IF($N263="",Settings!$J$11,$N263))</f>
        <v/>
      </c>
      <c r="P263" s="30" t="str">
        <f t="shared" si="15"/>
        <v/>
      </c>
      <c r="Q263" s="31"/>
      <c r="R263" s="37"/>
      <c r="S263" s="30" t="str">
        <f>IF($L263="","",IF($Q263&lt;&gt;"Yes",0,IF($R263&lt;&gt;"",$R263,ROUND($L263*Settings!$J$4,2))))</f>
        <v/>
      </c>
      <c r="T263" s="40" t="str">
        <f t="shared" si="3"/>
        <v/>
      </c>
      <c r="U263" s="30" t="str">
        <f t="shared" si="4"/>
        <v/>
      </c>
      <c r="V263" s="37"/>
      <c r="W263" s="31"/>
      <c r="X263" s="34"/>
      <c r="Y263" s="37"/>
      <c r="Z263" s="31"/>
      <c r="AA263" s="34"/>
      <c r="AB263" s="37"/>
      <c r="AC263" s="31"/>
      <c r="AD263" s="34"/>
      <c r="AE263" s="30" t="str">
        <f t="shared" si="5"/>
        <v/>
      </c>
      <c r="AF263" s="41" t="str">
        <f t="shared" si="6"/>
        <v/>
      </c>
      <c r="AG263" s="40" t="str">
        <f t="shared" si="13"/>
        <v/>
      </c>
      <c r="AH263" s="32" t="str">
        <f>IF(OR($L263="",$H263="",$AG263&lt;=0),"",MAX(0,TODAY()-($H263+Settings!$J$6)))</f>
        <v/>
      </c>
      <c r="AI263" s="37"/>
      <c r="AJ263" s="33"/>
      <c r="AK263" s="31"/>
      <c r="AL263" s="31"/>
      <c r="AM263" s="31"/>
      <c r="AN263" s="34"/>
      <c r="AO263" s="44">
        <f t="shared" si="14"/>
        <v>0</v>
      </c>
      <c r="AP263" s="48" t="str">
        <f t="shared" si="9"/>
        <v/>
      </c>
      <c r="AQ263" s="33"/>
      <c r="AR263" s="49" t="str">
        <f t="shared" si="10"/>
        <v/>
      </c>
      <c r="AS263" s="49" t="str">
        <f t="shared" si="11"/>
        <v/>
      </c>
      <c r="AT263" s="32" t="str">
        <f t="shared" si="12"/>
        <v/>
      </c>
    </row>
    <row r="264" ht="18.0" customHeight="1">
      <c r="A264" s="31"/>
      <c r="B264" s="31"/>
      <c r="C264" s="31"/>
      <c r="D264" s="32" t="str">
        <f>IF($A264="","",IF(COUNT($D$2:D263)=0,Settings!$J$5,MAX($D$2:D263)+1))</f>
        <v/>
      </c>
      <c r="E264" s="33"/>
      <c r="F264" s="34"/>
      <c r="G264" s="34"/>
      <c r="H264" s="34"/>
      <c r="I264" s="31"/>
      <c r="J264" s="31"/>
      <c r="K264" s="31"/>
      <c r="L264" s="37"/>
      <c r="M264" s="30" t="str">
        <f t="shared" si="1"/>
        <v/>
      </c>
      <c r="N264" s="38"/>
      <c r="O264" s="30" t="str">
        <f>IF($L264="","",$L264*IF($N264="",Settings!$J$11,$N264))</f>
        <v/>
      </c>
      <c r="P264" s="30" t="str">
        <f t="shared" si="15"/>
        <v/>
      </c>
      <c r="Q264" s="31"/>
      <c r="R264" s="37"/>
      <c r="S264" s="30" t="str">
        <f>IF($L264="","",IF($Q264&lt;&gt;"Yes",0,IF($R264&lt;&gt;"",$R264,ROUND($L264*Settings!$J$4,2))))</f>
        <v/>
      </c>
      <c r="T264" s="40" t="str">
        <f t="shared" si="3"/>
        <v/>
      </c>
      <c r="U264" s="30" t="str">
        <f t="shared" si="4"/>
        <v/>
      </c>
      <c r="V264" s="37"/>
      <c r="W264" s="31"/>
      <c r="X264" s="34"/>
      <c r="Y264" s="37"/>
      <c r="Z264" s="31"/>
      <c r="AA264" s="34"/>
      <c r="AB264" s="37"/>
      <c r="AC264" s="31"/>
      <c r="AD264" s="34"/>
      <c r="AE264" s="30" t="str">
        <f t="shared" si="5"/>
        <v/>
      </c>
      <c r="AF264" s="41" t="str">
        <f t="shared" si="6"/>
        <v/>
      </c>
      <c r="AG264" s="40" t="str">
        <f t="shared" si="13"/>
        <v/>
      </c>
      <c r="AH264" s="32" t="str">
        <f>IF(OR($L264="",$H264="",$AG264&lt;=0),"",MAX(0,TODAY()-($H264+Settings!$J$6)))</f>
        <v/>
      </c>
      <c r="AI264" s="37"/>
      <c r="AJ264" s="33"/>
      <c r="AK264" s="31"/>
      <c r="AL264" s="31"/>
      <c r="AM264" s="31"/>
      <c r="AN264" s="34"/>
      <c r="AO264" s="44">
        <f t="shared" si="14"/>
        <v>0</v>
      </c>
      <c r="AP264" s="48" t="str">
        <f t="shared" si="9"/>
        <v/>
      </c>
      <c r="AQ264" s="33"/>
      <c r="AR264" s="49" t="str">
        <f t="shared" si="10"/>
        <v/>
      </c>
      <c r="AS264" s="49" t="str">
        <f t="shared" si="11"/>
        <v/>
      </c>
      <c r="AT264" s="32" t="str">
        <f t="shared" si="12"/>
        <v/>
      </c>
    </row>
    <row r="265" ht="18.0" customHeight="1">
      <c r="A265" s="31"/>
      <c r="B265" s="31"/>
      <c r="C265" s="31"/>
      <c r="D265" s="32" t="str">
        <f>IF($A265="","",IF(COUNT($D$2:D264)=0,Settings!$J$5,MAX($D$2:D264)+1))</f>
        <v/>
      </c>
      <c r="E265" s="33"/>
      <c r="F265" s="34"/>
      <c r="G265" s="34"/>
      <c r="H265" s="34"/>
      <c r="I265" s="31"/>
      <c r="J265" s="31"/>
      <c r="K265" s="31"/>
      <c r="L265" s="37"/>
      <c r="M265" s="30" t="str">
        <f t="shared" si="1"/>
        <v/>
      </c>
      <c r="N265" s="38"/>
      <c r="O265" s="30" t="str">
        <f>IF($L265="","",$L265*IF($N265="",Settings!$J$11,$N265))</f>
        <v/>
      </c>
      <c r="P265" s="30" t="str">
        <f t="shared" si="15"/>
        <v/>
      </c>
      <c r="Q265" s="31"/>
      <c r="R265" s="37"/>
      <c r="S265" s="30" t="str">
        <f>IF($L265="","",IF($Q265&lt;&gt;"Yes",0,IF($R265&lt;&gt;"",$R265,ROUND($L265*Settings!$J$4,2))))</f>
        <v/>
      </c>
      <c r="T265" s="40" t="str">
        <f t="shared" si="3"/>
        <v/>
      </c>
      <c r="U265" s="30" t="str">
        <f t="shared" si="4"/>
        <v/>
      </c>
      <c r="V265" s="37"/>
      <c r="W265" s="31"/>
      <c r="X265" s="34"/>
      <c r="Y265" s="37"/>
      <c r="Z265" s="31"/>
      <c r="AA265" s="34"/>
      <c r="AB265" s="37"/>
      <c r="AC265" s="31"/>
      <c r="AD265" s="34"/>
      <c r="AE265" s="30" t="str">
        <f t="shared" si="5"/>
        <v/>
      </c>
      <c r="AF265" s="41" t="str">
        <f t="shared" si="6"/>
        <v/>
      </c>
      <c r="AG265" s="40" t="str">
        <f t="shared" si="13"/>
        <v/>
      </c>
      <c r="AH265" s="32" t="str">
        <f>IF(OR($L265="",$H265="",$AG265&lt;=0),"",MAX(0,TODAY()-($H265+Settings!$J$6)))</f>
        <v/>
      </c>
      <c r="AI265" s="37"/>
      <c r="AJ265" s="33"/>
      <c r="AK265" s="31"/>
      <c r="AL265" s="31"/>
      <c r="AM265" s="31"/>
      <c r="AN265" s="34"/>
      <c r="AO265" s="44">
        <f t="shared" si="14"/>
        <v>0</v>
      </c>
      <c r="AP265" s="48" t="str">
        <f t="shared" si="9"/>
        <v/>
      </c>
      <c r="AQ265" s="33"/>
      <c r="AR265" s="49" t="str">
        <f t="shared" si="10"/>
        <v/>
      </c>
      <c r="AS265" s="49" t="str">
        <f t="shared" si="11"/>
        <v/>
      </c>
      <c r="AT265" s="32" t="str">
        <f t="shared" si="12"/>
        <v/>
      </c>
    </row>
    <row r="266" ht="18.0" customHeight="1">
      <c r="A266" s="31"/>
      <c r="B266" s="31"/>
      <c r="C266" s="31"/>
      <c r="D266" s="32" t="str">
        <f>IF($A266="","",IF(COUNT($D$2:D265)=0,Settings!$J$5,MAX($D$2:D265)+1))</f>
        <v/>
      </c>
      <c r="E266" s="33"/>
      <c r="F266" s="34"/>
      <c r="G266" s="34"/>
      <c r="H266" s="34"/>
      <c r="I266" s="31"/>
      <c r="J266" s="31"/>
      <c r="K266" s="31"/>
      <c r="L266" s="37"/>
      <c r="M266" s="30" t="str">
        <f t="shared" si="1"/>
        <v/>
      </c>
      <c r="N266" s="38"/>
      <c r="O266" s="30" t="str">
        <f>IF($L266="","",$L266*IF($N266="",Settings!$J$11,$N266))</f>
        <v/>
      </c>
      <c r="P266" s="30" t="str">
        <f t="shared" si="15"/>
        <v/>
      </c>
      <c r="Q266" s="31"/>
      <c r="R266" s="37"/>
      <c r="S266" s="30" t="str">
        <f>IF($L266="","",IF($Q266&lt;&gt;"Yes",0,IF($R266&lt;&gt;"",$R266,ROUND($L266*Settings!$J$4,2))))</f>
        <v/>
      </c>
      <c r="T266" s="40" t="str">
        <f t="shared" si="3"/>
        <v/>
      </c>
      <c r="U266" s="30" t="str">
        <f t="shared" si="4"/>
        <v/>
      </c>
      <c r="V266" s="37"/>
      <c r="W266" s="31"/>
      <c r="X266" s="34"/>
      <c r="Y266" s="37"/>
      <c r="Z266" s="31"/>
      <c r="AA266" s="34"/>
      <c r="AB266" s="37"/>
      <c r="AC266" s="31"/>
      <c r="AD266" s="34"/>
      <c r="AE266" s="30" t="str">
        <f t="shared" si="5"/>
        <v/>
      </c>
      <c r="AF266" s="41" t="str">
        <f t="shared" si="6"/>
        <v/>
      </c>
      <c r="AG266" s="40" t="str">
        <f t="shared" si="13"/>
        <v/>
      </c>
      <c r="AH266" s="32" t="str">
        <f>IF(OR($L266="",$H266="",$AG266&lt;=0),"",MAX(0,TODAY()-($H266+Settings!$J$6)))</f>
        <v/>
      </c>
      <c r="AI266" s="37"/>
      <c r="AJ266" s="33"/>
      <c r="AK266" s="31"/>
      <c r="AL266" s="31"/>
      <c r="AM266" s="31"/>
      <c r="AN266" s="34"/>
      <c r="AO266" s="44">
        <f t="shared" si="14"/>
        <v>0</v>
      </c>
      <c r="AP266" s="48" t="str">
        <f t="shared" si="9"/>
        <v/>
      </c>
      <c r="AQ266" s="33"/>
      <c r="AR266" s="49" t="str">
        <f t="shared" si="10"/>
        <v/>
      </c>
      <c r="AS266" s="49" t="str">
        <f t="shared" si="11"/>
        <v/>
      </c>
      <c r="AT266" s="32" t="str">
        <f t="shared" si="12"/>
        <v/>
      </c>
    </row>
    <row r="267" ht="18.0" customHeight="1">
      <c r="A267" s="31"/>
      <c r="B267" s="31"/>
      <c r="C267" s="31"/>
      <c r="D267" s="32" t="str">
        <f>IF($A267="","",IF(COUNT($D$2:D266)=0,Settings!$J$5,MAX($D$2:D266)+1))</f>
        <v/>
      </c>
      <c r="E267" s="33"/>
      <c r="F267" s="34"/>
      <c r="G267" s="34"/>
      <c r="H267" s="34"/>
      <c r="I267" s="31"/>
      <c r="J267" s="31"/>
      <c r="K267" s="31"/>
      <c r="L267" s="37"/>
      <c r="M267" s="30" t="str">
        <f t="shared" si="1"/>
        <v/>
      </c>
      <c r="N267" s="38"/>
      <c r="O267" s="30" t="str">
        <f>IF($L267="","",$L267*IF($N267="",Settings!$J$11,$N267))</f>
        <v/>
      </c>
      <c r="P267" s="30" t="str">
        <f t="shared" si="15"/>
        <v/>
      </c>
      <c r="Q267" s="31"/>
      <c r="R267" s="37"/>
      <c r="S267" s="30" t="str">
        <f>IF($L267="","",IF($Q267&lt;&gt;"Yes",0,IF($R267&lt;&gt;"",$R267,ROUND($L267*Settings!$J$4,2))))</f>
        <v/>
      </c>
      <c r="T267" s="40" t="str">
        <f t="shared" si="3"/>
        <v/>
      </c>
      <c r="U267" s="30" t="str">
        <f t="shared" si="4"/>
        <v/>
      </c>
      <c r="V267" s="37"/>
      <c r="W267" s="31"/>
      <c r="X267" s="34"/>
      <c r="Y267" s="37"/>
      <c r="Z267" s="31"/>
      <c r="AA267" s="34"/>
      <c r="AB267" s="37"/>
      <c r="AC267" s="31"/>
      <c r="AD267" s="34"/>
      <c r="AE267" s="30" t="str">
        <f t="shared" si="5"/>
        <v/>
      </c>
      <c r="AF267" s="41" t="str">
        <f t="shared" si="6"/>
        <v/>
      </c>
      <c r="AG267" s="40" t="str">
        <f t="shared" si="13"/>
        <v/>
      </c>
      <c r="AH267" s="32" t="str">
        <f>IF(OR($L267="",$H267="",$AG267&lt;=0),"",MAX(0,TODAY()-($H267+Settings!$J$6)))</f>
        <v/>
      </c>
      <c r="AI267" s="37"/>
      <c r="AJ267" s="33"/>
      <c r="AK267" s="31"/>
      <c r="AL267" s="31"/>
      <c r="AM267" s="31"/>
      <c r="AN267" s="34"/>
      <c r="AO267" s="44">
        <f t="shared" si="14"/>
        <v>0</v>
      </c>
      <c r="AP267" s="48" t="str">
        <f t="shared" si="9"/>
        <v/>
      </c>
      <c r="AQ267" s="33"/>
      <c r="AR267" s="49" t="str">
        <f t="shared" si="10"/>
        <v/>
      </c>
      <c r="AS267" s="49" t="str">
        <f t="shared" si="11"/>
        <v/>
      </c>
      <c r="AT267" s="32" t="str">
        <f t="shared" si="12"/>
        <v/>
      </c>
    </row>
    <row r="268" ht="18.0" customHeight="1">
      <c r="A268" s="31"/>
      <c r="B268" s="31"/>
      <c r="C268" s="31"/>
      <c r="D268" s="32" t="str">
        <f>IF($A268="","",IF(COUNT($D$2:D267)=0,Settings!$J$5,MAX($D$2:D267)+1))</f>
        <v/>
      </c>
      <c r="E268" s="33"/>
      <c r="F268" s="34"/>
      <c r="G268" s="34"/>
      <c r="H268" s="34"/>
      <c r="I268" s="31"/>
      <c r="J268" s="31"/>
      <c r="K268" s="31"/>
      <c r="L268" s="37"/>
      <c r="M268" s="30" t="str">
        <f t="shared" si="1"/>
        <v/>
      </c>
      <c r="N268" s="38"/>
      <c r="O268" s="30" t="str">
        <f>IF($L268="","",$L268*IF($N268="",Settings!$J$11,$N268))</f>
        <v/>
      </c>
      <c r="P268" s="30" t="str">
        <f t="shared" si="15"/>
        <v/>
      </c>
      <c r="Q268" s="31"/>
      <c r="R268" s="37"/>
      <c r="S268" s="30" t="str">
        <f>IF($L268="","",IF($Q268&lt;&gt;"Yes",0,IF($R268&lt;&gt;"",$R268,ROUND($L268*Settings!$J$4,2))))</f>
        <v/>
      </c>
      <c r="T268" s="40" t="str">
        <f t="shared" si="3"/>
        <v/>
      </c>
      <c r="U268" s="30" t="str">
        <f t="shared" si="4"/>
        <v/>
      </c>
      <c r="V268" s="37"/>
      <c r="W268" s="31"/>
      <c r="X268" s="34"/>
      <c r="Y268" s="37"/>
      <c r="Z268" s="31"/>
      <c r="AA268" s="34"/>
      <c r="AB268" s="37"/>
      <c r="AC268" s="31"/>
      <c r="AD268" s="34"/>
      <c r="AE268" s="30" t="str">
        <f t="shared" si="5"/>
        <v/>
      </c>
      <c r="AF268" s="41" t="str">
        <f t="shared" si="6"/>
        <v/>
      </c>
      <c r="AG268" s="40" t="str">
        <f t="shared" si="13"/>
        <v/>
      </c>
      <c r="AH268" s="32" t="str">
        <f>IF(OR($L268="",$H268="",$AG268&lt;=0),"",MAX(0,TODAY()-($H268+Settings!$J$6)))</f>
        <v/>
      </c>
      <c r="AI268" s="37"/>
      <c r="AJ268" s="33"/>
      <c r="AK268" s="31"/>
      <c r="AL268" s="31"/>
      <c r="AM268" s="31"/>
      <c r="AN268" s="34"/>
      <c r="AO268" s="44">
        <f t="shared" si="14"/>
        <v>0</v>
      </c>
      <c r="AP268" s="48" t="str">
        <f t="shared" si="9"/>
        <v/>
      </c>
      <c r="AQ268" s="33"/>
      <c r="AR268" s="49" t="str">
        <f t="shared" si="10"/>
        <v/>
      </c>
      <c r="AS268" s="49" t="str">
        <f t="shared" si="11"/>
        <v/>
      </c>
      <c r="AT268" s="32" t="str">
        <f t="shared" si="12"/>
        <v/>
      </c>
    </row>
    <row r="269" ht="18.0" customHeight="1">
      <c r="A269" s="31"/>
      <c r="B269" s="31"/>
      <c r="C269" s="31"/>
      <c r="D269" s="32" t="str">
        <f>IF($A269="","",IF(COUNT($D$2:D268)=0,Settings!$J$5,MAX($D$2:D268)+1))</f>
        <v/>
      </c>
      <c r="E269" s="33"/>
      <c r="F269" s="34"/>
      <c r="G269" s="34"/>
      <c r="H269" s="34"/>
      <c r="I269" s="31"/>
      <c r="J269" s="31"/>
      <c r="K269" s="31"/>
      <c r="L269" s="37"/>
      <c r="M269" s="30" t="str">
        <f t="shared" si="1"/>
        <v/>
      </c>
      <c r="N269" s="38"/>
      <c r="O269" s="30" t="str">
        <f>IF($L269="","",$L269*IF($N269="",Settings!$J$11,$N269))</f>
        <v/>
      </c>
      <c r="P269" s="30" t="str">
        <f t="shared" si="15"/>
        <v/>
      </c>
      <c r="Q269" s="31"/>
      <c r="R269" s="37"/>
      <c r="S269" s="30" t="str">
        <f>IF($L269="","",IF($Q269&lt;&gt;"Yes",0,IF($R269&lt;&gt;"",$R269,ROUND($L269*Settings!$J$4,2))))</f>
        <v/>
      </c>
      <c r="T269" s="40" t="str">
        <f t="shared" si="3"/>
        <v/>
      </c>
      <c r="U269" s="30" t="str">
        <f t="shared" si="4"/>
        <v/>
      </c>
      <c r="V269" s="37"/>
      <c r="W269" s="31"/>
      <c r="X269" s="34"/>
      <c r="Y269" s="37"/>
      <c r="Z269" s="31"/>
      <c r="AA269" s="34"/>
      <c r="AB269" s="37"/>
      <c r="AC269" s="31"/>
      <c r="AD269" s="34"/>
      <c r="AE269" s="30" t="str">
        <f t="shared" si="5"/>
        <v/>
      </c>
      <c r="AF269" s="41" t="str">
        <f t="shared" si="6"/>
        <v/>
      </c>
      <c r="AG269" s="40" t="str">
        <f t="shared" si="13"/>
        <v/>
      </c>
      <c r="AH269" s="32" t="str">
        <f>IF(OR($L269="",$H269="",$AG269&lt;=0),"",MAX(0,TODAY()-($H269+Settings!$J$6)))</f>
        <v/>
      </c>
      <c r="AI269" s="37"/>
      <c r="AJ269" s="33"/>
      <c r="AK269" s="31"/>
      <c r="AL269" s="31"/>
      <c r="AM269" s="31"/>
      <c r="AN269" s="34"/>
      <c r="AO269" s="44">
        <f t="shared" si="14"/>
        <v>0</v>
      </c>
      <c r="AP269" s="48" t="str">
        <f t="shared" si="9"/>
        <v/>
      </c>
      <c r="AQ269" s="33"/>
      <c r="AR269" s="49" t="str">
        <f t="shared" si="10"/>
        <v/>
      </c>
      <c r="AS269" s="49" t="str">
        <f t="shared" si="11"/>
        <v/>
      </c>
      <c r="AT269" s="32" t="str">
        <f t="shared" si="12"/>
        <v/>
      </c>
    </row>
    <row r="270" ht="18.0" customHeight="1">
      <c r="A270" s="31"/>
      <c r="B270" s="31"/>
      <c r="C270" s="31"/>
      <c r="D270" s="32" t="str">
        <f>IF($A270="","",IF(COUNT($D$2:D269)=0,Settings!$J$5,MAX($D$2:D269)+1))</f>
        <v/>
      </c>
      <c r="E270" s="33"/>
      <c r="F270" s="34"/>
      <c r="G270" s="34"/>
      <c r="H270" s="34"/>
      <c r="I270" s="31"/>
      <c r="J270" s="31"/>
      <c r="K270" s="31"/>
      <c r="L270" s="37"/>
      <c r="M270" s="30" t="str">
        <f t="shared" si="1"/>
        <v/>
      </c>
      <c r="N270" s="38"/>
      <c r="O270" s="30" t="str">
        <f>IF($L270="","",$L270*IF($N270="",Settings!$J$11,$N270))</f>
        <v/>
      </c>
      <c r="P270" s="30" t="str">
        <f t="shared" si="15"/>
        <v/>
      </c>
      <c r="Q270" s="31"/>
      <c r="R270" s="37"/>
      <c r="S270" s="30" t="str">
        <f>IF($L270="","",IF($Q270&lt;&gt;"Yes",0,IF($R270&lt;&gt;"",$R270,ROUND($L270*Settings!$J$4,2))))</f>
        <v/>
      </c>
      <c r="T270" s="40" t="str">
        <f t="shared" si="3"/>
        <v/>
      </c>
      <c r="U270" s="30" t="str">
        <f t="shared" si="4"/>
        <v/>
      </c>
      <c r="V270" s="37"/>
      <c r="W270" s="31"/>
      <c r="X270" s="34"/>
      <c r="Y270" s="37"/>
      <c r="Z270" s="31"/>
      <c r="AA270" s="34"/>
      <c r="AB270" s="37"/>
      <c r="AC270" s="31"/>
      <c r="AD270" s="34"/>
      <c r="AE270" s="30" t="str">
        <f t="shared" si="5"/>
        <v/>
      </c>
      <c r="AF270" s="41" t="str">
        <f t="shared" si="6"/>
        <v/>
      </c>
      <c r="AG270" s="40" t="str">
        <f t="shared" si="13"/>
        <v/>
      </c>
      <c r="AH270" s="32" t="str">
        <f>IF(OR($L270="",$H270="",$AG270&lt;=0),"",MAX(0,TODAY()-($H270+Settings!$J$6)))</f>
        <v/>
      </c>
      <c r="AI270" s="37"/>
      <c r="AJ270" s="33"/>
      <c r="AK270" s="31"/>
      <c r="AL270" s="31"/>
      <c r="AM270" s="31"/>
      <c r="AN270" s="34"/>
      <c r="AO270" s="44">
        <f t="shared" si="14"/>
        <v>0</v>
      </c>
      <c r="AP270" s="48" t="str">
        <f t="shared" si="9"/>
        <v/>
      </c>
      <c r="AQ270" s="33"/>
      <c r="AR270" s="49" t="str">
        <f t="shared" si="10"/>
        <v/>
      </c>
      <c r="AS270" s="49" t="str">
        <f t="shared" si="11"/>
        <v/>
      </c>
      <c r="AT270" s="32" t="str">
        <f t="shared" si="12"/>
        <v/>
      </c>
    </row>
    <row r="271" ht="18.0" customHeight="1">
      <c r="A271" s="31"/>
      <c r="B271" s="31"/>
      <c r="C271" s="31"/>
      <c r="D271" s="32" t="str">
        <f>IF($A271="","",IF(COUNT($D$2:D270)=0,Settings!$J$5,MAX($D$2:D270)+1))</f>
        <v/>
      </c>
      <c r="E271" s="33"/>
      <c r="F271" s="34"/>
      <c r="G271" s="34"/>
      <c r="H271" s="34"/>
      <c r="I271" s="31"/>
      <c r="J271" s="31"/>
      <c r="K271" s="31"/>
      <c r="L271" s="37"/>
      <c r="M271" s="30" t="str">
        <f t="shared" si="1"/>
        <v/>
      </c>
      <c r="N271" s="38"/>
      <c r="O271" s="30" t="str">
        <f>IF($L271="","",$L271*IF($N271="",Settings!$J$11,$N271))</f>
        <v/>
      </c>
      <c r="P271" s="30" t="str">
        <f t="shared" si="15"/>
        <v/>
      </c>
      <c r="Q271" s="31"/>
      <c r="R271" s="37"/>
      <c r="S271" s="30" t="str">
        <f>IF($L271="","",IF($Q271&lt;&gt;"Yes",0,IF($R271&lt;&gt;"",$R271,ROUND($L271*Settings!$J$4,2))))</f>
        <v/>
      </c>
      <c r="T271" s="40" t="str">
        <f t="shared" si="3"/>
        <v/>
      </c>
      <c r="U271" s="30" t="str">
        <f t="shared" si="4"/>
        <v/>
      </c>
      <c r="V271" s="37"/>
      <c r="W271" s="31"/>
      <c r="X271" s="34"/>
      <c r="Y271" s="37"/>
      <c r="Z271" s="31"/>
      <c r="AA271" s="34"/>
      <c r="AB271" s="37"/>
      <c r="AC271" s="31"/>
      <c r="AD271" s="34"/>
      <c r="AE271" s="30" t="str">
        <f t="shared" si="5"/>
        <v/>
      </c>
      <c r="AF271" s="41" t="str">
        <f t="shared" si="6"/>
        <v/>
      </c>
      <c r="AG271" s="40" t="str">
        <f t="shared" si="13"/>
        <v/>
      </c>
      <c r="AH271" s="32" t="str">
        <f>IF(OR($L271="",$H271="",$AG271&lt;=0),"",MAX(0,TODAY()-($H271+Settings!$J$6)))</f>
        <v/>
      </c>
      <c r="AI271" s="37"/>
      <c r="AJ271" s="33"/>
      <c r="AK271" s="31"/>
      <c r="AL271" s="31"/>
      <c r="AM271" s="31"/>
      <c r="AN271" s="34"/>
      <c r="AO271" s="44">
        <f t="shared" si="14"/>
        <v>0</v>
      </c>
      <c r="AP271" s="48" t="str">
        <f t="shared" si="9"/>
        <v/>
      </c>
      <c r="AQ271" s="33"/>
      <c r="AR271" s="49" t="str">
        <f t="shared" si="10"/>
        <v/>
      </c>
      <c r="AS271" s="49" t="str">
        <f t="shared" si="11"/>
        <v/>
      </c>
      <c r="AT271" s="32" t="str">
        <f t="shared" si="12"/>
        <v/>
      </c>
    </row>
    <row r="272" ht="18.0" customHeight="1">
      <c r="A272" s="31"/>
      <c r="B272" s="31"/>
      <c r="C272" s="31"/>
      <c r="D272" s="32" t="str">
        <f>IF($A272="","",IF(COUNT($D$2:D271)=0,Settings!$J$5,MAX($D$2:D271)+1))</f>
        <v/>
      </c>
      <c r="E272" s="33"/>
      <c r="F272" s="34"/>
      <c r="G272" s="34"/>
      <c r="H272" s="34"/>
      <c r="I272" s="31"/>
      <c r="J272" s="31"/>
      <c r="K272" s="31"/>
      <c r="L272" s="37"/>
      <c r="M272" s="30" t="str">
        <f t="shared" si="1"/>
        <v/>
      </c>
      <c r="N272" s="38"/>
      <c r="O272" s="30" t="str">
        <f>IF($L272="","",$L272*IF($N272="",Settings!$J$11,$N272))</f>
        <v/>
      </c>
      <c r="P272" s="30" t="str">
        <f t="shared" si="15"/>
        <v/>
      </c>
      <c r="Q272" s="31"/>
      <c r="R272" s="37"/>
      <c r="S272" s="30" t="str">
        <f>IF($L272="","",IF($Q272&lt;&gt;"Yes",0,IF($R272&lt;&gt;"",$R272,ROUND($L272*Settings!$J$4,2))))</f>
        <v/>
      </c>
      <c r="T272" s="40" t="str">
        <f t="shared" si="3"/>
        <v/>
      </c>
      <c r="U272" s="30" t="str">
        <f t="shared" si="4"/>
        <v/>
      </c>
      <c r="V272" s="37"/>
      <c r="W272" s="31"/>
      <c r="X272" s="34"/>
      <c r="Y272" s="37"/>
      <c r="Z272" s="31"/>
      <c r="AA272" s="34"/>
      <c r="AB272" s="37"/>
      <c r="AC272" s="31"/>
      <c r="AD272" s="34"/>
      <c r="AE272" s="30" t="str">
        <f t="shared" si="5"/>
        <v/>
      </c>
      <c r="AF272" s="41" t="str">
        <f t="shared" si="6"/>
        <v/>
      </c>
      <c r="AG272" s="40" t="str">
        <f t="shared" si="13"/>
        <v/>
      </c>
      <c r="AH272" s="32" t="str">
        <f>IF(OR($L272="",$H272="",$AG272&lt;=0),"",MAX(0,TODAY()-($H272+Settings!$J$6)))</f>
        <v/>
      </c>
      <c r="AI272" s="37"/>
      <c r="AJ272" s="33"/>
      <c r="AK272" s="31"/>
      <c r="AL272" s="31"/>
      <c r="AM272" s="31"/>
      <c r="AN272" s="34"/>
      <c r="AO272" s="44">
        <f t="shared" si="14"/>
        <v>0</v>
      </c>
      <c r="AP272" s="48" t="str">
        <f t="shared" si="9"/>
        <v/>
      </c>
      <c r="AQ272" s="33"/>
      <c r="AR272" s="49" t="str">
        <f t="shared" si="10"/>
        <v/>
      </c>
      <c r="AS272" s="49" t="str">
        <f t="shared" si="11"/>
        <v/>
      </c>
      <c r="AT272" s="32" t="str">
        <f t="shared" si="12"/>
        <v/>
      </c>
    </row>
    <row r="273" ht="18.0" customHeight="1">
      <c r="A273" s="31"/>
      <c r="B273" s="31"/>
      <c r="C273" s="31"/>
      <c r="D273" s="32" t="str">
        <f>IF($A273="","",IF(COUNT($D$2:D272)=0,Settings!$J$5,MAX($D$2:D272)+1))</f>
        <v/>
      </c>
      <c r="E273" s="33"/>
      <c r="F273" s="34"/>
      <c r="G273" s="34"/>
      <c r="H273" s="34"/>
      <c r="I273" s="31"/>
      <c r="J273" s="31"/>
      <c r="K273" s="31"/>
      <c r="L273" s="37"/>
      <c r="M273" s="30" t="str">
        <f t="shared" si="1"/>
        <v/>
      </c>
      <c r="N273" s="38"/>
      <c r="O273" s="30" t="str">
        <f>IF($L273="","",$L273*IF($N273="",Settings!$J$11,$N273))</f>
        <v/>
      </c>
      <c r="P273" s="30" t="str">
        <f t="shared" si="15"/>
        <v/>
      </c>
      <c r="Q273" s="31"/>
      <c r="R273" s="37"/>
      <c r="S273" s="30" t="str">
        <f>IF($L273="","",IF($Q273&lt;&gt;"Yes",0,IF($R273&lt;&gt;"",$R273,ROUND($L273*Settings!$J$4,2))))</f>
        <v/>
      </c>
      <c r="T273" s="40" t="str">
        <f t="shared" si="3"/>
        <v/>
      </c>
      <c r="U273" s="30" t="str">
        <f t="shared" si="4"/>
        <v/>
      </c>
      <c r="V273" s="37"/>
      <c r="W273" s="31"/>
      <c r="X273" s="34"/>
      <c r="Y273" s="37"/>
      <c r="Z273" s="31"/>
      <c r="AA273" s="34"/>
      <c r="AB273" s="37"/>
      <c r="AC273" s="31"/>
      <c r="AD273" s="34"/>
      <c r="AE273" s="30" t="str">
        <f t="shared" si="5"/>
        <v/>
      </c>
      <c r="AF273" s="41" t="str">
        <f t="shared" si="6"/>
        <v/>
      </c>
      <c r="AG273" s="40" t="str">
        <f t="shared" si="13"/>
        <v/>
      </c>
      <c r="AH273" s="32" t="str">
        <f>IF(OR($L273="",$H273="",$AG273&lt;=0),"",MAX(0,TODAY()-($H273+Settings!$J$6)))</f>
        <v/>
      </c>
      <c r="AI273" s="37"/>
      <c r="AJ273" s="33"/>
      <c r="AK273" s="31"/>
      <c r="AL273" s="31"/>
      <c r="AM273" s="31"/>
      <c r="AN273" s="34"/>
      <c r="AO273" s="44">
        <f t="shared" si="14"/>
        <v>0</v>
      </c>
      <c r="AP273" s="48" t="str">
        <f t="shared" si="9"/>
        <v/>
      </c>
      <c r="AQ273" s="33"/>
      <c r="AR273" s="49" t="str">
        <f t="shared" si="10"/>
        <v/>
      </c>
      <c r="AS273" s="49" t="str">
        <f t="shared" si="11"/>
        <v/>
      </c>
      <c r="AT273" s="32" t="str">
        <f t="shared" si="12"/>
        <v/>
      </c>
    </row>
    <row r="274" ht="18.0" customHeight="1">
      <c r="A274" s="31"/>
      <c r="B274" s="31"/>
      <c r="C274" s="31"/>
      <c r="D274" s="32" t="str">
        <f>IF($A274="","",IF(COUNT($D$2:D273)=0,Settings!$J$5,MAX($D$2:D273)+1))</f>
        <v/>
      </c>
      <c r="E274" s="33"/>
      <c r="F274" s="34"/>
      <c r="G274" s="34"/>
      <c r="H274" s="34"/>
      <c r="I274" s="31"/>
      <c r="J274" s="31"/>
      <c r="K274" s="31"/>
      <c r="L274" s="37"/>
      <c r="M274" s="30" t="str">
        <f t="shared" si="1"/>
        <v/>
      </c>
      <c r="N274" s="38"/>
      <c r="O274" s="30" t="str">
        <f>IF($L274="","",$L274*IF($N274="",Settings!$J$11,$N274))</f>
        <v/>
      </c>
      <c r="P274" s="30" t="str">
        <f t="shared" si="15"/>
        <v/>
      </c>
      <c r="Q274" s="31"/>
      <c r="R274" s="37"/>
      <c r="S274" s="30" t="str">
        <f>IF($L274="","",IF($Q274&lt;&gt;"Yes",0,IF($R274&lt;&gt;"",$R274,ROUND($L274*Settings!$J$4,2))))</f>
        <v/>
      </c>
      <c r="T274" s="40" t="str">
        <f t="shared" si="3"/>
        <v/>
      </c>
      <c r="U274" s="30" t="str">
        <f t="shared" si="4"/>
        <v/>
      </c>
      <c r="V274" s="37"/>
      <c r="W274" s="31"/>
      <c r="X274" s="34"/>
      <c r="Y274" s="37"/>
      <c r="Z274" s="31"/>
      <c r="AA274" s="34"/>
      <c r="AB274" s="37"/>
      <c r="AC274" s="31"/>
      <c r="AD274" s="34"/>
      <c r="AE274" s="30" t="str">
        <f t="shared" si="5"/>
        <v/>
      </c>
      <c r="AF274" s="41" t="str">
        <f t="shared" si="6"/>
        <v/>
      </c>
      <c r="AG274" s="40" t="str">
        <f t="shared" si="13"/>
        <v/>
      </c>
      <c r="AH274" s="32" t="str">
        <f>IF(OR($L274="",$H274="",$AG274&lt;=0),"",MAX(0,TODAY()-($H274+Settings!$J$6)))</f>
        <v/>
      </c>
      <c r="AI274" s="37"/>
      <c r="AJ274" s="33"/>
      <c r="AK274" s="31"/>
      <c r="AL274" s="31"/>
      <c r="AM274" s="31"/>
      <c r="AN274" s="34"/>
      <c r="AO274" s="44">
        <f t="shared" si="14"/>
        <v>0</v>
      </c>
      <c r="AP274" s="48" t="str">
        <f t="shared" si="9"/>
        <v/>
      </c>
      <c r="AQ274" s="33"/>
      <c r="AR274" s="49" t="str">
        <f t="shared" si="10"/>
        <v/>
      </c>
      <c r="AS274" s="49" t="str">
        <f t="shared" si="11"/>
        <v/>
      </c>
      <c r="AT274" s="32" t="str">
        <f t="shared" si="12"/>
        <v/>
      </c>
    </row>
    <row r="275" ht="18.0" customHeight="1">
      <c r="A275" s="31"/>
      <c r="B275" s="31"/>
      <c r="C275" s="31"/>
      <c r="D275" s="32" t="str">
        <f>IF($A275="","",IF(COUNT($D$2:D274)=0,Settings!$J$5,MAX($D$2:D274)+1))</f>
        <v/>
      </c>
      <c r="E275" s="33"/>
      <c r="F275" s="34"/>
      <c r="G275" s="34"/>
      <c r="H275" s="34"/>
      <c r="I275" s="31"/>
      <c r="J275" s="31"/>
      <c r="K275" s="31"/>
      <c r="L275" s="37"/>
      <c r="M275" s="30" t="str">
        <f t="shared" si="1"/>
        <v/>
      </c>
      <c r="N275" s="38"/>
      <c r="O275" s="30" t="str">
        <f>IF($L275="","",$L275*IF($N275="",Settings!$J$11,$N275))</f>
        <v/>
      </c>
      <c r="P275" s="30" t="str">
        <f t="shared" si="15"/>
        <v/>
      </c>
      <c r="Q275" s="31"/>
      <c r="R275" s="37"/>
      <c r="S275" s="30" t="str">
        <f>IF($L275="","",IF($Q275&lt;&gt;"Yes",0,IF($R275&lt;&gt;"",$R275,ROUND($L275*Settings!$J$4,2))))</f>
        <v/>
      </c>
      <c r="T275" s="40" t="str">
        <f t="shared" si="3"/>
        <v/>
      </c>
      <c r="U275" s="30" t="str">
        <f t="shared" si="4"/>
        <v/>
      </c>
      <c r="V275" s="37"/>
      <c r="W275" s="31"/>
      <c r="X275" s="34"/>
      <c r="Y275" s="37"/>
      <c r="Z275" s="31"/>
      <c r="AA275" s="34"/>
      <c r="AB275" s="37"/>
      <c r="AC275" s="31"/>
      <c r="AD275" s="34"/>
      <c r="AE275" s="30" t="str">
        <f t="shared" si="5"/>
        <v/>
      </c>
      <c r="AF275" s="41" t="str">
        <f t="shared" si="6"/>
        <v/>
      </c>
      <c r="AG275" s="40" t="str">
        <f t="shared" si="13"/>
        <v/>
      </c>
      <c r="AH275" s="32" t="str">
        <f>IF(OR($L275="",$H275="",$AG275&lt;=0),"",MAX(0,TODAY()-($H275+Settings!$J$6)))</f>
        <v/>
      </c>
      <c r="AI275" s="37"/>
      <c r="AJ275" s="33"/>
      <c r="AK275" s="31"/>
      <c r="AL275" s="31"/>
      <c r="AM275" s="31"/>
      <c r="AN275" s="34"/>
      <c r="AO275" s="44">
        <f t="shared" si="14"/>
        <v>0</v>
      </c>
      <c r="AP275" s="48" t="str">
        <f t="shared" si="9"/>
        <v/>
      </c>
      <c r="AQ275" s="33"/>
      <c r="AR275" s="49" t="str">
        <f t="shared" si="10"/>
        <v/>
      </c>
      <c r="AS275" s="49" t="str">
        <f t="shared" si="11"/>
        <v/>
      </c>
      <c r="AT275" s="32" t="str">
        <f t="shared" si="12"/>
        <v/>
      </c>
    </row>
    <row r="276" ht="18.0" customHeight="1">
      <c r="A276" s="31"/>
      <c r="B276" s="31"/>
      <c r="C276" s="31"/>
      <c r="D276" s="32" t="str">
        <f>IF($A276="","",IF(COUNT($D$2:D275)=0,Settings!$J$5,MAX($D$2:D275)+1))</f>
        <v/>
      </c>
      <c r="E276" s="33"/>
      <c r="F276" s="34"/>
      <c r="G276" s="34"/>
      <c r="H276" s="34"/>
      <c r="I276" s="31"/>
      <c r="J276" s="31"/>
      <c r="K276" s="31"/>
      <c r="L276" s="37"/>
      <c r="M276" s="30" t="str">
        <f t="shared" si="1"/>
        <v/>
      </c>
      <c r="N276" s="38"/>
      <c r="O276" s="30" t="str">
        <f>IF($L276="","",$L276*IF($N276="",Settings!$J$11,$N276))</f>
        <v/>
      </c>
      <c r="P276" s="30" t="str">
        <f t="shared" si="15"/>
        <v/>
      </c>
      <c r="Q276" s="31"/>
      <c r="R276" s="37"/>
      <c r="S276" s="30" t="str">
        <f>IF($L276="","",IF($Q276&lt;&gt;"Yes",0,IF($R276&lt;&gt;"",$R276,ROUND($L276*Settings!$J$4,2))))</f>
        <v/>
      </c>
      <c r="T276" s="40" t="str">
        <f t="shared" si="3"/>
        <v/>
      </c>
      <c r="U276" s="30" t="str">
        <f t="shared" si="4"/>
        <v/>
      </c>
      <c r="V276" s="37"/>
      <c r="W276" s="31"/>
      <c r="X276" s="34"/>
      <c r="Y276" s="37"/>
      <c r="Z276" s="31"/>
      <c r="AA276" s="34"/>
      <c r="AB276" s="37"/>
      <c r="AC276" s="31"/>
      <c r="AD276" s="34"/>
      <c r="AE276" s="30" t="str">
        <f t="shared" si="5"/>
        <v/>
      </c>
      <c r="AF276" s="41" t="str">
        <f t="shared" si="6"/>
        <v/>
      </c>
      <c r="AG276" s="40" t="str">
        <f t="shared" si="13"/>
        <v/>
      </c>
      <c r="AH276" s="32" t="str">
        <f>IF(OR($L276="",$H276="",$AG276&lt;=0),"",MAX(0,TODAY()-($H276+Settings!$J$6)))</f>
        <v/>
      </c>
      <c r="AI276" s="37"/>
      <c r="AJ276" s="33"/>
      <c r="AK276" s="31"/>
      <c r="AL276" s="31"/>
      <c r="AM276" s="31"/>
      <c r="AN276" s="34"/>
      <c r="AO276" s="44">
        <f t="shared" si="14"/>
        <v>0</v>
      </c>
      <c r="AP276" s="48" t="str">
        <f t="shared" si="9"/>
        <v/>
      </c>
      <c r="AQ276" s="33"/>
      <c r="AR276" s="49" t="str">
        <f t="shared" si="10"/>
        <v/>
      </c>
      <c r="AS276" s="49" t="str">
        <f t="shared" si="11"/>
        <v/>
      </c>
      <c r="AT276" s="32" t="str">
        <f t="shared" si="12"/>
        <v/>
      </c>
    </row>
    <row r="277" ht="18.0" customHeight="1">
      <c r="A277" s="31"/>
      <c r="B277" s="31"/>
      <c r="C277" s="31"/>
      <c r="D277" s="32" t="str">
        <f>IF($A277="","",IF(COUNT($D$2:D276)=0,Settings!$J$5,MAX($D$2:D276)+1))</f>
        <v/>
      </c>
      <c r="E277" s="33"/>
      <c r="F277" s="34"/>
      <c r="G277" s="34"/>
      <c r="H277" s="34"/>
      <c r="I277" s="31"/>
      <c r="J277" s="31"/>
      <c r="K277" s="31"/>
      <c r="L277" s="37"/>
      <c r="M277" s="30" t="str">
        <f t="shared" si="1"/>
        <v/>
      </c>
      <c r="N277" s="38"/>
      <c r="O277" s="30" t="str">
        <f>IF($L277="","",$L277*IF($N277="",Settings!$J$11,$N277))</f>
        <v/>
      </c>
      <c r="P277" s="30" t="str">
        <f t="shared" si="15"/>
        <v/>
      </c>
      <c r="Q277" s="31"/>
      <c r="R277" s="37"/>
      <c r="S277" s="30" t="str">
        <f>IF($L277="","",IF($Q277&lt;&gt;"Yes",0,IF($R277&lt;&gt;"",$R277,ROUND($L277*Settings!$J$4,2))))</f>
        <v/>
      </c>
      <c r="T277" s="40" t="str">
        <f t="shared" si="3"/>
        <v/>
      </c>
      <c r="U277" s="30" t="str">
        <f t="shared" si="4"/>
        <v/>
      </c>
      <c r="V277" s="37"/>
      <c r="W277" s="31"/>
      <c r="X277" s="34"/>
      <c r="Y277" s="37"/>
      <c r="Z277" s="31"/>
      <c r="AA277" s="34"/>
      <c r="AB277" s="37"/>
      <c r="AC277" s="31"/>
      <c r="AD277" s="34"/>
      <c r="AE277" s="30" t="str">
        <f t="shared" si="5"/>
        <v/>
      </c>
      <c r="AF277" s="41" t="str">
        <f t="shared" si="6"/>
        <v/>
      </c>
      <c r="AG277" s="40" t="str">
        <f t="shared" si="13"/>
        <v/>
      </c>
      <c r="AH277" s="32" t="str">
        <f>IF(OR($L277="",$H277="",$AG277&lt;=0),"",MAX(0,TODAY()-($H277+Settings!$J$6)))</f>
        <v/>
      </c>
      <c r="AI277" s="37"/>
      <c r="AJ277" s="33"/>
      <c r="AK277" s="31"/>
      <c r="AL277" s="31"/>
      <c r="AM277" s="31"/>
      <c r="AN277" s="34"/>
      <c r="AO277" s="44">
        <f t="shared" si="14"/>
        <v>0</v>
      </c>
      <c r="AP277" s="48" t="str">
        <f t="shared" si="9"/>
        <v/>
      </c>
      <c r="AQ277" s="33"/>
      <c r="AR277" s="49" t="str">
        <f t="shared" si="10"/>
        <v/>
      </c>
      <c r="AS277" s="49" t="str">
        <f t="shared" si="11"/>
        <v/>
      </c>
      <c r="AT277" s="32" t="str">
        <f t="shared" si="12"/>
        <v/>
      </c>
    </row>
    <row r="278" ht="18.0" customHeight="1">
      <c r="A278" s="31"/>
      <c r="B278" s="31"/>
      <c r="C278" s="31"/>
      <c r="D278" s="32" t="str">
        <f>IF($A278="","",IF(COUNT($D$2:D277)=0,Settings!$J$5,MAX($D$2:D277)+1))</f>
        <v/>
      </c>
      <c r="E278" s="33"/>
      <c r="F278" s="34"/>
      <c r="G278" s="34"/>
      <c r="H278" s="34"/>
      <c r="I278" s="31"/>
      <c r="J278" s="31"/>
      <c r="K278" s="31"/>
      <c r="L278" s="37"/>
      <c r="M278" s="30" t="str">
        <f t="shared" si="1"/>
        <v/>
      </c>
      <c r="N278" s="38"/>
      <c r="O278" s="30" t="str">
        <f>IF($L278="","",$L278*IF($N278="",Settings!$J$11,$N278))</f>
        <v/>
      </c>
      <c r="P278" s="30" t="str">
        <f t="shared" si="15"/>
        <v/>
      </c>
      <c r="Q278" s="31"/>
      <c r="R278" s="37"/>
      <c r="S278" s="30" t="str">
        <f>IF($L278="","",IF($Q278&lt;&gt;"Yes",0,IF($R278&lt;&gt;"",$R278,ROUND($L278*Settings!$J$4,2))))</f>
        <v/>
      </c>
      <c r="T278" s="40" t="str">
        <f t="shared" si="3"/>
        <v/>
      </c>
      <c r="U278" s="30" t="str">
        <f t="shared" si="4"/>
        <v/>
      </c>
      <c r="V278" s="37"/>
      <c r="W278" s="31"/>
      <c r="X278" s="34"/>
      <c r="Y278" s="37"/>
      <c r="Z278" s="31"/>
      <c r="AA278" s="34"/>
      <c r="AB278" s="37"/>
      <c r="AC278" s="31"/>
      <c r="AD278" s="34"/>
      <c r="AE278" s="30" t="str">
        <f t="shared" si="5"/>
        <v/>
      </c>
      <c r="AF278" s="41" t="str">
        <f t="shared" si="6"/>
        <v/>
      </c>
      <c r="AG278" s="40" t="str">
        <f t="shared" si="13"/>
        <v/>
      </c>
      <c r="AH278" s="32" t="str">
        <f>IF(OR($L278="",$H278="",$AG278&lt;=0),"",MAX(0,TODAY()-($H278+Settings!$J$6)))</f>
        <v/>
      </c>
      <c r="AI278" s="37"/>
      <c r="AJ278" s="33"/>
      <c r="AK278" s="31"/>
      <c r="AL278" s="31"/>
      <c r="AM278" s="31"/>
      <c r="AN278" s="34"/>
      <c r="AO278" s="44">
        <f t="shared" si="14"/>
        <v>0</v>
      </c>
      <c r="AP278" s="48" t="str">
        <f t="shared" si="9"/>
        <v/>
      </c>
      <c r="AQ278" s="33"/>
      <c r="AR278" s="49" t="str">
        <f t="shared" si="10"/>
        <v/>
      </c>
      <c r="AS278" s="49" t="str">
        <f t="shared" si="11"/>
        <v/>
      </c>
      <c r="AT278" s="32" t="str">
        <f t="shared" si="12"/>
        <v/>
      </c>
    </row>
    <row r="279" ht="18.0" customHeight="1">
      <c r="A279" s="31"/>
      <c r="B279" s="31"/>
      <c r="C279" s="31"/>
      <c r="D279" s="32" t="str">
        <f>IF($A279="","",IF(COUNT($D$2:D278)=0,Settings!$J$5,MAX($D$2:D278)+1))</f>
        <v/>
      </c>
      <c r="E279" s="33"/>
      <c r="F279" s="34"/>
      <c r="G279" s="34"/>
      <c r="H279" s="34"/>
      <c r="I279" s="31"/>
      <c r="J279" s="31"/>
      <c r="K279" s="31"/>
      <c r="L279" s="37"/>
      <c r="M279" s="30" t="str">
        <f t="shared" si="1"/>
        <v/>
      </c>
      <c r="N279" s="38"/>
      <c r="O279" s="30" t="str">
        <f>IF($L279="","",$L279*IF($N279="",Settings!$J$11,$N279))</f>
        <v/>
      </c>
      <c r="P279" s="30" t="str">
        <f t="shared" si="15"/>
        <v/>
      </c>
      <c r="Q279" s="31"/>
      <c r="R279" s="37"/>
      <c r="S279" s="30" t="str">
        <f>IF($L279="","",IF($Q279&lt;&gt;"Yes",0,IF($R279&lt;&gt;"",$R279,ROUND($L279*Settings!$J$4,2))))</f>
        <v/>
      </c>
      <c r="T279" s="40" t="str">
        <f t="shared" si="3"/>
        <v/>
      </c>
      <c r="U279" s="30" t="str">
        <f t="shared" si="4"/>
        <v/>
      </c>
      <c r="V279" s="37"/>
      <c r="W279" s="31"/>
      <c r="X279" s="34"/>
      <c r="Y279" s="37"/>
      <c r="Z279" s="31"/>
      <c r="AA279" s="34"/>
      <c r="AB279" s="37"/>
      <c r="AC279" s="31"/>
      <c r="AD279" s="34"/>
      <c r="AE279" s="30" t="str">
        <f t="shared" si="5"/>
        <v/>
      </c>
      <c r="AF279" s="41" t="str">
        <f t="shared" si="6"/>
        <v/>
      </c>
      <c r="AG279" s="40" t="str">
        <f t="shared" si="13"/>
        <v/>
      </c>
      <c r="AH279" s="32" t="str">
        <f>IF(OR($L279="",$H279="",$AG279&lt;=0),"",MAX(0,TODAY()-($H279+Settings!$J$6)))</f>
        <v/>
      </c>
      <c r="AI279" s="37"/>
      <c r="AJ279" s="33"/>
      <c r="AK279" s="31"/>
      <c r="AL279" s="31"/>
      <c r="AM279" s="31"/>
      <c r="AN279" s="34"/>
      <c r="AO279" s="44">
        <f t="shared" si="14"/>
        <v>0</v>
      </c>
      <c r="AP279" s="48" t="str">
        <f t="shared" si="9"/>
        <v/>
      </c>
      <c r="AQ279" s="33"/>
      <c r="AR279" s="49" t="str">
        <f t="shared" si="10"/>
        <v/>
      </c>
      <c r="AS279" s="49" t="str">
        <f t="shared" si="11"/>
        <v/>
      </c>
      <c r="AT279" s="32" t="str">
        <f t="shared" si="12"/>
        <v/>
      </c>
    </row>
    <row r="280" ht="18.0" customHeight="1">
      <c r="A280" s="31"/>
      <c r="B280" s="31"/>
      <c r="C280" s="31"/>
      <c r="D280" s="32" t="str">
        <f>IF($A280="","",IF(COUNT($D$2:D279)=0,Settings!$J$5,MAX($D$2:D279)+1))</f>
        <v/>
      </c>
      <c r="E280" s="33"/>
      <c r="F280" s="34"/>
      <c r="G280" s="34"/>
      <c r="H280" s="34"/>
      <c r="I280" s="31"/>
      <c r="J280" s="31"/>
      <c r="K280" s="31"/>
      <c r="L280" s="37"/>
      <c r="M280" s="30" t="str">
        <f t="shared" si="1"/>
        <v/>
      </c>
      <c r="N280" s="38"/>
      <c r="O280" s="30" t="str">
        <f>IF($L280="","",$L280*IF($N280="",Settings!$J$11,$N280))</f>
        <v/>
      </c>
      <c r="P280" s="30" t="str">
        <f t="shared" si="15"/>
        <v/>
      </c>
      <c r="Q280" s="31"/>
      <c r="R280" s="37"/>
      <c r="S280" s="30" t="str">
        <f>IF($L280="","",IF($Q280&lt;&gt;"Yes",0,IF($R280&lt;&gt;"",$R280,ROUND($L280*Settings!$J$4,2))))</f>
        <v/>
      </c>
      <c r="T280" s="40" t="str">
        <f t="shared" si="3"/>
        <v/>
      </c>
      <c r="U280" s="30" t="str">
        <f t="shared" si="4"/>
        <v/>
      </c>
      <c r="V280" s="37"/>
      <c r="W280" s="31"/>
      <c r="X280" s="34"/>
      <c r="Y280" s="37"/>
      <c r="Z280" s="31"/>
      <c r="AA280" s="34"/>
      <c r="AB280" s="37"/>
      <c r="AC280" s="31"/>
      <c r="AD280" s="34"/>
      <c r="AE280" s="30" t="str">
        <f t="shared" si="5"/>
        <v/>
      </c>
      <c r="AF280" s="41" t="str">
        <f t="shared" si="6"/>
        <v/>
      </c>
      <c r="AG280" s="40" t="str">
        <f t="shared" si="13"/>
        <v/>
      </c>
      <c r="AH280" s="32" t="str">
        <f>IF(OR($L280="",$H280="",$AG280&lt;=0),"",MAX(0,TODAY()-($H280+Settings!$J$6)))</f>
        <v/>
      </c>
      <c r="AI280" s="37"/>
      <c r="AJ280" s="33"/>
      <c r="AK280" s="31"/>
      <c r="AL280" s="31"/>
      <c r="AM280" s="31"/>
      <c r="AN280" s="34"/>
      <c r="AO280" s="44">
        <f t="shared" si="14"/>
        <v>0</v>
      </c>
      <c r="AP280" s="48" t="str">
        <f t="shared" si="9"/>
        <v/>
      </c>
      <c r="AQ280" s="33"/>
      <c r="AR280" s="49" t="str">
        <f t="shared" si="10"/>
        <v/>
      </c>
      <c r="AS280" s="49" t="str">
        <f t="shared" si="11"/>
        <v/>
      </c>
      <c r="AT280" s="32" t="str">
        <f t="shared" si="12"/>
        <v/>
      </c>
    </row>
    <row r="281" ht="18.0" customHeight="1">
      <c r="A281" s="31"/>
      <c r="B281" s="31"/>
      <c r="C281" s="31"/>
      <c r="D281" s="32" t="str">
        <f>IF($A281="","",IF(COUNT($D$2:D280)=0,Settings!$J$5,MAX($D$2:D280)+1))</f>
        <v/>
      </c>
      <c r="E281" s="33"/>
      <c r="F281" s="34"/>
      <c r="G281" s="34"/>
      <c r="H281" s="34"/>
      <c r="I281" s="31"/>
      <c r="J281" s="31"/>
      <c r="K281" s="31"/>
      <c r="L281" s="37"/>
      <c r="M281" s="30" t="str">
        <f t="shared" si="1"/>
        <v/>
      </c>
      <c r="N281" s="38"/>
      <c r="O281" s="30" t="str">
        <f>IF($L281="","",$L281*IF($N281="",Settings!$J$11,$N281))</f>
        <v/>
      </c>
      <c r="P281" s="30" t="str">
        <f t="shared" si="15"/>
        <v/>
      </c>
      <c r="Q281" s="31"/>
      <c r="R281" s="37"/>
      <c r="S281" s="30" t="str">
        <f>IF($L281="","",IF($Q281&lt;&gt;"Yes",0,IF($R281&lt;&gt;"",$R281,ROUND($L281*Settings!$J$4,2))))</f>
        <v/>
      </c>
      <c r="T281" s="40" t="str">
        <f t="shared" si="3"/>
        <v/>
      </c>
      <c r="U281" s="30" t="str">
        <f t="shared" si="4"/>
        <v/>
      </c>
      <c r="V281" s="37"/>
      <c r="W281" s="31"/>
      <c r="X281" s="34"/>
      <c r="Y281" s="37"/>
      <c r="Z281" s="31"/>
      <c r="AA281" s="34"/>
      <c r="AB281" s="37"/>
      <c r="AC281" s="31"/>
      <c r="AD281" s="34"/>
      <c r="AE281" s="30" t="str">
        <f t="shared" si="5"/>
        <v/>
      </c>
      <c r="AF281" s="41" t="str">
        <f t="shared" si="6"/>
        <v/>
      </c>
      <c r="AG281" s="40" t="str">
        <f t="shared" si="13"/>
        <v/>
      </c>
      <c r="AH281" s="32" t="str">
        <f>IF(OR($L281="",$H281="",$AG281&lt;=0),"",MAX(0,TODAY()-($H281+Settings!$J$6)))</f>
        <v/>
      </c>
      <c r="AI281" s="37"/>
      <c r="AJ281" s="33"/>
      <c r="AK281" s="31"/>
      <c r="AL281" s="31"/>
      <c r="AM281" s="31"/>
      <c r="AN281" s="34"/>
      <c r="AO281" s="44">
        <f t="shared" si="14"/>
        <v>0</v>
      </c>
      <c r="AP281" s="48" t="str">
        <f t="shared" si="9"/>
        <v/>
      </c>
      <c r="AQ281" s="33"/>
      <c r="AR281" s="49" t="str">
        <f t="shared" si="10"/>
        <v/>
      </c>
      <c r="AS281" s="49" t="str">
        <f t="shared" si="11"/>
        <v/>
      </c>
      <c r="AT281" s="32" t="str">
        <f t="shared" si="12"/>
        <v/>
      </c>
    </row>
    <row r="282" ht="18.0" customHeight="1">
      <c r="A282" s="31"/>
      <c r="B282" s="31"/>
      <c r="C282" s="31"/>
      <c r="D282" s="32" t="str">
        <f>IF($A282="","",IF(COUNT($D$2:D281)=0,Settings!$J$5,MAX($D$2:D281)+1))</f>
        <v/>
      </c>
      <c r="E282" s="33"/>
      <c r="F282" s="34"/>
      <c r="G282" s="34"/>
      <c r="H282" s="34"/>
      <c r="I282" s="31"/>
      <c r="J282" s="31"/>
      <c r="K282" s="31"/>
      <c r="L282" s="37"/>
      <c r="M282" s="30" t="str">
        <f t="shared" si="1"/>
        <v/>
      </c>
      <c r="N282" s="38"/>
      <c r="O282" s="30" t="str">
        <f>IF($L282="","",$L282*IF($N282="",Settings!$J$11,$N282))</f>
        <v/>
      </c>
      <c r="P282" s="30" t="str">
        <f t="shared" si="15"/>
        <v/>
      </c>
      <c r="Q282" s="31"/>
      <c r="R282" s="37"/>
      <c r="S282" s="30" t="str">
        <f>IF($L282="","",IF($Q282&lt;&gt;"Yes",0,IF($R282&lt;&gt;"",$R282,ROUND($L282*Settings!$J$4,2))))</f>
        <v/>
      </c>
      <c r="T282" s="40" t="str">
        <f t="shared" si="3"/>
        <v/>
      </c>
      <c r="U282" s="30" t="str">
        <f t="shared" si="4"/>
        <v/>
      </c>
      <c r="V282" s="37"/>
      <c r="W282" s="31"/>
      <c r="X282" s="34"/>
      <c r="Y282" s="37"/>
      <c r="Z282" s="31"/>
      <c r="AA282" s="34"/>
      <c r="AB282" s="37"/>
      <c r="AC282" s="31"/>
      <c r="AD282" s="34"/>
      <c r="AE282" s="30" t="str">
        <f t="shared" si="5"/>
        <v/>
      </c>
      <c r="AF282" s="41" t="str">
        <f t="shared" si="6"/>
        <v/>
      </c>
      <c r="AG282" s="40" t="str">
        <f t="shared" si="13"/>
        <v/>
      </c>
      <c r="AH282" s="32" t="str">
        <f>IF(OR($L282="",$H282="",$AG282&lt;=0),"",MAX(0,TODAY()-($H282+Settings!$J$6)))</f>
        <v/>
      </c>
      <c r="AI282" s="37"/>
      <c r="AJ282" s="33"/>
      <c r="AK282" s="31"/>
      <c r="AL282" s="31"/>
      <c r="AM282" s="31"/>
      <c r="AN282" s="34"/>
      <c r="AO282" s="44">
        <f t="shared" si="14"/>
        <v>0</v>
      </c>
      <c r="AP282" s="48" t="str">
        <f t="shared" si="9"/>
        <v/>
      </c>
      <c r="AQ282" s="33"/>
      <c r="AR282" s="49" t="str">
        <f t="shared" si="10"/>
        <v/>
      </c>
      <c r="AS282" s="49" t="str">
        <f t="shared" si="11"/>
        <v/>
      </c>
      <c r="AT282" s="32" t="str">
        <f t="shared" si="12"/>
        <v/>
      </c>
    </row>
    <row r="283" ht="18.0" customHeight="1">
      <c r="A283" s="31"/>
      <c r="B283" s="31"/>
      <c r="C283" s="31"/>
      <c r="D283" s="32" t="str">
        <f>IF($A283="","",IF(COUNT($D$2:D282)=0,Settings!$J$5,MAX($D$2:D282)+1))</f>
        <v/>
      </c>
      <c r="E283" s="33"/>
      <c r="F283" s="34"/>
      <c r="G283" s="34"/>
      <c r="H283" s="34"/>
      <c r="I283" s="31"/>
      <c r="J283" s="31"/>
      <c r="K283" s="31"/>
      <c r="L283" s="37"/>
      <c r="M283" s="30" t="str">
        <f t="shared" si="1"/>
        <v/>
      </c>
      <c r="N283" s="38"/>
      <c r="O283" s="30" t="str">
        <f>IF($L283="","",$L283*IF($N283="",Settings!$J$11,$N283))</f>
        <v/>
      </c>
      <c r="P283" s="30" t="str">
        <f t="shared" si="15"/>
        <v/>
      </c>
      <c r="Q283" s="31"/>
      <c r="R283" s="37"/>
      <c r="S283" s="30" t="str">
        <f>IF($L283="","",IF($Q283&lt;&gt;"Yes",0,IF($R283&lt;&gt;"",$R283,ROUND($L283*Settings!$J$4,2))))</f>
        <v/>
      </c>
      <c r="T283" s="40" t="str">
        <f t="shared" si="3"/>
        <v/>
      </c>
      <c r="U283" s="30" t="str">
        <f t="shared" si="4"/>
        <v/>
      </c>
      <c r="V283" s="37"/>
      <c r="W283" s="31"/>
      <c r="X283" s="34"/>
      <c r="Y283" s="37"/>
      <c r="Z283" s="31"/>
      <c r="AA283" s="34"/>
      <c r="AB283" s="37"/>
      <c r="AC283" s="31"/>
      <c r="AD283" s="34"/>
      <c r="AE283" s="30" t="str">
        <f t="shared" si="5"/>
        <v/>
      </c>
      <c r="AF283" s="41" t="str">
        <f t="shared" si="6"/>
        <v/>
      </c>
      <c r="AG283" s="40" t="str">
        <f t="shared" si="13"/>
        <v/>
      </c>
      <c r="AH283" s="32" t="str">
        <f>IF(OR($L283="",$H283="",$AG283&lt;=0),"",MAX(0,TODAY()-($H283+Settings!$J$6)))</f>
        <v/>
      </c>
      <c r="AI283" s="37"/>
      <c r="AJ283" s="33"/>
      <c r="AK283" s="31"/>
      <c r="AL283" s="31"/>
      <c r="AM283" s="31"/>
      <c r="AN283" s="34"/>
      <c r="AO283" s="44">
        <f t="shared" si="14"/>
        <v>0</v>
      </c>
      <c r="AP283" s="48" t="str">
        <f t="shared" si="9"/>
        <v/>
      </c>
      <c r="AQ283" s="33"/>
      <c r="AR283" s="49" t="str">
        <f t="shared" si="10"/>
        <v/>
      </c>
      <c r="AS283" s="49" t="str">
        <f t="shared" si="11"/>
        <v/>
      </c>
      <c r="AT283" s="32" t="str">
        <f t="shared" si="12"/>
        <v/>
      </c>
    </row>
    <row r="284" ht="18.0" customHeight="1">
      <c r="A284" s="31"/>
      <c r="B284" s="31"/>
      <c r="C284" s="31"/>
      <c r="D284" s="32" t="str">
        <f>IF($A284="","",IF(COUNT($D$2:D283)=0,Settings!$J$5,MAX($D$2:D283)+1))</f>
        <v/>
      </c>
      <c r="E284" s="33"/>
      <c r="F284" s="34"/>
      <c r="G284" s="34"/>
      <c r="H284" s="34"/>
      <c r="I284" s="31"/>
      <c r="J284" s="31"/>
      <c r="K284" s="31"/>
      <c r="L284" s="37"/>
      <c r="M284" s="30" t="str">
        <f t="shared" si="1"/>
        <v/>
      </c>
      <c r="N284" s="38"/>
      <c r="O284" s="30" t="str">
        <f>IF($L284="","",$L284*IF($N284="",Settings!$J$11,$N284))</f>
        <v/>
      </c>
      <c r="P284" s="30" t="str">
        <f t="shared" si="15"/>
        <v/>
      </c>
      <c r="Q284" s="31"/>
      <c r="R284" s="37"/>
      <c r="S284" s="30" t="str">
        <f>IF($L284="","",IF($Q284&lt;&gt;"Yes",0,IF($R284&lt;&gt;"",$R284,ROUND($L284*Settings!$J$4,2))))</f>
        <v/>
      </c>
      <c r="T284" s="40" t="str">
        <f t="shared" si="3"/>
        <v/>
      </c>
      <c r="U284" s="30" t="str">
        <f t="shared" si="4"/>
        <v/>
      </c>
      <c r="V284" s="37"/>
      <c r="W284" s="31"/>
      <c r="X284" s="34"/>
      <c r="Y284" s="37"/>
      <c r="Z284" s="31"/>
      <c r="AA284" s="34"/>
      <c r="AB284" s="37"/>
      <c r="AC284" s="31"/>
      <c r="AD284" s="34"/>
      <c r="AE284" s="30" t="str">
        <f t="shared" si="5"/>
        <v/>
      </c>
      <c r="AF284" s="41" t="str">
        <f t="shared" si="6"/>
        <v/>
      </c>
      <c r="AG284" s="40" t="str">
        <f t="shared" si="13"/>
        <v/>
      </c>
      <c r="AH284" s="32" t="str">
        <f>IF(OR($L284="",$H284="",$AG284&lt;=0),"",MAX(0,TODAY()-($H284+Settings!$J$6)))</f>
        <v/>
      </c>
      <c r="AI284" s="37"/>
      <c r="AJ284" s="33"/>
      <c r="AK284" s="31"/>
      <c r="AL284" s="31"/>
      <c r="AM284" s="31"/>
      <c r="AN284" s="34"/>
      <c r="AO284" s="44">
        <f t="shared" si="14"/>
        <v>0</v>
      </c>
      <c r="AP284" s="48" t="str">
        <f t="shared" si="9"/>
        <v/>
      </c>
      <c r="AQ284" s="33"/>
      <c r="AR284" s="49" t="str">
        <f t="shared" si="10"/>
        <v/>
      </c>
      <c r="AS284" s="49" t="str">
        <f t="shared" si="11"/>
        <v/>
      </c>
      <c r="AT284" s="32" t="str">
        <f t="shared" si="12"/>
        <v/>
      </c>
    </row>
    <row r="285" ht="18.0" customHeight="1">
      <c r="A285" s="31"/>
      <c r="B285" s="31"/>
      <c r="C285" s="31"/>
      <c r="D285" s="32" t="str">
        <f>IF($A285="","",IF(COUNT($D$2:D284)=0,Settings!$J$5,MAX($D$2:D284)+1))</f>
        <v/>
      </c>
      <c r="E285" s="33"/>
      <c r="F285" s="34"/>
      <c r="G285" s="34"/>
      <c r="H285" s="34"/>
      <c r="I285" s="31"/>
      <c r="J285" s="31"/>
      <c r="K285" s="31"/>
      <c r="L285" s="37"/>
      <c r="M285" s="30" t="str">
        <f t="shared" si="1"/>
        <v/>
      </c>
      <c r="N285" s="38"/>
      <c r="O285" s="30" t="str">
        <f>IF($L285="","",$L285*IF($N285="",Settings!$J$11,$N285))</f>
        <v/>
      </c>
      <c r="P285" s="30" t="str">
        <f t="shared" si="15"/>
        <v/>
      </c>
      <c r="Q285" s="31"/>
      <c r="R285" s="37"/>
      <c r="S285" s="30" t="str">
        <f>IF($L285="","",IF($Q285&lt;&gt;"Yes",0,IF($R285&lt;&gt;"",$R285,ROUND($L285*Settings!$J$4,2))))</f>
        <v/>
      </c>
      <c r="T285" s="40" t="str">
        <f t="shared" si="3"/>
        <v/>
      </c>
      <c r="U285" s="30" t="str">
        <f t="shared" si="4"/>
        <v/>
      </c>
      <c r="V285" s="37"/>
      <c r="W285" s="31"/>
      <c r="X285" s="34"/>
      <c r="Y285" s="37"/>
      <c r="Z285" s="31"/>
      <c r="AA285" s="34"/>
      <c r="AB285" s="37"/>
      <c r="AC285" s="31"/>
      <c r="AD285" s="34"/>
      <c r="AE285" s="30" t="str">
        <f t="shared" si="5"/>
        <v/>
      </c>
      <c r="AF285" s="41" t="str">
        <f t="shared" si="6"/>
        <v/>
      </c>
      <c r="AG285" s="40" t="str">
        <f t="shared" si="13"/>
        <v/>
      </c>
      <c r="AH285" s="32" t="str">
        <f>IF(OR($L285="",$H285="",$AG285&lt;=0),"",MAX(0,TODAY()-($H285+Settings!$J$6)))</f>
        <v/>
      </c>
      <c r="AI285" s="37"/>
      <c r="AJ285" s="33"/>
      <c r="AK285" s="31"/>
      <c r="AL285" s="31"/>
      <c r="AM285" s="31"/>
      <c r="AN285" s="34"/>
      <c r="AO285" s="44">
        <f t="shared" si="14"/>
        <v>0</v>
      </c>
      <c r="AP285" s="48" t="str">
        <f t="shared" si="9"/>
        <v/>
      </c>
      <c r="AQ285" s="33"/>
      <c r="AR285" s="49" t="str">
        <f t="shared" si="10"/>
        <v/>
      </c>
      <c r="AS285" s="49" t="str">
        <f t="shared" si="11"/>
        <v/>
      </c>
      <c r="AT285" s="32" t="str">
        <f t="shared" si="12"/>
        <v/>
      </c>
    </row>
    <row r="286" ht="18.0" customHeight="1">
      <c r="A286" s="31"/>
      <c r="B286" s="31"/>
      <c r="C286" s="31"/>
      <c r="D286" s="32" t="str">
        <f>IF($A286="","",IF(COUNT($D$2:D285)=0,Settings!$J$5,MAX($D$2:D285)+1))</f>
        <v/>
      </c>
      <c r="E286" s="33"/>
      <c r="F286" s="34"/>
      <c r="G286" s="34"/>
      <c r="H286" s="34"/>
      <c r="I286" s="31"/>
      <c r="J286" s="31"/>
      <c r="K286" s="31"/>
      <c r="L286" s="37"/>
      <c r="M286" s="30" t="str">
        <f t="shared" si="1"/>
        <v/>
      </c>
      <c r="N286" s="38"/>
      <c r="O286" s="30" t="str">
        <f>IF($L286="","",$L286*IF($N286="",Settings!$J$11,$N286))</f>
        <v/>
      </c>
      <c r="P286" s="30" t="str">
        <f t="shared" si="15"/>
        <v/>
      </c>
      <c r="Q286" s="31"/>
      <c r="R286" s="37"/>
      <c r="S286" s="30" t="str">
        <f>IF($L286="","",IF($Q286&lt;&gt;"Yes",0,IF($R286&lt;&gt;"",$R286,ROUND($L286*Settings!$J$4,2))))</f>
        <v/>
      </c>
      <c r="T286" s="40" t="str">
        <f t="shared" si="3"/>
        <v/>
      </c>
      <c r="U286" s="30" t="str">
        <f t="shared" si="4"/>
        <v/>
      </c>
      <c r="V286" s="37"/>
      <c r="W286" s="31"/>
      <c r="X286" s="34"/>
      <c r="Y286" s="37"/>
      <c r="Z286" s="31"/>
      <c r="AA286" s="34"/>
      <c r="AB286" s="37"/>
      <c r="AC286" s="31"/>
      <c r="AD286" s="34"/>
      <c r="AE286" s="30" t="str">
        <f t="shared" si="5"/>
        <v/>
      </c>
      <c r="AF286" s="41" t="str">
        <f t="shared" si="6"/>
        <v/>
      </c>
      <c r="AG286" s="40" t="str">
        <f t="shared" si="13"/>
        <v/>
      </c>
      <c r="AH286" s="32" t="str">
        <f>IF(OR($L286="",$H286="",$AG286&lt;=0),"",MAX(0,TODAY()-($H286+Settings!$J$6)))</f>
        <v/>
      </c>
      <c r="AI286" s="37"/>
      <c r="AJ286" s="33"/>
      <c r="AK286" s="31"/>
      <c r="AL286" s="31"/>
      <c r="AM286" s="31"/>
      <c r="AN286" s="34"/>
      <c r="AO286" s="44">
        <f t="shared" si="14"/>
        <v>0</v>
      </c>
      <c r="AP286" s="48" t="str">
        <f t="shared" si="9"/>
        <v/>
      </c>
      <c r="AQ286" s="33"/>
      <c r="AR286" s="49" t="str">
        <f t="shared" si="10"/>
        <v/>
      </c>
      <c r="AS286" s="49" t="str">
        <f t="shared" si="11"/>
        <v/>
      </c>
      <c r="AT286" s="32" t="str">
        <f t="shared" si="12"/>
        <v/>
      </c>
    </row>
    <row r="287" ht="18.0" customHeight="1">
      <c r="A287" s="31"/>
      <c r="B287" s="31"/>
      <c r="C287" s="31"/>
      <c r="D287" s="32" t="str">
        <f>IF($A287="","",IF(COUNT($D$2:D286)=0,Settings!$J$5,MAX($D$2:D286)+1))</f>
        <v/>
      </c>
      <c r="E287" s="33"/>
      <c r="F287" s="34"/>
      <c r="G287" s="34"/>
      <c r="H287" s="34"/>
      <c r="I287" s="31"/>
      <c r="J287" s="31"/>
      <c r="K287" s="31"/>
      <c r="L287" s="37"/>
      <c r="M287" s="30" t="str">
        <f t="shared" si="1"/>
        <v/>
      </c>
      <c r="N287" s="38"/>
      <c r="O287" s="30" t="str">
        <f>IF($L287="","",$L287*IF($N287="",Settings!$J$11,$N287))</f>
        <v/>
      </c>
      <c r="P287" s="30" t="str">
        <f t="shared" si="15"/>
        <v/>
      </c>
      <c r="Q287" s="31"/>
      <c r="R287" s="37"/>
      <c r="S287" s="30" t="str">
        <f>IF($L287="","",IF($Q287&lt;&gt;"Yes",0,IF($R287&lt;&gt;"",$R287,ROUND($L287*Settings!$J$4,2))))</f>
        <v/>
      </c>
      <c r="T287" s="40" t="str">
        <f t="shared" si="3"/>
        <v/>
      </c>
      <c r="U287" s="30" t="str">
        <f t="shared" si="4"/>
        <v/>
      </c>
      <c r="V287" s="37"/>
      <c r="W287" s="31"/>
      <c r="X287" s="34"/>
      <c r="Y287" s="37"/>
      <c r="Z287" s="31"/>
      <c r="AA287" s="34"/>
      <c r="AB287" s="37"/>
      <c r="AC287" s="31"/>
      <c r="AD287" s="34"/>
      <c r="AE287" s="30" t="str">
        <f t="shared" si="5"/>
        <v/>
      </c>
      <c r="AF287" s="41" t="str">
        <f t="shared" si="6"/>
        <v/>
      </c>
      <c r="AG287" s="40" t="str">
        <f t="shared" si="13"/>
        <v/>
      </c>
      <c r="AH287" s="32" t="str">
        <f>IF(OR($L287="",$H287="",$AG287&lt;=0),"",MAX(0,TODAY()-($H287+Settings!$J$6)))</f>
        <v/>
      </c>
      <c r="AI287" s="37"/>
      <c r="AJ287" s="33"/>
      <c r="AK287" s="31"/>
      <c r="AL287" s="31"/>
      <c r="AM287" s="31"/>
      <c r="AN287" s="34"/>
      <c r="AO287" s="44">
        <f t="shared" si="14"/>
        <v>0</v>
      </c>
      <c r="AP287" s="48" t="str">
        <f t="shared" si="9"/>
        <v/>
      </c>
      <c r="AQ287" s="33"/>
      <c r="AR287" s="49" t="str">
        <f t="shared" si="10"/>
        <v/>
      </c>
      <c r="AS287" s="49" t="str">
        <f t="shared" si="11"/>
        <v/>
      </c>
      <c r="AT287" s="32" t="str">
        <f t="shared" si="12"/>
        <v/>
      </c>
    </row>
    <row r="288" ht="18.0" customHeight="1">
      <c r="A288" s="31"/>
      <c r="B288" s="31"/>
      <c r="C288" s="31"/>
      <c r="D288" s="32" t="str">
        <f>IF($A288="","",IF(COUNT($D$2:D287)=0,Settings!$J$5,MAX($D$2:D287)+1))</f>
        <v/>
      </c>
      <c r="E288" s="33"/>
      <c r="F288" s="34"/>
      <c r="G288" s="34"/>
      <c r="H288" s="34"/>
      <c r="I288" s="31"/>
      <c r="J288" s="31"/>
      <c r="K288" s="31"/>
      <c r="L288" s="37"/>
      <c r="M288" s="30" t="str">
        <f t="shared" si="1"/>
        <v/>
      </c>
      <c r="N288" s="38"/>
      <c r="O288" s="30" t="str">
        <f>IF($L288="","",$L288*IF($N288="",Settings!$J$11,$N288))</f>
        <v/>
      </c>
      <c r="P288" s="30" t="str">
        <f t="shared" si="15"/>
        <v/>
      </c>
      <c r="Q288" s="31"/>
      <c r="R288" s="37"/>
      <c r="S288" s="30" t="str">
        <f>IF($L288="","",IF($Q288&lt;&gt;"Yes",0,IF($R288&lt;&gt;"",$R288,ROUND($L288*Settings!$J$4,2))))</f>
        <v/>
      </c>
      <c r="T288" s="40" t="str">
        <f t="shared" si="3"/>
        <v/>
      </c>
      <c r="U288" s="30" t="str">
        <f t="shared" si="4"/>
        <v/>
      </c>
      <c r="V288" s="37"/>
      <c r="W288" s="31"/>
      <c r="X288" s="34"/>
      <c r="Y288" s="37"/>
      <c r="Z288" s="31"/>
      <c r="AA288" s="34"/>
      <c r="AB288" s="37"/>
      <c r="AC288" s="31"/>
      <c r="AD288" s="34"/>
      <c r="AE288" s="30" t="str">
        <f t="shared" si="5"/>
        <v/>
      </c>
      <c r="AF288" s="41" t="str">
        <f t="shared" si="6"/>
        <v/>
      </c>
      <c r="AG288" s="40" t="str">
        <f t="shared" si="13"/>
        <v/>
      </c>
      <c r="AH288" s="32" t="str">
        <f>IF(OR($L288="",$H288="",$AG288&lt;=0),"",MAX(0,TODAY()-($H288+Settings!$J$6)))</f>
        <v/>
      </c>
      <c r="AI288" s="37"/>
      <c r="AJ288" s="33"/>
      <c r="AK288" s="31"/>
      <c r="AL288" s="31"/>
      <c r="AM288" s="31"/>
      <c r="AN288" s="34"/>
      <c r="AO288" s="44">
        <f t="shared" si="14"/>
        <v>0</v>
      </c>
      <c r="AP288" s="48" t="str">
        <f t="shared" si="9"/>
        <v/>
      </c>
      <c r="AQ288" s="33"/>
      <c r="AR288" s="49" t="str">
        <f t="shared" si="10"/>
        <v/>
      </c>
      <c r="AS288" s="49" t="str">
        <f t="shared" si="11"/>
        <v/>
      </c>
      <c r="AT288" s="32" t="str">
        <f t="shared" si="12"/>
        <v/>
      </c>
    </row>
    <row r="289" ht="18.0" customHeight="1">
      <c r="A289" s="31"/>
      <c r="B289" s="31"/>
      <c r="C289" s="31"/>
      <c r="D289" s="32" t="str">
        <f>IF($A289="","",IF(COUNT($D$2:D288)=0,Settings!$J$5,MAX($D$2:D288)+1))</f>
        <v/>
      </c>
      <c r="E289" s="33"/>
      <c r="F289" s="34"/>
      <c r="G289" s="34"/>
      <c r="H289" s="34"/>
      <c r="I289" s="31"/>
      <c r="J289" s="31"/>
      <c r="K289" s="31"/>
      <c r="L289" s="37"/>
      <c r="M289" s="30" t="str">
        <f t="shared" si="1"/>
        <v/>
      </c>
      <c r="N289" s="38"/>
      <c r="O289" s="30" t="str">
        <f>IF($L289="","",$L289*IF($N289="",Settings!$J$11,$N289))</f>
        <v/>
      </c>
      <c r="P289" s="30" t="str">
        <f t="shared" si="15"/>
        <v/>
      </c>
      <c r="Q289" s="31"/>
      <c r="R289" s="37"/>
      <c r="S289" s="30" t="str">
        <f>IF($L289="","",IF($Q289&lt;&gt;"Yes",0,IF($R289&lt;&gt;"",$R289,ROUND($L289*Settings!$J$4,2))))</f>
        <v/>
      </c>
      <c r="T289" s="40" t="str">
        <f t="shared" si="3"/>
        <v/>
      </c>
      <c r="U289" s="30" t="str">
        <f t="shared" si="4"/>
        <v/>
      </c>
      <c r="V289" s="37"/>
      <c r="W289" s="31"/>
      <c r="X289" s="34"/>
      <c r="Y289" s="37"/>
      <c r="Z289" s="31"/>
      <c r="AA289" s="34"/>
      <c r="AB289" s="37"/>
      <c r="AC289" s="31"/>
      <c r="AD289" s="34"/>
      <c r="AE289" s="30" t="str">
        <f t="shared" si="5"/>
        <v/>
      </c>
      <c r="AF289" s="41" t="str">
        <f t="shared" si="6"/>
        <v/>
      </c>
      <c r="AG289" s="40" t="str">
        <f t="shared" si="13"/>
        <v/>
      </c>
      <c r="AH289" s="32" t="str">
        <f>IF(OR($L289="",$H289="",$AG289&lt;=0),"",MAX(0,TODAY()-($H289+Settings!$J$6)))</f>
        <v/>
      </c>
      <c r="AI289" s="37"/>
      <c r="AJ289" s="33"/>
      <c r="AK289" s="31"/>
      <c r="AL289" s="31"/>
      <c r="AM289" s="31"/>
      <c r="AN289" s="34"/>
      <c r="AO289" s="44">
        <f t="shared" si="14"/>
        <v>0</v>
      </c>
      <c r="AP289" s="48" t="str">
        <f t="shared" si="9"/>
        <v/>
      </c>
      <c r="AQ289" s="33"/>
      <c r="AR289" s="49" t="str">
        <f t="shared" si="10"/>
        <v/>
      </c>
      <c r="AS289" s="49" t="str">
        <f t="shared" si="11"/>
        <v/>
      </c>
      <c r="AT289" s="32" t="str">
        <f t="shared" si="12"/>
        <v/>
      </c>
    </row>
    <row r="290" ht="18.0" customHeight="1">
      <c r="A290" s="31"/>
      <c r="B290" s="31"/>
      <c r="C290" s="31"/>
      <c r="D290" s="32" t="str">
        <f>IF($A290="","",IF(COUNT($D$2:D289)=0,Settings!$J$5,MAX($D$2:D289)+1))</f>
        <v/>
      </c>
      <c r="E290" s="33"/>
      <c r="F290" s="34"/>
      <c r="G290" s="34"/>
      <c r="H290" s="34"/>
      <c r="I290" s="31"/>
      <c r="J290" s="31"/>
      <c r="K290" s="31"/>
      <c r="L290" s="37"/>
      <c r="M290" s="30" t="str">
        <f t="shared" si="1"/>
        <v/>
      </c>
      <c r="N290" s="38"/>
      <c r="O290" s="30" t="str">
        <f>IF($L290="","",$L290*IF($N290="",Settings!$J$11,$N290))</f>
        <v/>
      </c>
      <c r="P290" s="30" t="str">
        <f t="shared" si="15"/>
        <v/>
      </c>
      <c r="Q290" s="31"/>
      <c r="R290" s="37"/>
      <c r="S290" s="30" t="str">
        <f>IF($L290="","",IF($Q290&lt;&gt;"Yes",0,IF($R290&lt;&gt;"",$R290,ROUND($L290*Settings!$J$4,2))))</f>
        <v/>
      </c>
      <c r="T290" s="40" t="str">
        <f t="shared" si="3"/>
        <v/>
      </c>
      <c r="U290" s="30" t="str">
        <f t="shared" si="4"/>
        <v/>
      </c>
      <c r="V290" s="37"/>
      <c r="W290" s="31"/>
      <c r="X290" s="34"/>
      <c r="Y290" s="37"/>
      <c r="Z290" s="31"/>
      <c r="AA290" s="34"/>
      <c r="AB290" s="37"/>
      <c r="AC290" s="31"/>
      <c r="AD290" s="34"/>
      <c r="AE290" s="30" t="str">
        <f t="shared" si="5"/>
        <v/>
      </c>
      <c r="AF290" s="41" t="str">
        <f t="shared" si="6"/>
        <v/>
      </c>
      <c r="AG290" s="40" t="str">
        <f t="shared" si="13"/>
        <v/>
      </c>
      <c r="AH290" s="32" t="str">
        <f>IF(OR($L290="",$H290="",$AG290&lt;=0),"",MAX(0,TODAY()-($H290+Settings!$J$6)))</f>
        <v/>
      </c>
      <c r="AI290" s="37"/>
      <c r="AJ290" s="33"/>
      <c r="AK290" s="31"/>
      <c r="AL290" s="31"/>
      <c r="AM290" s="31"/>
      <c r="AN290" s="34"/>
      <c r="AO290" s="44">
        <f t="shared" si="14"/>
        <v>0</v>
      </c>
      <c r="AP290" s="48" t="str">
        <f t="shared" si="9"/>
        <v/>
      </c>
      <c r="AQ290" s="33"/>
      <c r="AR290" s="49" t="str">
        <f t="shared" si="10"/>
        <v/>
      </c>
      <c r="AS290" s="49" t="str">
        <f t="shared" si="11"/>
        <v/>
      </c>
      <c r="AT290" s="32" t="str">
        <f t="shared" si="12"/>
        <v/>
      </c>
    </row>
    <row r="291" ht="18.0" customHeight="1">
      <c r="A291" s="31"/>
      <c r="B291" s="31"/>
      <c r="C291" s="31"/>
      <c r="D291" s="32" t="str">
        <f>IF($A291="","",IF(COUNT($D$2:D290)=0,Settings!$J$5,MAX($D$2:D290)+1))</f>
        <v/>
      </c>
      <c r="E291" s="33"/>
      <c r="F291" s="34"/>
      <c r="G291" s="34"/>
      <c r="H291" s="34"/>
      <c r="I291" s="31"/>
      <c r="J291" s="31"/>
      <c r="K291" s="31"/>
      <c r="L291" s="37"/>
      <c r="M291" s="30" t="str">
        <f t="shared" si="1"/>
        <v/>
      </c>
      <c r="N291" s="38"/>
      <c r="O291" s="30" t="str">
        <f>IF($L291="","",$L291*IF($N291="",Settings!$J$11,$N291))</f>
        <v/>
      </c>
      <c r="P291" s="30" t="str">
        <f t="shared" si="15"/>
        <v/>
      </c>
      <c r="Q291" s="31"/>
      <c r="R291" s="37"/>
      <c r="S291" s="30" t="str">
        <f>IF($L291="","",IF($Q291&lt;&gt;"Yes",0,IF($R291&lt;&gt;"",$R291,ROUND($L291*Settings!$J$4,2))))</f>
        <v/>
      </c>
      <c r="T291" s="40" t="str">
        <f t="shared" si="3"/>
        <v/>
      </c>
      <c r="U291" s="30" t="str">
        <f t="shared" si="4"/>
        <v/>
      </c>
      <c r="V291" s="37"/>
      <c r="W291" s="31"/>
      <c r="X291" s="34"/>
      <c r="Y291" s="37"/>
      <c r="Z291" s="31"/>
      <c r="AA291" s="34"/>
      <c r="AB291" s="37"/>
      <c r="AC291" s="31"/>
      <c r="AD291" s="34"/>
      <c r="AE291" s="30" t="str">
        <f t="shared" si="5"/>
        <v/>
      </c>
      <c r="AF291" s="41" t="str">
        <f t="shared" si="6"/>
        <v/>
      </c>
      <c r="AG291" s="40" t="str">
        <f t="shared" si="13"/>
        <v/>
      </c>
      <c r="AH291" s="32" t="str">
        <f>IF(OR($L291="",$H291="",$AG291&lt;=0),"",MAX(0,TODAY()-($H291+Settings!$J$6)))</f>
        <v/>
      </c>
      <c r="AI291" s="37"/>
      <c r="AJ291" s="33"/>
      <c r="AK291" s="31"/>
      <c r="AL291" s="31"/>
      <c r="AM291" s="31"/>
      <c r="AN291" s="34"/>
      <c r="AO291" s="44">
        <f t="shared" si="14"/>
        <v>0</v>
      </c>
      <c r="AP291" s="48" t="str">
        <f t="shared" si="9"/>
        <v/>
      </c>
      <c r="AQ291" s="33"/>
      <c r="AR291" s="49" t="str">
        <f t="shared" si="10"/>
        <v/>
      </c>
      <c r="AS291" s="49" t="str">
        <f t="shared" si="11"/>
        <v/>
      </c>
      <c r="AT291" s="32" t="str">
        <f t="shared" si="12"/>
        <v/>
      </c>
    </row>
    <row r="292" ht="18.0" customHeight="1">
      <c r="A292" s="31"/>
      <c r="B292" s="31"/>
      <c r="C292" s="31"/>
      <c r="D292" s="32" t="str">
        <f>IF($A292="","",IF(COUNT($D$2:D291)=0,Settings!$J$5,MAX($D$2:D291)+1))</f>
        <v/>
      </c>
      <c r="E292" s="33"/>
      <c r="F292" s="34"/>
      <c r="G292" s="34"/>
      <c r="H292" s="34"/>
      <c r="I292" s="31"/>
      <c r="J292" s="31"/>
      <c r="K292" s="31"/>
      <c r="L292" s="37"/>
      <c r="M292" s="30" t="str">
        <f t="shared" si="1"/>
        <v/>
      </c>
      <c r="N292" s="38"/>
      <c r="O292" s="30" t="str">
        <f>IF($L292="","",$L292*IF($N292="",Settings!$J$11,$N292))</f>
        <v/>
      </c>
      <c r="P292" s="30" t="str">
        <f t="shared" si="15"/>
        <v/>
      </c>
      <c r="Q292" s="31"/>
      <c r="R292" s="37"/>
      <c r="S292" s="30" t="str">
        <f>IF($L292="","",IF($Q292&lt;&gt;"Yes",0,IF($R292&lt;&gt;"",$R292,ROUND($L292*Settings!$J$4,2))))</f>
        <v/>
      </c>
      <c r="T292" s="40" t="str">
        <f t="shared" si="3"/>
        <v/>
      </c>
      <c r="U292" s="30" t="str">
        <f t="shared" si="4"/>
        <v/>
      </c>
      <c r="V292" s="37"/>
      <c r="W292" s="31"/>
      <c r="X292" s="34"/>
      <c r="Y292" s="37"/>
      <c r="Z292" s="31"/>
      <c r="AA292" s="34"/>
      <c r="AB292" s="37"/>
      <c r="AC292" s="31"/>
      <c r="AD292" s="34"/>
      <c r="AE292" s="30" t="str">
        <f t="shared" si="5"/>
        <v/>
      </c>
      <c r="AF292" s="41" t="str">
        <f t="shared" si="6"/>
        <v/>
      </c>
      <c r="AG292" s="40" t="str">
        <f t="shared" si="13"/>
        <v/>
      </c>
      <c r="AH292" s="32" t="str">
        <f>IF(OR($L292="",$H292="",$AG292&lt;=0),"",MAX(0,TODAY()-($H292+Settings!$J$6)))</f>
        <v/>
      </c>
      <c r="AI292" s="37"/>
      <c r="AJ292" s="33"/>
      <c r="AK292" s="31"/>
      <c r="AL292" s="31"/>
      <c r="AM292" s="31"/>
      <c r="AN292" s="34"/>
      <c r="AO292" s="44">
        <f t="shared" si="14"/>
        <v>0</v>
      </c>
      <c r="AP292" s="48" t="str">
        <f t="shared" si="9"/>
        <v/>
      </c>
      <c r="AQ292" s="33"/>
      <c r="AR292" s="49" t="str">
        <f t="shared" si="10"/>
        <v/>
      </c>
      <c r="AS292" s="49" t="str">
        <f t="shared" si="11"/>
        <v/>
      </c>
      <c r="AT292" s="32" t="str">
        <f t="shared" si="12"/>
        <v/>
      </c>
    </row>
    <row r="293" ht="18.0" customHeight="1">
      <c r="A293" s="31"/>
      <c r="B293" s="31"/>
      <c r="C293" s="31"/>
      <c r="D293" s="32" t="str">
        <f>IF($A293="","",IF(COUNT($D$2:D292)=0,Settings!$J$5,MAX($D$2:D292)+1))</f>
        <v/>
      </c>
      <c r="E293" s="33"/>
      <c r="F293" s="34"/>
      <c r="G293" s="34"/>
      <c r="H293" s="34"/>
      <c r="I293" s="31"/>
      <c r="J293" s="31"/>
      <c r="K293" s="31"/>
      <c r="L293" s="37"/>
      <c r="M293" s="30" t="str">
        <f t="shared" si="1"/>
        <v/>
      </c>
      <c r="N293" s="38"/>
      <c r="O293" s="30" t="str">
        <f>IF($L293="","",$L293*IF($N293="",Settings!$J$11,$N293))</f>
        <v/>
      </c>
      <c r="P293" s="30" t="str">
        <f t="shared" si="15"/>
        <v/>
      </c>
      <c r="Q293" s="31"/>
      <c r="R293" s="37"/>
      <c r="S293" s="30" t="str">
        <f>IF($L293="","",IF($Q293&lt;&gt;"Yes",0,IF($R293&lt;&gt;"",$R293,ROUND($L293*Settings!$J$4,2))))</f>
        <v/>
      </c>
      <c r="T293" s="40" t="str">
        <f t="shared" si="3"/>
        <v/>
      </c>
      <c r="U293" s="30" t="str">
        <f t="shared" si="4"/>
        <v/>
      </c>
      <c r="V293" s="37"/>
      <c r="W293" s="31"/>
      <c r="X293" s="34"/>
      <c r="Y293" s="37"/>
      <c r="Z293" s="31"/>
      <c r="AA293" s="34"/>
      <c r="AB293" s="37"/>
      <c r="AC293" s="31"/>
      <c r="AD293" s="34"/>
      <c r="AE293" s="30" t="str">
        <f t="shared" si="5"/>
        <v/>
      </c>
      <c r="AF293" s="41" t="str">
        <f t="shared" si="6"/>
        <v/>
      </c>
      <c r="AG293" s="40" t="str">
        <f t="shared" si="13"/>
        <v/>
      </c>
      <c r="AH293" s="32" t="str">
        <f>IF(OR($L293="",$H293="",$AG293&lt;=0),"",MAX(0,TODAY()-($H293+Settings!$J$6)))</f>
        <v/>
      </c>
      <c r="AI293" s="37"/>
      <c r="AJ293" s="33"/>
      <c r="AK293" s="31"/>
      <c r="AL293" s="31"/>
      <c r="AM293" s="31"/>
      <c r="AN293" s="34"/>
      <c r="AO293" s="44">
        <f t="shared" si="14"/>
        <v>0</v>
      </c>
      <c r="AP293" s="48" t="str">
        <f t="shared" si="9"/>
        <v/>
      </c>
      <c r="AQ293" s="33"/>
      <c r="AR293" s="49" t="str">
        <f t="shared" si="10"/>
        <v/>
      </c>
      <c r="AS293" s="49" t="str">
        <f t="shared" si="11"/>
        <v/>
      </c>
      <c r="AT293" s="32" t="str">
        <f t="shared" si="12"/>
        <v/>
      </c>
    </row>
    <row r="294" ht="18.0" customHeight="1">
      <c r="A294" s="31"/>
      <c r="B294" s="31"/>
      <c r="C294" s="31"/>
      <c r="D294" s="32" t="str">
        <f>IF($A294="","",IF(COUNT($D$2:D293)=0,Settings!$J$5,MAX($D$2:D293)+1))</f>
        <v/>
      </c>
      <c r="E294" s="33"/>
      <c r="F294" s="34"/>
      <c r="G294" s="34"/>
      <c r="H294" s="34"/>
      <c r="I294" s="31"/>
      <c r="J294" s="31"/>
      <c r="K294" s="31"/>
      <c r="L294" s="37"/>
      <c r="M294" s="30" t="str">
        <f t="shared" si="1"/>
        <v/>
      </c>
      <c r="N294" s="38"/>
      <c r="O294" s="30" t="str">
        <f>IF($L294="","",$L294*IF($N294="",Settings!$J$11,$N294))</f>
        <v/>
      </c>
      <c r="P294" s="30" t="str">
        <f t="shared" si="15"/>
        <v/>
      </c>
      <c r="Q294" s="31"/>
      <c r="R294" s="37"/>
      <c r="S294" s="30" t="str">
        <f>IF($L294="","",IF($Q294&lt;&gt;"Yes",0,IF($R294&lt;&gt;"",$R294,ROUND($L294*Settings!$J$4,2))))</f>
        <v/>
      </c>
      <c r="T294" s="40" t="str">
        <f t="shared" si="3"/>
        <v/>
      </c>
      <c r="U294" s="30" t="str">
        <f t="shared" si="4"/>
        <v/>
      </c>
      <c r="V294" s="37"/>
      <c r="W294" s="31"/>
      <c r="X294" s="34"/>
      <c r="Y294" s="37"/>
      <c r="Z294" s="31"/>
      <c r="AA294" s="34"/>
      <c r="AB294" s="37"/>
      <c r="AC294" s="31"/>
      <c r="AD294" s="34"/>
      <c r="AE294" s="30" t="str">
        <f t="shared" si="5"/>
        <v/>
      </c>
      <c r="AF294" s="41" t="str">
        <f t="shared" si="6"/>
        <v/>
      </c>
      <c r="AG294" s="40" t="str">
        <f t="shared" si="13"/>
        <v/>
      </c>
      <c r="AH294" s="32" t="str">
        <f>IF(OR($L294="",$H294="",$AG294&lt;=0),"",MAX(0,TODAY()-($H294+Settings!$J$6)))</f>
        <v/>
      </c>
      <c r="AI294" s="37"/>
      <c r="AJ294" s="33"/>
      <c r="AK294" s="31"/>
      <c r="AL294" s="31"/>
      <c r="AM294" s="31"/>
      <c r="AN294" s="34"/>
      <c r="AO294" s="44">
        <f t="shared" si="14"/>
        <v>0</v>
      </c>
      <c r="AP294" s="48" t="str">
        <f t="shared" si="9"/>
        <v/>
      </c>
      <c r="AQ294" s="33"/>
      <c r="AR294" s="49" t="str">
        <f t="shared" si="10"/>
        <v/>
      </c>
      <c r="AS294" s="49" t="str">
        <f t="shared" si="11"/>
        <v/>
      </c>
      <c r="AT294" s="32" t="str">
        <f t="shared" si="12"/>
        <v/>
      </c>
    </row>
    <row r="295" ht="18.0" customHeight="1">
      <c r="A295" s="31"/>
      <c r="B295" s="31"/>
      <c r="C295" s="31"/>
      <c r="D295" s="32" t="str">
        <f>IF($A295="","",IF(COUNT($D$2:D294)=0,Settings!$J$5,MAX($D$2:D294)+1))</f>
        <v/>
      </c>
      <c r="E295" s="33"/>
      <c r="F295" s="34"/>
      <c r="G295" s="34"/>
      <c r="H295" s="34"/>
      <c r="I295" s="31"/>
      <c r="J295" s="31"/>
      <c r="K295" s="31"/>
      <c r="L295" s="37"/>
      <c r="M295" s="30" t="str">
        <f t="shared" si="1"/>
        <v/>
      </c>
      <c r="N295" s="38"/>
      <c r="O295" s="30" t="str">
        <f>IF($L295="","",$L295*IF($N295="",Settings!$J$11,$N295))</f>
        <v/>
      </c>
      <c r="P295" s="30" t="str">
        <f t="shared" si="15"/>
        <v/>
      </c>
      <c r="Q295" s="31"/>
      <c r="R295" s="37"/>
      <c r="S295" s="30" t="str">
        <f>IF($L295="","",IF($Q295&lt;&gt;"Yes",0,IF($R295&lt;&gt;"",$R295,ROUND($L295*Settings!$J$4,2))))</f>
        <v/>
      </c>
      <c r="T295" s="40" t="str">
        <f t="shared" si="3"/>
        <v/>
      </c>
      <c r="U295" s="30" t="str">
        <f t="shared" si="4"/>
        <v/>
      </c>
      <c r="V295" s="37"/>
      <c r="W295" s="31"/>
      <c r="X295" s="34"/>
      <c r="Y295" s="37"/>
      <c r="Z295" s="31"/>
      <c r="AA295" s="34"/>
      <c r="AB295" s="37"/>
      <c r="AC295" s="31"/>
      <c r="AD295" s="34"/>
      <c r="AE295" s="30" t="str">
        <f t="shared" si="5"/>
        <v/>
      </c>
      <c r="AF295" s="41" t="str">
        <f t="shared" si="6"/>
        <v/>
      </c>
      <c r="AG295" s="40" t="str">
        <f t="shared" si="13"/>
        <v/>
      </c>
      <c r="AH295" s="32" t="str">
        <f>IF(OR($L295="",$H295="",$AG295&lt;=0),"",MAX(0,TODAY()-($H295+Settings!$J$6)))</f>
        <v/>
      </c>
      <c r="AI295" s="37"/>
      <c r="AJ295" s="33"/>
      <c r="AK295" s="31"/>
      <c r="AL295" s="31"/>
      <c r="AM295" s="31"/>
      <c r="AN295" s="34"/>
      <c r="AO295" s="44">
        <f t="shared" si="14"/>
        <v>0</v>
      </c>
      <c r="AP295" s="48" t="str">
        <f t="shared" si="9"/>
        <v/>
      </c>
      <c r="AQ295" s="33"/>
      <c r="AR295" s="49" t="str">
        <f t="shared" si="10"/>
        <v/>
      </c>
      <c r="AS295" s="49" t="str">
        <f t="shared" si="11"/>
        <v/>
      </c>
      <c r="AT295" s="32" t="str">
        <f t="shared" si="12"/>
        <v/>
      </c>
    </row>
    <row r="296" ht="18.0" customHeight="1">
      <c r="A296" s="31"/>
      <c r="B296" s="31"/>
      <c r="C296" s="31"/>
      <c r="D296" s="32" t="str">
        <f>IF($A296="","",IF(COUNT($D$2:D295)=0,Settings!$J$5,MAX($D$2:D295)+1))</f>
        <v/>
      </c>
      <c r="E296" s="33"/>
      <c r="F296" s="34"/>
      <c r="G296" s="34"/>
      <c r="H296" s="34"/>
      <c r="I296" s="31"/>
      <c r="J296" s="31"/>
      <c r="K296" s="31"/>
      <c r="L296" s="37"/>
      <c r="M296" s="30" t="str">
        <f t="shared" si="1"/>
        <v/>
      </c>
      <c r="N296" s="38"/>
      <c r="O296" s="30" t="str">
        <f>IF($L296="","",$L296*IF($N296="",Settings!$J$11,$N296))</f>
        <v/>
      </c>
      <c r="P296" s="30" t="str">
        <f t="shared" si="15"/>
        <v/>
      </c>
      <c r="Q296" s="31"/>
      <c r="R296" s="37"/>
      <c r="S296" s="30" t="str">
        <f>IF($L296="","",IF($Q296&lt;&gt;"Yes",0,IF($R296&lt;&gt;"",$R296,ROUND($L296*Settings!$J$4,2))))</f>
        <v/>
      </c>
      <c r="T296" s="40" t="str">
        <f t="shared" si="3"/>
        <v/>
      </c>
      <c r="U296" s="30" t="str">
        <f t="shared" si="4"/>
        <v/>
      </c>
      <c r="V296" s="37"/>
      <c r="W296" s="31"/>
      <c r="X296" s="34"/>
      <c r="Y296" s="37"/>
      <c r="Z296" s="31"/>
      <c r="AA296" s="34"/>
      <c r="AB296" s="37"/>
      <c r="AC296" s="31"/>
      <c r="AD296" s="34"/>
      <c r="AE296" s="30" t="str">
        <f t="shared" si="5"/>
        <v/>
      </c>
      <c r="AF296" s="41" t="str">
        <f t="shared" si="6"/>
        <v/>
      </c>
      <c r="AG296" s="40" t="str">
        <f t="shared" si="13"/>
        <v/>
      </c>
      <c r="AH296" s="32" t="str">
        <f>IF(OR($L296="",$H296="",$AG296&lt;=0),"",MAX(0,TODAY()-($H296+Settings!$J$6)))</f>
        <v/>
      </c>
      <c r="AI296" s="37"/>
      <c r="AJ296" s="33"/>
      <c r="AK296" s="31"/>
      <c r="AL296" s="31"/>
      <c r="AM296" s="31"/>
      <c r="AN296" s="34"/>
      <c r="AO296" s="44">
        <f t="shared" si="14"/>
        <v>0</v>
      </c>
      <c r="AP296" s="48" t="str">
        <f t="shared" si="9"/>
        <v/>
      </c>
      <c r="AQ296" s="33"/>
      <c r="AR296" s="49" t="str">
        <f t="shared" si="10"/>
        <v/>
      </c>
      <c r="AS296" s="49" t="str">
        <f t="shared" si="11"/>
        <v/>
      </c>
      <c r="AT296" s="32" t="str">
        <f t="shared" si="12"/>
        <v/>
      </c>
    </row>
    <row r="297" ht="18.0" customHeight="1">
      <c r="A297" s="31"/>
      <c r="B297" s="31"/>
      <c r="C297" s="31"/>
      <c r="D297" s="32" t="str">
        <f>IF($A297="","",IF(COUNT($D$2:D296)=0,Settings!$J$5,MAX($D$2:D296)+1))</f>
        <v/>
      </c>
      <c r="E297" s="33"/>
      <c r="F297" s="34"/>
      <c r="G297" s="34"/>
      <c r="H297" s="34"/>
      <c r="I297" s="31"/>
      <c r="J297" s="31"/>
      <c r="K297" s="31"/>
      <c r="L297" s="37"/>
      <c r="M297" s="30" t="str">
        <f t="shared" si="1"/>
        <v/>
      </c>
      <c r="N297" s="38"/>
      <c r="O297" s="30" t="str">
        <f>IF($L297="","",$L297*IF($N297="",Settings!$J$11,$N297))</f>
        <v/>
      </c>
      <c r="P297" s="30" t="str">
        <f t="shared" si="15"/>
        <v/>
      </c>
      <c r="Q297" s="31"/>
      <c r="R297" s="37"/>
      <c r="S297" s="30" t="str">
        <f>IF($L297="","",IF($Q297&lt;&gt;"Yes",0,IF($R297&lt;&gt;"",$R297,ROUND($L297*Settings!$J$4,2))))</f>
        <v/>
      </c>
      <c r="T297" s="40" t="str">
        <f t="shared" si="3"/>
        <v/>
      </c>
      <c r="U297" s="30" t="str">
        <f t="shared" si="4"/>
        <v/>
      </c>
      <c r="V297" s="37"/>
      <c r="W297" s="31"/>
      <c r="X297" s="34"/>
      <c r="Y297" s="37"/>
      <c r="Z297" s="31"/>
      <c r="AA297" s="34"/>
      <c r="AB297" s="37"/>
      <c r="AC297" s="31"/>
      <c r="AD297" s="34"/>
      <c r="AE297" s="30" t="str">
        <f t="shared" si="5"/>
        <v/>
      </c>
      <c r="AF297" s="41" t="str">
        <f t="shared" si="6"/>
        <v/>
      </c>
      <c r="AG297" s="40" t="str">
        <f t="shared" si="13"/>
        <v/>
      </c>
      <c r="AH297" s="32" t="str">
        <f>IF(OR($L297="",$H297="",$AG297&lt;=0),"",MAX(0,TODAY()-($H297+Settings!$J$6)))</f>
        <v/>
      </c>
      <c r="AI297" s="37"/>
      <c r="AJ297" s="33"/>
      <c r="AK297" s="31"/>
      <c r="AL297" s="31"/>
      <c r="AM297" s="31"/>
      <c r="AN297" s="34"/>
      <c r="AO297" s="44">
        <f t="shared" si="14"/>
        <v>0</v>
      </c>
      <c r="AP297" s="48" t="str">
        <f t="shared" si="9"/>
        <v/>
      </c>
      <c r="AQ297" s="33"/>
      <c r="AR297" s="49" t="str">
        <f t="shared" si="10"/>
        <v/>
      </c>
      <c r="AS297" s="49" t="str">
        <f t="shared" si="11"/>
        <v/>
      </c>
      <c r="AT297" s="32" t="str">
        <f t="shared" si="12"/>
        <v/>
      </c>
    </row>
    <row r="298" ht="18.0" customHeight="1">
      <c r="A298" s="31"/>
      <c r="B298" s="31"/>
      <c r="C298" s="31"/>
      <c r="D298" s="32" t="str">
        <f>IF($A298="","",IF(COUNT($D$2:D297)=0,Settings!$J$5,MAX($D$2:D297)+1))</f>
        <v/>
      </c>
      <c r="E298" s="33"/>
      <c r="F298" s="34"/>
      <c r="G298" s="34"/>
      <c r="H298" s="34"/>
      <c r="I298" s="31"/>
      <c r="J298" s="31"/>
      <c r="K298" s="31"/>
      <c r="L298" s="37"/>
      <c r="M298" s="30" t="str">
        <f t="shared" si="1"/>
        <v/>
      </c>
      <c r="N298" s="38"/>
      <c r="O298" s="30" t="str">
        <f>IF($L298="","",$L298*IF($N298="",Settings!$J$11,$N298))</f>
        <v/>
      </c>
      <c r="P298" s="30" t="str">
        <f t="shared" si="15"/>
        <v/>
      </c>
      <c r="Q298" s="31"/>
      <c r="R298" s="37"/>
      <c r="S298" s="30" t="str">
        <f>IF($L298="","",IF($Q298&lt;&gt;"Yes",0,IF($R298&lt;&gt;"",$R298,ROUND($L298*Settings!$J$4,2))))</f>
        <v/>
      </c>
      <c r="T298" s="40" t="str">
        <f t="shared" si="3"/>
        <v/>
      </c>
      <c r="U298" s="30" t="str">
        <f t="shared" si="4"/>
        <v/>
      </c>
      <c r="V298" s="37"/>
      <c r="W298" s="31"/>
      <c r="X298" s="34"/>
      <c r="Y298" s="37"/>
      <c r="Z298" s="31"/>
      <c r="AA298" s="34"/>
      <c r="AB298" s="37"/>
      <c r="AC298" s="31"/>
      <c r="AD298" s="34"/>
      <c r="AE298" s="30" t="str">
        <f t="shared" si="5"/>
        <v/>
      </c>
      <c r="AF298" s="41" t="str">
        <f t="shared" si="6"/>
        <v/>
      </c>
      <c r="AG298" s="40" t="str">
        <f t="shared" si="13"/>
        <v/>
      </c>
      <c r="AH298" s="32" t="str">
        <f>IF(OR($L298="",$H298="",$AG298&lt;=0),"",MAX(0,TODAY()-($H298+Settings!$J$6)))</f>
        <v/>
      </c>
      <c r="AI298" s="37"/>
      <c r="AJ298" s="33"/>
      <c r="AK298" s="31"/>
      <c r="AL298" s="31"/>
      <c r="AM298" s="31"/>
      <c r="AN298" s="34"/>
      <c r="AO298" s="44">
        <f t="shared" si="14"/>
        <v>0</v>
      </c>
      <c r="AP298" s="48" t="str">
        <f t="shared" si="9"/>
        <v/>
      </c>
      <c r="AQ298" s="33"/>
      <c r="AR298" s="49" t="str">
        <f t="shared" si="10"/>
        <v/>
      </c>
      <c r="AS298" s="49" t="str">
        <f t="shared" si="11"/>
        <v/>
      </c>
      <c r="AT298" s="32" t="str">
        <f t="shared" si="12"/>
        <v/>
      </c>
    </row>
    <row r="299" ht="18.0" customHeight="1">
      <c r="A299" s="31"/>
      <c r="B299" s="31"/>
      <c r="C299" s="31"/>
      <c r="D299" s="32" t="str">
        <f>IF($A299="","",IF(COUNT($D$2:D298)=0,Settings!$J$5,MAX($D$2:D298)+1))</f>
        <v/>
      </c>
      <c r="E299" s="33"/>
      <c r="F299" s="34"/>
      <c r="G299" s="34"/>
      <c r="H299" s="34"/>
      <c r="I299" s="31"/>
      <c r="J299" s="31"/>
      <c r="K299" s="31"/>
      <c r="L299" s="37"/>
      <c r="M299" s="30" t="str">
        <f t="shared" si="1"/>
        <v/>
      </c>
      <c r="N299" s="38"/>
      <c r="O299" s="30" t="str">
        <f>IF($L299="","",$L299*IF($N299="",Settings!$J$11,$N299))</f>
        <v/>
      </c>
      <c r="P299" s="30" t="str">
        <f t="shared" si="15"/>
        <v/>
      </c>
      <c r="Q299" s="31"/>
      <c r="R299" s="37"/>
      <c r="S299" s="30" t="str">
        <f>IF($L299="","",IF($Q299&lt;&gt;"Yes",0,IF($R299&lt;&gt;"",$R299,ROUND($L299*Settings!$J$4,2))))</f>
        <v/>
      </c>
      <c r="T299" s="40" t="str">
        <f t="shared" si="3"/>
        <v/>
      </c>
      <c r="U299" s="30" t="str">
        <f t="shared" si="4"/>
        <v/>
      </c>
      <c r="V299" s="37"/>
      <c r="W299" s="31"/>
      <c r="X299" s="34"/>
      <c r="Y299" s="37"/>
      <c r="Z299" s="31"/>
      <c r="AA299" s="34"/>
      <c r="AB299" s="37"/>
      <c r="AC299" s="31"/>
      <c r="AD299" s="34"/>
      <c r="AE299" s="30" t="str">
        <f t="shared" si="5"/>
        <v/>
      </c>
      <c r="AF299" s="41" t="str">
        <f t="shared" si="6"/>
        <v/>
      </c>
      <c r="AG299" s="40" t="str">
        <f t="shared" si="13"/>
        <v/>
      </c>
      <c r="AH299" s="32" t="str">
        <f>IF(OR($L299="",$H299="",$AG299&lt;=0),"",MAX(0,TODAY()-($H299+Settings!$J$6)))</f>
        <v/>
      </c>
      <c r="AI299" s="37"/>
      <c r="AJ299" s="33"/>
      <c r="AK299" s="31"/>
      <c r="AL299" s="31"/>
      <c r="AM299" s="31"/>
      <c r="AN299" s="34"/>
      <c r="AO299" s="44">
        <f t="shared" si="14"/>
        <v>0</v>
      </c>
      <c r="AP299" s="48" t="str">
        <f t="shared" si="9"/>
        <v/>
      </c>
      <c r="AQ299" s="33"/>
      <c r="AR299" s="49" t="str">
        <f t="shared" si="10"/>
        <v/>
      </c>
      <c r="AS299" s="49" t="str">
        <f t="shared" si="11"/>
        <v/>
      </c>
      <c r="AT299" s="32" t="str">
        <f t="shared" si="12"/>
        <v/>
      </c>
    </row>
    <row r="300" ht="18.0" customHeight="1">
      <c r="A300" s="31"/>
      <c r="B300" s="31"/>
      <c r="C300" s="31"/>
      <c r="D300" s="32" t="str">
        <f>IF($A300="","",IF(COUNT($D$2:D299)=0,Settings!$J$5,MAX($D$2:D299)+1))</f>
        <v/>
      </c>
      <c r="E300" s="33"/>
      <c r="F300" s="34"/>
      <c r="G300" s="34"/>
      <c r="H300" s="34"/>
      <c r="I300" s="31"/>
      <c r="J300" s="31"/>
      <c r="K300" s="31"/>
      <c r="L300" s="37"/>
      <c r="M300" s="30" t="str">
        <f t="shared" si="1"/>
        <v/>
      </c>
      <c r="N300" s="38"/>
      <c r="O300" s="30" t="str">
        <f>IF($L300="","",$L300*IF($N300="",Settings!$J$11,$N300))</f>
        <v/>
      </c>
      <c r="P300" s="30" t="str">
        <f t="shared" si="15"/>
        <v/>
      </c>
      <c r="Q300" s="31"/>
      <c r="R300" s="37"/>
      <c r="S300" s="30" t="str">
        <f>IF($L300="","",IF($Q300&lt;&gt;"Yes",0,IF($R300&lt;&gt;"",$R300,ROUND($L300*Settings!$J$4,2))))</f>
        <v/>
      </c>
      <c r="T300" s="40" t="str">
        <f t="shared" si="3"/>
        <v/>
      </c>
      <c r="U300" s="30" t="str">
        <f t="shared" si="4"/>
        <v/>
      </c>
      <c r="V300" s="37"/>
      <c r="W300" s="31"/>
      <c r="X300" s="34"/>
      <c r="Y300" s="37"/>
      <c r="Z300" s="31"/>
      <c r="AA300" s="34"/>
      <c r="AB300" s="37"/>
      <c r="AC300" s="31"/>
      <c r="AD300" s="34"/>
      <c r="AE300" s="30" t="str">
        <f t="shared" si="5"/>
        <v/>
      </c>
      <c r="AF300" s="41" t="str">
        <f t="shared" si="6"/>
        <v/>
      </c>
      <c r="AG300" s="40" t="str">
        <f t="shared" si="13"/>
        <v/>
      </c>
      <c r="AH300" s="32" t="str">
        <f>IF(OR($L300="",$H300="",$AG300&lt;=0),"",MAX(0,TODAY()-($H300+Settings!$J$6)))</f>
        <v/>
      </c>
      <c r="AI300" s="37"/>
      <c r="AJ300" s="33"/>
      <c r="AK300" s="31"/>
      <c r="AL300" s="31"/>
      <c r="AM300" s="31"/>
      <c r="AN300" s="34"/>
      <c r="AO300" s="44">
        <f t="shared" si="14"/>
        <v>0</v>
      </c>
      <c r="AP300" s="48" t="str">
        <f t="shared" si="9"/>
        <v/>
      </c>
      <c r="AQ300" s="33"/>
      <c r="AR300" s="49" t="str">
        <f t="shared" si="10"/>
        <v/>
      </c>
      <c r="AS300" s="49" t="str">
        <f t="shared" si="11"/>
        <v/>
      </c>
      <c r="AT300" s="32" t="str">
        <f t="shared" si="12"/>
        <v/>
      </c>
    </row>
    <row r="301" ht="18.0" customHeight="1">
      <c r="A301" s="31"/>
      <c r="B301" s="31"/>
      <c r="C301" s="31"/>
      <c r="D301" s="32" t="str">
        <f>IF($A301="","",IF(COUNT($D$2:D300)=0,Settings!$J$5,MAX($D$2:D300)+1))</f>
        <v/>
      </c>
      <c r="E301" s="33"/>
      <c r="F301" s="34"/>
      <c r="G301" s="34"/>
      <c r="H301" s="34"/>
      <c r="I301" s="31"/>
      <c r="J301" s="31"/>
      <c r="K301" s="31"/>
      <c r="L301" s="37"/>
      <c r="M301" s="30" t="str">
        <f t="shared" si="1"/>
        <v/>
      </c>
      <c r="N301" s="38"/>
      <c r="O301" s="30" t="str">
        <f>IF($L301="","",$L301*IF($N301="",Settings!$J$11,$N301))</f>
        <v/>
      </c>
      <c r="P301" s="30" t="str">
        <f t="shared" si="15"/>
        <v/>
      </c>
      <c r="Q301" s="31"/>
      <c r="R301" s="37"/>
      <c r="S301" s="30" t="str">
        <f>IF($L301="","",IF($Q301&lt;&gt;"Yes",0,IF($R301&lt;&gt;"",$R301,ROUND($L301*Settings!$J$4,2))))</f>
        <v/>
      </c>
      <c r="T301" s="40" t="str">
        <f t="shared" si="3"/>
        <v/>
      </c>
      <c r="U301" s="30" t="str">
        <f t="shared" si="4"/>
        <v/>
      </c>
      <c r="V301" s="37"/>
      <c r="W301" s="31"/>
      <c r="X301" s="34"/>
      <c r="Y301" s="37"/>
      <c r="Z301" s="31"/>
      <c r="AA301" s="34"/>
      <c r="AB301" s="37"/>
      <c r="AC301" s="31"/>
      <c r="AD301" s="34"/>
      <c r="AE301" s="30" t="str">
        <f t="shared" si="5"/>
        <v/>
      </c>
      <c r="AF301" s="41" t="str">
        <f t="shared" si="6"/>
        <v/>
      </c>
      <c r="AG301" s="40" t="str">
        <f t="shared" si="13"/>
        <v/>
      </c>
      <c r="AH301" s="32" t="str">
        <f>IF(OR($L301="",$H301="",$AG301&lt;=0),"",MAX(0,TODAY()-($H301+Settings!$J$6)))</f>
        <v/>
      </c>
      <c r="AI301" s="37"/>
      <c r="AJ301" s="33"/>
      <c r="AK301" s="31"/>
      <c r="AL301" s="31"/>
      <c r="AM301" s="31"/>
      <c r="AN301" s="34"/>
      <c r="AO301" s="44">
        <f t="shared" si="14"/>
        <v>0</v>
      </c>
      <c r="AP301" s="48" t="str">
        <f t="shared" si="9"/>
        <v/>
      </c>
      <c r="AQ301" s="33"/>
      <c r="AR301" s="49" t="str">
        <f t="shared" si="10"/>
        <v/>
      </c>
      <c r="AS301" s="49" t="str">
        <f t="shared" si="11"/>
        <v/>
      </c>
      <c r="AT301" s="32" t="str">
        <f t="shared" si="12"/>
        <v/>
      </c>
    </row>
    <row r="302" ht="18.0" customHeight="1">
      <c r="A302" s="31"/>
      <c r="B302" s="31"/>
      <c r="C302" s="31"/>
      <c r="D302" s="32" t="str">
        <f>IF($A302="","",IF(COUNT($D$2:D301)=0,Settings!$J$5,MAX($D$2:D301)+1))</f>
        <v/>
      </c>
      <c r="E302" s="33"/>
      <c r="F302" s="34"/>
      <c r="G302" s="34"/>
      <c r="H302" s="34"/>
      <c r="I302" s="31"/>
      <c r="J302" s="31"/>
      <c r="K302" s="31"/>
      <c r="L302" s="37"/>
      <c r="M302" s="30" t="str">
        <f t="shared" si="1"/>
        <v/>
      </c>
      <c r="N302" s="38"/>
      <c r="O302" s="30" t="str">
        <f>IF($L302="","",$L302*IF($N302="",Settings!$J$11,$N302))</f>
        <v/>
      </c>
      <c r="P302" s="30" t="str">
        <f t="shared" si="15"/>
        <v/>
      </c>
      <c r="Q302" s="31"/>
      <c r="R302" s="37"/>
      <c r="S302" s="30" t="str">
        <f>IF($L302="","",IF($Q302&lt;&gt;"Yes",0,IF($R302&lt;&gt;"",$R302,ROUND($L302*Settings!$J$4,2))))</f>
        <v/>
      </c>
      <c r="T302" s="40" t="str">
        <f t="shared" si="3"/>
        <v/>
      </c>
      <c r="U302" s="30" t="str">
        <f t="shared" si="4"/>
        <v/>
      </c>
      <c r="V302" s="37"/>
      <c r="W302" s="31"/>
      <c r="X302" s="34"/>
      <c r="Y302" s="37"/>
      <c r="Z302" s="31"/>
      <c r="AA302" s="34"/>
      <c r="AB302" s="37"/>
      <c r="AC302" s="31"/>
      <c r="AD302" s="34"/>
      <c r="AE302" s="30" t="str">
        <f t="shared" si="5"/>
        <v/>
      </c>
      <c r="AF302" s="41" t="str">
        <f t="shared" si="6"/>
        <v/>
      </c>
      <c r="AG302" s="40" t="str">
        <f t="shared" si="13"/>
        <v/>
      </c>
      <c r="AH302" s="32" t="str">
        <f>IF(OR($L302="",$H302="",$AG302&lt;=0),"",MAX(0,TODAY()-($H302+Settings!$J$6)))</f>
        <v/>
      </c>
      <c r="AI302" s="37"/>
      <c r="AJ302" s="33"/>
      <c r="AK302" s="31"/>
      <c r="AL302" s="31"/>
      <c r="AM302" s="31"/>
      <c r="AN302" s="34"/>
      <c r="AO302" s="44">
        <f t="shared" si="14"/>
        <v>0</v>
      </c>
      <c r="AP302" s="48" t="str">
        <f t="shared" si="9"/>
        <v/>
      </c>
      <c r="AQ302" s="33"/>
      <c r="AR302" s="49" t="str">
        <f t="shared" si="10"/>
        <v/>
      </c>
      <c r="AS302" s="49" t="str">
        <f t="shared" si="11"/>
        <v/>
      </c>
      <c r="AT302" s="32" t="str">
        <f t="shared" si="12"/>
        <v/>
      </c>
    </row>
    <row r="303" ht="18.0" customHeight="1">
      <c r="A303" s="31"/>
      <c r="B303" s="31"/>
      <c r="C303" s="31"/>
      <c r="D303" s="32" t="str">
        <f>IF($A303="","",IF(COUNT($D$2:D302)=0,Settings!$J$5,MAX($D$2:D302)+1))</f>
        <v/>
      </c>
      <c r="E303" s="33"/>
      <c r="F303" s="34"/>
      <c r="G303" s="34"/>
      <c r="H303" s="34"/>
      <c r="I303" s="31"/>
      <c r="J303" s="31"/>
      <c r="K303" s="31"/>
      <c r="L303" s="37"/>
      <c r="M303" s="30" t="str">
        <f t="shared" si="1"/>
        <v/>
      </c>
      <c r="N303" s="38"/>
      <c r="O303" s="30" t="str">
        <f>IF($L303="","",$L303*IF($N303="",Settings!$J$11,$N303))</f>
        <v/>
      </c>
      <c r="P303" s="30" t="str">
        <f t="shared" si="15"/>
        <v/>
      </c>
      <c r="Q303" s="31"/>
      <c r="R303" s="37"/>
      <c r="S303" s="30" t="str">
        <f>IF($L303="","",IF($Q303&lt;&gt;"Yes",0,IF($R303&lt;&gt;"",$R303,ROUND($L303*Settings!$J$4,2))))</f>
        <v/>
      </c>
      <c r="T303" s="40" t="str">
        <f t="shared" si="3"/>
        <v/>
      </c>
      <c r="U303" s="30" t="str">
        <f t="shared" si="4"/>
        <v/>
      </c>
      <c r="V303" s="37"/>
      <c r="W303" s="31"/>
      <c r="X303" s="34"/>
      <c r="Y303" s="37"/>
      <c r="Z303" s="31"/>
      <c r="AA303" s="34"/>
      <c r="AB303" s="37"/>
      <c r="AC303" s="31"/>
      <c r="AD303" s="34"/>
      <c r="AE303" s="30" t="str">
        <f t="shared" si="5"/>
        <v/>
      </c>
      <c r="AF303" s="41" t="str">
        <f t="shared" si="6"/>
        <v/>
      </c>
      <c r="AG303" s="40" t="str">
        <f t="shared" si="13"/>
        <v/>
      </c>
      <c r="AH303" s="32" t="str">
        <f>IF(OR($L303="",$H303="",$AG303&lt;=0),"",MAX(0,TODAY()-($H303+Settings!$J$6)))</f>
        <v/>
      </c>
      <c r="AI303" s="37"/>
      <c r="AJ303" s="33"/>
      <c r="AK303" s="31"/>
      <c r="AL303" s="31"/>
      <c r="AM303" s="31"/>
      <c r="AN303" s="34"/>
      <c r="AO303" s="44">
        <f t="shared" si="14"/>
        <v>0</v>
      </c>
      <c r="AP303" s="48" t="str">
        <f t="shared" si="9"/>
        <v/>
      </c>
      <c r="AQ303" s="33"/>
      <c r="AR303" s="49" t="str">
        <f t="shared" si="10"/>
        <v/>
      </c>
      <c r="AS303" s="49" t="str">
        <f t="shared" si="11"/>
        <v/>
      </c>
      <c r="AT303" s="32" t="str">
        <f t="shared" si="12"/>
        <v/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T$303"/>
  <mergeCells count="7">
    <mergeCell ref="A1:J1"/>
    <mergeCell ref="K1:U1"/>
    <mergeCell ref="V1:AD1"/>
    <mergeCell ref="AE1:AH1"/>
    <mergeCell ref="AI1:AN1"/>
    <mergeCell ref="AO1:AP1"/>
    <mergeCell ref="AQ1:AT1"/>
  </mergeCells>
  <conditionalFormatting sqref="J3:J303">
    <cfRule type="expression" dxfId="0" priority="1">
      <formula>$J3="Quote Sent"</formula>
    </cfRule>
  </conditionalFormatting>
  <conditionalFormatting sqref="J3:J303">
    <cfRule type="expression" dxfId="1" priority="2">
      <formula>$J3="Confirmed - Awaiting Payment"</formula>
    </cfRule>
  </conditionalFormatting>
  <conditionalFormatting sqref="J3:J303">
    <cfRule type="expression" dxfId="2" priority="3">
      <formula>$J3="Part Paid"</formula>
    </cfRule>
  </conditionalFormatting>
  <conditionalFormatting sqref="J3:J303">
    <cfRule type="expression" dxfId="3" priority="4">
      <formula>$J3="Paid in Full"</formula>
    </cfRule>
  </conditionalFormatting>
  <conditionalFormatting sqref="J3:J303">
    <cfRule type="expression" dxfId="4" priority="5">
      <formula>$J3="Refund Due"</formula>
    </cfRule>
  </conditionalFormatting>
  <conditionalFormatting sqref="J3:J303">
    <cfRule type="expression" dxfId="5" priority="6">
      <formula>$J3="Complete"</formula>
    </cfRule>
  </conditionalFormatting>
  <conditionalFormatting sqref="J3:J303">
    <cfRule type="expression" dxfId="6" priority="7">
      <formula>$J3="Cancelled"</formula>
    </cfRule>
  </conditionalFormatting>
  <conditionalFormatting sqref="A3:A303">
    <cfRule type="expression" dxfId="0" priority="8">
      <formula>$J3="Quote Sent"</formula>
    </cfRule>
  </conditionalFormatting>
  <conditionalFormatting sqref="A3:A303">
    <cfRule type="expression" dxfId="7" priority="9">
      <formula>$J3="Confirmed - Awaiting Payment"</formula>
    </cfRule>
  </conditionalFormatting>
  <conditionalFormatting sqref="A3:A303">
    <cfRule type="expression" dxfId="8" priority="10">
      <formula>$J3="Part Paid"</formula>
    </cfRule>
  </conditionalFormatting>
  <conditionalFormatting sqref="A3:A303">
    <cfRule type="expression" dxfId="9" priority="11">
      <formula>$J3="Paid in Full"</formula>
    </cfRule>
  </conditionalFormatting>
  <conditionalFormatting sqref="A3:A303">
    <cfRule type="expression" dxfId="10" priority="12">
      <formula>$J3="Refund Due"</formula>
    </cfRule>
  </conditionalFormatting>
  <conditionalFormatting sqref="A3:A303">
    <cfRule type="expression" dxfId="11" priority="13">
      <formula>$J3="Complete"</formula>
    </cfRule>
  </conditionalFormatting>
  <conditionalFormatting sqref="A3:A303">
    <cfRule type="expression" dxfId="12" priority="14">
      <formula>$J3="Cancelled"</formula>
    </cfRule>
  </conditionalFormatting>
  <conditionalFormatting sqref="A3:A303">
    <cfRule type="expression" dxfId="13" priority="15">
      <formula>AND($L3&lt;&gt;"",$J3="")</formula>
    </cfRule>
  </conditionalFormatting>
  <conditionalFormatting sqref="C3:I303">
    <cfRule type="expression" dxfId="0" priority="16">
      <formula>$J3="Quote Sent"</formula>
    </cfRule>
  </conditionalFormatting>
  <conditionalFormatting sqref="C3:I303">
    <cfRule type="expression" dxfId="7" priority="17">
      <formula>$J3="Confirmed - Awaiting Payment"</formula>
    </cfRule>
  </conditionalFormatting>
  <conditionalFormatting sqref="C3:I303">
    <cfRule type="expression" dxfId="8" priority="18">
      <formula>$J3="Part Paid"</formula>
    </cfRule>
  </conditionalFormatting>
  <conditionalFormatting sqref="C3:I303">
    <cfRule type="expression" dxfId="9" priority="19">
      <formula>$J3="Paid in Full"</formula>
    </cfRule>
  </conditionalFormatting>
  <conditionalFormatting sqref="C3:I303">
    <cfRule type="expression" dxfId="10" priority="20">
      <formula>$J3="Refund Due"</formula>
    </cfRule>
  </conditionalFormatting>
  <conditionalFormatting sqref="C3:I303">
    <cfRule type="expression" dxfId="11" priority="21">
      <formula>$J3="Complete"</formula>
    </cfRule>
  </conditionalFormatting>
  <conditionalFormatting sqref="C3:I303">
    <cfRule type="expression" dxfId="12" priority="22">
      <formula>$J3="Cancelled"</formula>
    </cfRule>
  </conditionalFormatting>
  <conditionalFormatting sqref="C3:I303">
    <cfRule type="expression" dxfId="13" priority="23">
      <formula>AND($L3&lt;&gt;"",$J3="")</formula>
    </cfRule>
  </conditionalFormatting>
  <conditionalFormatting sqref="K3:AE303">
    <cfRule type="expression" dxfId="0" priority="24">
      <formula>$J3="Quote Sent"</formula>
    </cfRule>
  </conditionalFormatting>
  <conditionalFormatting sqref="K3:AE303">
    <cfRule type="expression" dxfId="7" priority="25">
      <formula>$J3="Confirmed - Awaiting Payment"</formula>
    </cfRule>
  </conditionalFormatting>
  <conditionalFormatting sqref="K3:AE303">
    <cfRule type="expression" dxfId="8" priority="26">
      <formula>$J3="Part Paid"</formula>
    </cfRule>
  </conditionalFormatting>
  <conditionalFormatting sqref="K3:AE303">
    <cfRule type="expression" dxfId="9" priority="27">
      <formula>$J3="Paid in Full"</formula>
    </cfRule>
  </conditionalFormatting>
  <conditionalFormatting sqref="K3:AE303">
    <cfRule type="expression" dxfId="10" priority="28">
      <formula>$J3="Refund Due"</formula>
    </cfRule>
  </conditionalFormatting>
  <conditionalFormatting sqref="K3:AE303">
    <cfRule type="expression" dxfId="11" priority="29">
      <formula>$J3="Complete"</formula>
    </cfRule>
  </conditionalFormatting>
  <conditionalFormatting sqref="K3:AE303">
    <cfRule type="expression" dxfId="12" priority="30">
      <formula>$J3="Cancelled"</formula>
    </cfRule>
  </conditionalFormatting>
  <conditionalFormatting sqref="K3:AE303">
    <cfRule type="expression" dxfId="13" priority="31">
      <formula>AND($L3&lt;&gt;"",$J3="")</formula>
    </cfRule>
  </conditionalFormatting>
  <conditionalFormatting sqref="AQ3:AQ303">
    <cfRule type="expression" dxfId="0" priority="32">
      <formula>$J3="Quote Sent"</formula>
    </cfRule>
  </conditionalFormatting>
  <conditionalFormatting sqref="AQ3:AQ303">
    <cfRule type="expression" dxfId="7" priority="33">
      <formula>$J3="Confirmed - Awaiting Payment"</formula>
    </cfRule>
  </conditionalFormatting>
  <conditionalFormatting sqref="AQ3:AQ303">
    <cfRule type="expression" dxfId="8" priority="34">
      <formula>$J3="Part Paid"</formula>
    </cfRule>
  </conditionalFormatting>
  <conditionalFormatting sqref="AQ3:AQ303">
    <cfRule type="expression" dxfId="9" priority="35">
      <formula>$J3="Paid in Full"</formula>
    </cfRule>
  </conditionalFormatting>
  <conditionalFormatting sqref="AQ3:AQ303">
    <cfRule type="expression" dxfId="10" priority="36">
      <formula>$J3="Refund Due"</formula>
    </cfRule>
  </conditionalFormatting>
  <conditionalFormatting sqref="AQ3:AQ303">
    <cfRule type="expression" dxfId="11" priority="37">
      <formula>$J3="Complete"</formula>
    </cfRule>
  </conditionalFormatting>
  <conditionalFormatting sqref="AQ3:AQ303">
    <cfRule type="expression" dxfId="12" priority="38">
      <formula>$J3="Cancelled"</formula>
    </cfRule>
  </conditionalFormatting>
  <conditionalFormatting sqref="AQ3:AQ303">
    <cfRule type="expression" dxfId="13" priority="39">
      <formula>AND($L3&lt;&gt;"",$J3="")</formula>
    </cfRule>
  </conditionalFormatting>
  <conditionalFormatting sqref="B3:B303">
    <cfRule type="expression" dxfId="14" priority="40">
      <formula>$B3="Penni Black"</formula>
    </cfRule>
  </conditionalFormatting>
  <conditionalFormatting sqref="B3:B303">
    <cfRule type="expression" dxfId="15" priority="41">
      <formula>$B3="Venn"</formula>
    </cfRule>
  </conditionalFormatting>
  <conditionalFormatting sqref="B3:B303">
    <cfRule type="expression" dxfId="16" priority="42">
      <formula>$B3="Raquel's"</formula>
    </cfRule>
  </conditionalFormatting>
  <conditionalFormatting sqref="B3:B303">
    <cfRule type="expression" dxfId="17" priority="43">
      <formula>$B3="Free Spirit"</formula>
    </cfRule>
  </conditionalFormatting>
  <conditionalFormatting sqref="N3:N303">
    <cfRule type="expression" dxfId="18" priority="44">
      <formula>AND($L3&lt;&gt;"",$N3="")</formula>
    </cfRule>
  </conditionalFormatting>
  <conditionalFormatting sqref="F3:F303">
    <cfRule type="expression" dxfId="19" priority="45">
      <formula>AND($F3&lt;&gt;"",NOT(ISNUMBER($F3)))</formula>
    </cfRule>
  </conditionalFormatting>
  <conditionalFormatting sqref="G3:G303">
    <cfRule type="expression" dxfId="19" priority="46">
      <formula>AND($G3&lt;&gt;"",NOT(ISNUMBER($G3)))</formula>
    </cfRule>
  </conditionalFormatting>
  <conditionalFormatting sqref="AG3:AG303">
    <cfRule type="cellIs" dxfId="20" priority="47" operator="greaterThan">
      <formula>0</formula>
    </cfRule>
  </conditionalFormatting>
  <conditionalFormatting sqref="AG3:AG303">
    <cfRule type="expression" dxfId="21" priority="48">
      <formula>AND($L3&lt;&gt;"",$AG3=0)</formula>
    </cfRule>
  </conditionalFormatting>
  <conditionalFormatting sqref="AH3:AH303">
    <cfRule type="cellIs" dxfId="6" priority="49" operator="greaterThan">
      <formula>0</formula>
    </cfRule>
  </conditionalFormatting>
  <conditionalFormatting sqref="AI3:AN303">
    <cfRule type="expression" dxfId="4" priority="50">
      <formula>AND($S3&gt;0,$AN3="",OR($J3="Refund Due",$J3="Paid in Full"))</formula>
    </cfRule>
  </conditionalFormatting>
  <conditionalFormatting sqref="S3:S303">
    <cfRule type="expression" dxfId="2" priority="51">
      <formula>$R3&lt;&gt;""</formula>
    </cfRule>
  </conditionalFormatting>
  <conditionalFormatting sqref="AO3:AO303">
    <cfRule type="cellIs" dxfId="22" priority="52" operator="lessThan">
      <formula>0</formula>
    </cfRule>
  </conditionalFormatting>
  <conditionalFormatting sqref="AO3:AO303">
    <cfRule type="cellIs" dxfId="21" priority="53" operator="greaterThan">
      <formula>0</formula>
    </cfRule>
  </conditionalFormatting>
  <dataValidations>
    <dataValidation type="list" allowBlank="1" sqref="N3:N303">
      <formula1>Settings!$G$4:$G$10</formula1>
    </dataValidation>
    <dataValidation type="list" allowBlank="1" sqref="A3:A303">
      <formula1>Settings!$A$4:$A$20</formula1>
    </dataValidation>
    <dataValidation type="list" allowBlank="1" sqref="B3:B303">
      <formula1>Settings!$B$4:$B$15</formula1>
    </dataValidation>
    <dataValidation type="list" allowBlank="1" sqref="C3:C303">
      <formula1>Settings!$C$4:$C$10</formula1>
    </dataValidation>
    <dataValidation type="list" allowBlank="1" sqref="J3:J303">
      <formula1>Settings!$E$4:$E$12</formula1>
    </dataValidation>
    <dataValidation type="list" allowBlank="1" sqref="I3:I303">
      <formula1>Settings!$D$4:$D$10</formula1>
    </dataValidation>
    <dataValidation type="list" allowBlank="1" sqref="Q3:Q303">
      <formula1>"Yes,No"</formula1>
    </dataValidation>
    <dataValidation type="list" allowBlank="1" sqref="W3:W303 Z3:Z303 AC3:AC303 AM3:AM303">
      <formula1>Settings!$F$4:$F$14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1F5C"/>
    <pageSetUpPr/>
  </sheetPr>
  <sheetViews>
    <sheetView showGridLines="0"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/>
  <cols>
    <col customWidth="1" min="1" max="1" width="14.0"/>
    <col customWidth="1" min="2" max="2" width="11.0"/>
    <col customWidth="1" min="3" max="3" width="16.0"/>
    <col customWidth="1" min="4" max="4" width="14.0"/>
    <col customWidth="1" min="5" max="5" width="16.0"/>
    <col customWidth="1" min="6" max="6" width="13.0"/>
    <col customWidth="1" min="7" max="8" width="18.0"/>
    <col customWidth="1" min="9" max="9" width="15.0"/>
    <col customWidth="1" min="10" max="10" width="14.0"/>
    <col customWidth="1" min="11" max="11" width="12.0"/>
    <col customWidth="1" min="12" max="12" width="13.0"/>
    <col customWidth="1" min="13" max="13" width="17.0"/>
    <col customWidth="1" min="14" max="14" width="7.0"/>
    <col customWidth="1" min="15" max="26" width="8.71"/>
  </cols>
  <sheetData>
    <row r="1" ht="25.5" customHeight="1">
      <c r="A1" s="7" t="s">
        <v>4</v>
      </c>
      <c r="E1" s="17" t="str">
        <f t="array" ref="E1">IFERROR("NEXT PAYMENT: "&amp;TEXT(INDEX($J$7:$J$18,MATCH(1,$N$7:$N$18,0)),"£#,##0.00")&amp;"  for "&amp;TEXT(INDEX($A$7:$A$18,MATCH(1,$N$7:$N$18,0)),"MMMM")&amp;"  -  in by "&amp;TEXT(INDEX($L$7:$L$18,MATCH(1,$N$7:$N$18,0)),"D MMMM"),"ALL PAID UP TO DATE")</f>
        <v>NEXT PAYMENT: £17,576.25  for September  -  in by 25 October</v>
      </c>
      <c r="F1" s="2"/>
      <c r="G1" s="2"/>
      <c r="H1" s="2"/>
      <c r="I1" s="4"/>
    </row>
    <row r="2">
      <c r="A2" s="5" t="str">
        <f>Settings!$J$8*100&amp;"% of turnover, month by month, by EVENT date, running from "&amp;TEXT(Settings!$J$10,"D MMMM YYYY")&amp;". Turnover is ex VAT and adjusted by whatever the deposit refund actually came to. Cancelled jobs are excluded."</f>
        <v>20% of turnover, month by month, by EVENT date, running from 1 September 2026. Turnover is ex VAT and adjusted by whatever the deposit refund actually came to. Cancelled jobs are excluded.</v>
      </c>
      <c r="E2" s="23" t="str">
        <f t="array" ref="E2">IFERROR(IF(TODAY()&gt;INDEX($L$7:$L$18,MATCH(1,$N$7:$N$18,0)),"OVERDUE - this should already be with the Collective",INDEX($L$7:$L$18,MATCH(1,$N$7:$N$18,0))-TODAY()&amp;" days to go"),"")</f>
        <v>23 days to go</v>
      </c>
    </row>
    <row r="3">
      <c r="A3" s="25" t="s">
        <v>49</v>
      </c>
      <c r="B3" s="27">
        <f>TODAY()</f>
        <v>46297</v>
      </c>
      <c r="C3" s="28" t="s">
        <v>57</v>
      </c>
    </row>
    <row r="5">
      <c r="A5" s="29" t="s">
        <v>6</v>
      </c>
      <c r="B5" s="2"/>
      <c r="C5" s="2"/>
      <c r="D5" s="2"/>
      <c r="E5" s="2"/>
      <c r="F5" s="2"/>
      <c r="G5" s="2"/>
      <c r="H5" s="2"/>
      <c r="I5" s="2"/>
      <c r="J5" s="2"/>
      <c r="K5" s="4"/>
    </row>
    <row r="6" ht="33.75" customHeight="1">
      <c r="A6" s="11" t="s">
        <v>8</v>
      </c>
      <c r="B6" s="11" t="s">
        <v>10</v>
      </c>
      <c r="C6" s="11" t="s">
        <v>64</v>
      </c>
      <c r="D6" s="11" t="s">
        <v>66</v>
      </c>
      <c r="E6" s="11" t="s">
        <v>67</v>
      </c>
      <c r="F6" s="11" t="s">
        <v>68</v>
      </c>
      <c r="G6" s="26" t="s">
        <v>69</v>
      </c>
      <c r="H6" s="26" t="s">
        <v>70</v>
      </c>
      <c r="I6" s="11" t="s">
        <v>71</v>
      </c>
      <c r="J6" s="11" t="s">
        <v>72</v>
      </c>
      <c r="K6" s="11" t="s">
        <v>74</v>
      </c>
      <c r="L6" s="26" t="s">
        <v>75</v>
      </c>
      <c r="M6" s="26" t="s">
        <v>77</v>
      </c>
      <c r="N6" s="36" t="s">
        <v>78</v>
      </c>
    </row>
    <row r="7">
      <c r="A7" s="20">
        <f>DATE(Settings!$J$7,1,1)</f>
        <v>46023</v>
      </c>
      <c r="B7" s="22">
        <f>COUNTIFS('Invoice Log'!$AS$3:$AS$303,$A7,'Invoice Log'!$AR$3:$AR$303,"&lt;="&amp;$B$3,'Invoice Log'!$AR$3:$AR$303,"&gt;="&amp;Settings!$J$10,'Invoice Log'!$J$3:$J$303,"&lt;&gt;Cancelled")</f>
        <v>0</v>
      </c>
      <c r="C7" s="30">
        <f>SUMIFS('Invoice Log'!$L$3:$L$303,'Invoice Log'!$AS$3:$AS$303,$A7,'Invoice Log'!$AR$3:$AR$303,"&lt;="&amp;$B$3,'Invoice Log'!$AR$3:$AR$303,"&gt;="&amp;Settings!$J$10,'Invoice Log'!$J$3:$J$303,"&lt;&gt;Cancelled")</f>
        <v>0</v>
      </c>
      <c r="D7" s="30">
        <f>SUMIFS('Invoice Log'!$S$3:$S$303,'Invoice Log'!$AS$3:$AS$303,$A7,'Invoice Log'!$AR$3:$AR$303,"&lt;="&amp;$B$3,'Invoice Log'!$AR$3:$AR$303,"&gt;="&amp;Settings!$J$10,'Invoice Log'!$J$3:$J$303,"&lt;&gt;Cancelled")</f>
        <v>0</v>
      </c>
      <c r="E7" s="30">
        <f>SUMIFS('Invoice Log'!$AI$3:$AI$303,'Invoice Log'!$AS$3:$AS$303,$A7,'Invoice Log'!$AR$3:$AR$303,"&lt;="&amp;$B$3,'Invoice Log'!$AR$3:$AR$303,"&gt;="&amp;Settings!$J$10,'Invoice Log'!$J$3:$J$303,"&lt;&gt;Cancelled")</f>
        <v>0</v>
      </c>
      <c r="F7" s="42">
        <f>SUMIFS('Invoice Log'!$AO$3:$AO$303,'Invoice Log'!$AS$3:$AS$303,$A7,'Invoice Log'!$AR$3:$AR$303,"&lt;="&amp;$B$3,'Invoice Log'!$AR$3:$AR$303,"&gt;="&amp;Settings!$J$10,'Invoice Log'!$J$3:$J$303,"&lt;&gt;Cancelled")</f>
        <v>0</v>
      </c>
      <c r="G7" s="43">
        <f>SUMIFS('Invoice Log'!$AP$3:$AP$303,'Invoice Log'!$AS$3:$AS$303,$A7,'Invoice Log'!$AR$3:$AR$303,"&lt;="&amp;$B$3,'Invoice Log'!$AR$3:$AR$303,"&gt;="&amp;Settings!$J$10,'Invoice Log'!$J$3:$J$303,"&lt;&gt;Cancelled")</f>
        <v>0</v>
      </c>
      <c r="H7" s="43">
        <f>ROUND($G7*Settings!$J$8,2)</f>
        <v>0</v>
      </c>
      <c r="I7" s="37"/>
      <c r="J7" s="30">
        <f t="shared" ref="J7:J18" si="1">IF($H7=0,0,ROUND($H7-N($I7),2))</f>
        <v>0</v>
      </c>
      <c r="K7" s="22">
        <f>COUNTIFS('Invoice Log'!$AS$3:$AS$303,$A7,'Invoice Log'!$AR$3:$AR$303,"&lt;="&amp;$B$3,'Invoice Log'!$AR$3:$AR$303,"&gt;="&amp;Settings!$J$10,'Invoice Log'!$J$3:$J$303,"&lt;&gt;Cancelled",'Invoice Log'!$S$3:$S$303,"&gt;0",'Invoice Log'!$AN$3:$AN$303,"")</f>
        <v>0</v>
      </c>
      <c r="L7" s="45">
        <f>DATE(Settings!$J$7,2,Settings!$J$9)</f>
        <v>46078</v>
      </c>
      <c r="M7" s="46" t="str">
        <f>IF(EOMONTH($A7,0)&lt;Settings!$J$10,"before the Collective",IF($H7=0,"",IF(N($I7)&gt;=$H7,"PAID",IF(TODAY()&gt;$L7,"OVERDUE","Due "&amp;TEXT($L7,"D MMM")))))</f>
        <v>before the Collective</v>
      </c>
      <c r="N7" s="47">
        <f t="shared" ref="N7:N18" si="2">IF(AND($H7&gt;0,N($I7)&lt;$H7),1,0)</f>
        <v>0</v>
      </c>
    </row>
    <row r="8">
      <c r="A8" s="20">
        <f>DATE(Settings!$J$7,2,1)</f>
        <v>46054</v>
      </c>
      <c r="B8" s="22">
        <f>COUNTIFS('Invoice Log'!$AS$3:$AS$303,$A8,'Invoice Log'!$AR$3:$AR$303,"&lt;="&amp;$B$3,'Invoice Log'!$AR$3:$AR$303,"&gt;="&amp;Settings!$J$10,'Invoice Log'!$J$3:$J$303,"&lt;&gt;Cancelled")</f>
        <v>0</v>
      </c>
      <c r="C8" s="30">
        <f>SUMIFS('Invoice Log'!$L$3:$L$303,'Invoice Log'!$AS$3:$AS$303,$A8,'Invoice Log'!$AR$3:$AR$303,"&lt;="&amp;$B$3,'Invoice Log'!$AR$3:$AR$303,"&gt;="&amp;Settings!$J$10,'Invoice Log'!$J$3:$J$303,"&lt;&gt;Cancelled")</f>
        <v>0</v>
      </c>
      <c r="D8" s="30">
        <f>SUMIFS('Invoice Log'!$S$3:$S$303,'Invoice Log'!$AS$3:$AS$303,$A8,'Invoice Log'!$AR$3:$AR$303,"&lt;="&amp;$B$3,'Invoice Log'!$AR$3:$AR$303,"&gt;="&amp;Settings!$J$10,'Invoice Log'!$J$3:$J$303,"&lt;&gt;Cancelled")</f>
        <v>0</v>
      </c>
      <c r="E8" s="30">
        <f>SUMIFS('Invoice Log'!$AI$3:$AI$303,'Invoice Log'!$AS$3:$AS$303,$A8,'Invoice Log'!$AR$3:$AR$303,"&lt;="&amp;$B$3,'Invoice Log'!$AR$3:$AR$303,"&gt;="&amp;Settings!$J$10,'Invoice Log'!$J$3:$J$303,"&lt;&gt;Cancelled")</f>
        <v>0</v>
      </c>
      <c r="F8" s="42">
        <f>SUMIFS('Invoice Log'!$AO$3:$AO$303,'Invoice Log'!$AS$3:$AS$303,$A8,'Invoice Log'!$AR$3:$AR$303,"&lt;="&amp;$B$3,'Invoice Log'!$AR$3:$AR$303,"&gt;="&amp;Settings!$J$10,'Invoice Log'!$J$3:$J$303,"&lt;&gt;Cancelled")</f>
        <v>0</v>
      </c>
      <c r="G8" s="43">
        <f>SUMIFS('Invoice Log'!$AP$3:$AP$303,'Invoice Log'!$AS$3:$AS$303,$A8,'Invoice Log'!$AR$3:$AR$303,"&lt;="&amp;$B$3,'Invoice Log'!$AR$3:$AR$303,"&gt;="&amp;Settings!$J$10,'Invoice Log'!$J$3:$J$303,"&lt;&gt;Cancelled")</f>
        <v>0</v>
      </c>
      <c r="H8" s="43">
        <f>ROUND($G8*Settings!$J$8,2)</f>
        <v>0</v>
      </c>
      <c r="I8" s="37"/>
      <c r="J8" s="30">
        <f t="shared" si="1"/>
        <v>0</v>
      </c>
      <c r="K8" s="22">
        <f>COUNTIFS('Invoice Log'!$AS$3:$AS$303,$A8,'Invoice Log'!$AR$3:$AR$303,"&lt;="&amp;$B$3,'Invoice Log'!$AR$3:$AR$303,"&gt;="&amp;Settings!$J$10,'Invoice Log'!$J$3:$J$303,"&lt;&gt;Cancelled",'Invoice Log'!$S$3:$S$303,"&gt;0",'Invoice Log'!$AN$3:$AN$303,"")</f>
        <v>0</v>
      </c>
      <c r="L8" s="45">
        <f>DATE(Settings!$J$7,3,Settings!$J$9)</f>
        <v>46106</v>
      </c>
      <c r="M8" s="46" t="str">
        <f>IF(EOMONTH($A8,0)&lt;Settings!$J$10,"before the Collective",IF($H8=0,"",IF(N($I8)&gt;=$H8,"PAID",IF(TODAY()&gt;$L8,"OVERDUE","Due "&amp;TEXT($L8,"D MMM")))))</f>
        <v>before the Collective</v>
      </c>
      <c r="N8" s="47">
        <f t="shared" si="2"/>
        <v>0</v>
      </c>
    </row>
    <row r="9">
      <c r="A9" s="20">
        <f>DATE(Settings!$J$7,3,1)</f>
        <v>46082</v>
      </c>
      <c r="B9" s="22">
        <f>COUNTIFS('Invoice Log'!$AS$3:$AS$303,$A9,'Invoice Log'!$AR$3:$AR$303,"&lt;="&amp;$B$3,'Invoice Log'!$AR$3:$AR$303,"&gt;="&amp;Settings!$J$10,'Invoice Log'!$J$3:$J$303,"&lt;&gt;Cancelled")</f>
        <v>0</v>
      </c>
      <c r="C9" s="30">
        <f>SUMIFS('Invoice Log'!$L$3:$L$303,'Invoice Log'!$AS$3:$AS$303,$A9,'Invoice Log'!$AR$3:$AR$303,"&lt;="&amp;$B$3,'Invoice Log'!$AR$3:$AR$303,"&gt;="&amp;Settings!$J$10,'Invoice Log'!$J$3:$J$303,"&lt;&gt;Cancelled")</f>
        <v>0</v>
      </c>
      <c r="D9" s="30">
        <f>SUMIFS('Invoice Log'!$S$3:$S$303,'Invoice Log'!$AS$3:$AS$303,$A9,'Invoice Log'!$AR$3:$AR$303,"&lt;="&amp;$B$3,'Invoice Log'!$AR$3:$AR$303,"&gt;="&amp;Settings!$J$10,'Invoice Log'!$J$3:$J$303,"&lt;&gt;Cancelled")</f>
        <v>0</v>
      </c>
      <c r="E9" s="30">
        <f>SUMIFS('Invoice Log'!$AI$3:$AI$303,'Invoice Log'!$AS$3:$AS$303,$A9,'Invoice Log'!$AR$3:$AR$303,"&lt;="&amp;$B$3,'Invoice Log'!$AR$3:$AR$303,"&gt;="&amp;Settings!$J$10,'Invoice Log'!$J$3:$J$303,"&lt;&gt;Cancelled")</f>
        <v>0</v>
      </c>
      <c r="F9" s="42">
        <f>SUMIFS('Invoice Log'!$AO$3:$AO$303,'Invoice Log'!$AS$3:$AS$303,$A9,'Invoice Log'!$AR$3:$AR$303,"&lt;="&amp;$B$3,'Invoice Log'!$AR$3:$AR$303,"&gt;="&amp;Settings!$J$10,'Invoice Log'!$J$3:$J$303,"&lt;&gt;Cancelled")</f>
        <v>0</v>
      </c>
      <c r="G9" s="43">
        <f>SUMIFS('Invoice Log'!$AP$3:$AP$303,'Invoice Log'!$AS$3:$AS$303,$A9,'Invoice Log'!$AR$3:$AR$303,"&lt;="&amp;$B$3,'Invoice Log'!$AR$3:$AR$303,"&gt;="&amp;Settings!$J$10,'Invoice Log'!$J$3:$J$303,"&lt;&gt;Cancelled")</f>
        <v>0</v>
      </c>
      <c r="H9" s="43">
        <f>ROUND($G9*Settings!$J$8,2)</f>
        <v>0</v>
      </c>
      <c r="I9" s="37"/>
      <c r="J9" s="30">
        <f t="shared" si="1"/>
        <v>0</v>
      </c>
      <c r="K9" s="22">
        <f>COUNTIFS('Invoice Log'!$AS$3:$AS$303,$A9,'Invoice Log'!$AR$3:$AR$303,"&lt;="&amp;$B$3,'Invoice Log'!$AR$3:$AR$303,"&gt;="&amp;Settings!$J$10,'Invoice Log'!$J$3:$J$303,"&lt;&gt;Cancelled",'Invoice Log'!$S$3:$S$303,"&gt;0",'Invoice Log'!$AN$3:$AN$303,"")</f>
        <v>0</v>
      </c>
      <c r="L9" s="45">
        <f>DATE(Settings!$J$7,4,Settings!$J$9)</f>
        <v>46137</v>
      </c>
      <c r="M9" s="46" t="str">
        <f>IF(EOMONTH($A9,0)&lt;Settings!$J$10,"before the Collective",IF($H9=0,"",IF(N($I9)&gt;=$H9,"PAID",IF(TODAY()&gt;$L9,"OVERDUE","Due "&amp;TEXT($L9,"D MMM")))))</f>
        <v>before the Collective</v>
      </c>
      <c r="N9" s="47">
        <f t="shared" si="2"/>
        <v>0</v>
      </c>
    </row>
    <row r="10">
      <c r="A10" s="20">
        <f>DATE(Settings!$J$7,4,1)</f>
        <v>46113</v>
      </c>
      <c r="B10" s="22">
        <f>COUNTIFS('Invoice Log'!$AS$3:$AS$303,$A10,'Invoice Log'!$AR$3:$AR$303,"&lt;="&amp;$B$3,'Invoice Log'!$AR$3:$AR$303,"&gt;="&amp;Settings!$J$10,'Invoice Log'!$J$3:$J$303,"&lt;&gt;Cancelled")</f>
        <v>0</v>
      </c>
      <c r="C10" s="30">
        <f>SUMIFS('Invoice Log'!$L$3:$L$303,'Invoice Log'!$AS$3:$AS$303,$A10,'Invoice Log'!$AR$3:$AR$303,"&lt;="&amp;$B$3,'Invoice Log'!$AR$3:$AR$303,"&gt;="&amp;Settings!$J$10,'Invoice Log'!$J$3:$J$303,"&lt;&gt;Cancelled")</f>
        <v>0</v>
      </c>
      <c r="D10" s="30">
        <f>SUMIFS('Invoice Log'!$S$3:$S$303,'Invoice Log'!$AS$3:$AS$303,$A10,'Invoice Log'!$AR$3:$AR$303,"&lt;="&amp;$B$3,'Invoice Log'!$AR$3:$AR$303,"&gt;="&amp;Settings!$J$10,'Invoice Log'!$J$3:$J$303,"&lt;&gt;Cancelled")</f>
        <v>0</v>
      </c>
      <c r="E10" s="30">
        <f>SUMIFS('Invoice Log'!$AI$3:$AI$303,'Invoice Log'!$AS$3:$AS$303,$A10,'Invoice Log'!$AR$3:$AR$303,"&lt;="&amp;$B$3,'Invoice Log'!$AR$3:$AR$303,"&gt;="&amp;Settings!$J$10,'Invoice Log'!$J$3:$J$303,"&lt;&gt;Cancelled")</f>
        <v>0</v>
      </c>
      <c r="F10" s="42">
        <f>SUMIFS('Invoice Log'!$AO$3:$AO$303,'Invoice Log'!$AS$3:$AS$303,$A10,'Invoice Log'!$AR$3:$AR$303,"&lt;="&amp;$B$3,'Invoice Log'!$AR$3:$AR$303,"&gt;="&amp;Settings!$J$10,'Invoice Log'!$J$3:$J$303,"&lt;&gt;Cancelled")</f>
        <v>0</v>
      </c>
      <c r="G10" s="43">
        <f>SUMIFS('Invoice Log'!$AP$3:$AP$303,'Invoice Log'!$AS$3:$AS$303,$A10,'Invoice Log'!$AR$3:$AR$303,"&lt;="&amp;$B$3,'Invoice Log'!$AR$3:$AR$303,"&gt;="&amp;Settings!$J$10,'Invoice Log'!$J$3:$J$303,"&lt;&gt;Cancelled")</f>
        <v>0</v>
      </c>
      <c r="H10" s="43">
        <f>ROUND($G10*Settings!$J$8,2)</f>
        <v>0</v>
      </c>
      <c r="I10" s="37"/>
      <c r="J10" s="30">
        <f t="shared" si="1"/>
        <v>0</v>
      </c>
      <c r="K10" s="22">
        <f>COUNTIFS('Invoice Log'!$AS$3:$AS$303,$A10,'Invoice Log'!$AR$3:$AR$303,"&lt;="&amp;$B$3,'Invoice Log'!$AR$3:$AR$303,"&gt;="&amp;Settings!$J$10,'Invoice Log'!$J$3:$J$303,"&lt;&gt;Cancelled",'Invoice Log'!$S$3:$S$303,"&gt;0",'Invoice Log'!$AN$3:$AN$303,"")</f>
        <v>0</v>
      </c>
      <c r="L10" s="45">
        <f>DATE(Settings!$J$7,5,Settings!$J$9)</f>
        <v>46167</v>
      </c>
      <c r="M10" s="46" t="str">
        <f>IF(EOMONTH($A10,0)&lt;Settings!$J$10,"before the Collective",IF($H10=0,"",IF(N($I10)&gt;=$H10,"PAID",IF(TODAY()&gt;$L10,"OVERDUE","Due "&amp;TEXT($L10,"D MMM")))))</f>
        <v>before the Collective</v>
      </c>
      <c r="N10" s="47">
        <f t="shared" si="2"/>
        <v>0</v>
      </c>
    </row>
    <row r="11">
      <c r="A11" s="20">
        <f>DATE(Settings!$J$7,5,1)</f>
        <v>46143</v>
      </c>
      <c r="B11" s="22">
        <f>COUNTIFS('Invoice Log'!$AS$3:$AS$303,$A11,'Invoice Log'!$AR$3:$AR$303,"&lt;="&amp;$B$3,'Invoice Log'!$AR$3:$AR$303,"&gt;="&amp;Settings!$J$10,'Invoice Log'!$J$3:$J$303,"&lt;&gt;Cancelled")</f>
        <v>0</v>
      </c>
      <c r="C11" s="30">
        <f>SUMIFS('Invoice Log'!$L$3:$L$303,'Invoice Log'!$AS$3:$AS$303,$A11,'Invoice Log'!$AR$3:$AR$303,"&lt;="&amp;$B$3,'Invoice Log'!$AR$3:$AR$303,"&gt;="&amp;Settings!$J$10,'Invoice Log'!$J$3:$J$303,"&lt;&gt;Cancelled")</f>
        <v>0</v>
      </c>
      <c r="D11" s="30">
        <f>SUMIFS('Invoice Log'!$S$3:$S$303,'Invoice Log'!$AS$3:$AS$303,$A11,'Invoice Log'!$AR$3:$AR$303,"&lt;="&amp;$B$3,'Invoice Log'!$AR$3:$AR$303,"&gt;="&amp;Settings!$J$10,'Invoice Log'!$J$3:$J$303,"&lt;&gt;Cancelled")</f>
        <v>0</v>
      </c>
      <c r="E11" s="30">
        <f>SUMIFS('Invoice Log'!$AI$3:$AI$303,'Invoice Log'!$AS$3:$AS$303,$A11,'Invoice Log'!$AR$3:$AR$303,"&lt;="&amp;$B$3,'Invoice Log'!$AR$3:$AR$303,"&gt;="&amp;Settings!$J$10,'Invoice Log'!$J$3:$J$303,"&lt;&gt;Cancelled")</f>
        <v>0</v>
      </c>
      <c r="F11" s="42">
        <f>SUMIFS('Invoice Log'!$AO$3:$AO$303,'Invoice Log'!$AS$3:$AS$303,$A11,'Invoice Log'!$AR$3:$AR$303,"&lt;="&amp;$B$3,'Invoice Log'!$AR$3:$AR$303,"&gt;="&amp;Settings!$J$10,'Invoice Log'!$J$3:$J$303,"&lt;&gt;Cancelled")</f>
        <v>0</v>
      </c>
      <c r="G11" s="43">
        <f>SUMIFS('Invoice Log'!$AP$3:$AP$303,'Invoice Log'!$AS$3:$AS$303,$A11,'Invoice Log'!$AR$3:$AR$303,"&lt;="&amp;$B$3,'Invoice Log'!$AR$3:$AR$303,"&gt;="&amp;Settings!$J$10,'Invoice Log'!$J$3:$J$303,"&lt;&gt;Cancelled")</f>
        <v>0</v>
      </c>
      <c r="H11" s="43">
        <f>ROUND($G11*Settings!$J$8,2)</f>
        <v>0</v>
      </c>
      <c r="I11" s="37"/>
      <c r="J11" s="30">
        <f t="shared" si="1"/>
        <v>0</v>
      </c>
      <c r="K11" s="22">
        <f>COUNTIFS('Invoice Log'!$AS$3:$AS$303,$A11,'Invoice Log'!$AR$3:$AR$303,"&lt;="&amp;$B$3,'Invoice Log'!$AR$3:$AR$303,"&gt;="&amp;Settings!$J$10,'Invoice Log'!$J$3:$J$303,"&lt;&gt;Cancelled",'Invoice Log'!$S$3:$S$303,"&gt;0",'Invoice Log'!$AN$3:$AN$303,"")</f>
        <v>0</v>
      </c>
      <c r="L11" s="45">
        <f>DATE(Settings!$J$7,6,Settings!$J$9)</f>
        <v>46198</v>
      </c>
      <c r="M11" s="46" t="str">
        <f>IF(EOMONTH($A11,0)&lt;Settings!$J$10,"before the Collective",IF($H11=0,"",IF(N($I11)&gt;=$H11,"PAID",IF(TODAY()&gt;$L11,"OVERDUE","Due "&amp;TEXT($L11,"D MMM")))))</f>
        <v>before the Collective</v>
      </c>
      <c r="N11" s="47">
        <f t="shared" si="2"/>
        <v>0</v>
      </c>
    </row>
    <row r="12">
      <c r="A12" s="20">
        <f>DATE(Settings!$J$7,6,1)</f>
        <v>46174</v>
      </c>
      <c r="B12" s="22">
        <f>COUNTIFS('Invoice Log'!$AS$3:$AS$303,$A12,'Invoice Log'!$AR$3:$AR$303,"&lt;="&amp;$B$3,'Invoice Log'!$AR$3:$AR$303,"&gt;="&amp;Settings!$J$10,'Invoice Log'!$J$3:$J$303,"&lt;&gt;Cancelled")</f>
        <v>0</v>
      </c>
      <c r="C12" s="30">
        <f>SUMIFS('Invoice Log'!$L$3:$L$303,'Invoice Log'!$AS$3:$AS$303,$A12,'Invoice Log'!$AR$3:$AR$303,"&lt;="&amp;$B$3,'Invoice Log'!$AR$3:$AR$303,"&gt;="&amp;Settings!$J$10,'Invoice Log'!$J$3:$J$303,"&lt;&gt;Cancelled")</f>
        <v>0</v>
      </c>
      <c r="D12" s="30">
        <f>SUMIFS('Invoice Log'!$S$3:$S$303,'Invoice Log'!$AS$3:$AS$303,$A12,'Invoice Log'!$AR$3:$AR$303,"&lt;="&amp;$B$3,'Invoice Log'!$AR$3:$AR$303,"&gt;="&amp;Settings!$J$10,'Invoice Log'!$J$3:$J$303,"&lt;&gt;Cancelled")</f>
        <v>0</v>
      </c>
      <c r="E12" s="30">
        <f>SUMIFS('Invoice Log'!$AI$3:$AI$303,'Invoice Log'!$AS$3:$AS$303,$A12,'Invoice Log'!$AR$3:$AR$303,"&lt;="&amp;$B$3,'Invoice Log'!$AR$3:$AR$303,"&gt;="&amp;Settings!$J$10,'Invoice Log'!$J$3:$J$303,"&lt;&gt;Cancelled")</f>
        <v>0</v>
      </c>
      <c r="F12" s="42">
        <f>SUMIFS('Invoice Log'!$AO$3:$AO$303,'Invoice Log'!$AS$3:$AS$303,$A12,'Invoice Log'!$AR$3:$AR$303,"&lt;="&amp;$B$3,'Invoice Log'!$AR$3:$AR$303,"&gt;="&amp;Settings!$J$10,'Invoice Log'!$J$3:$J$303,"&lt;&gt;Cancelled")</f>
        <v>0</v>
      </c>
      <c r="G12" s="43">
        <f>SUMIFS('Invoice Log'!$AP$3:$AP$303,'Invoice Log'!$AS$3:$AS$303,$A12,'Invoice Log'!$AR$3:$AR$303,"&lt;="&amp;$B$3,'Invoice Log'!$AR$3:$AR$303,"&gt;="&amp;Settings!$J$10,'Invoice Log'!$J$3:$J$303,"&lt;&gt;Cancelled")</f>
        <v>0</v>
      </c>
      <c r="H12" s="43">
        <f>ROUND($G12*Settings!$J$8,2)</f>
        <v>0</v>
      </c>
      <c r="I12" s="37"/>
      <c r="J12" s="30">
        <f t="shared" si="1"/>
        <v>0</v>
      </c>
      <c r="K12" s="22">
        <f>COUNTIFS('Invoice Log'!$AS$3:$AS$303,$A12,'Invoice Log'!$AR$3:$AR$303,"&lt;="&amp;$B$3,'Invoice Log'!$AR$3:$AR$303,"&gt;="&amp;Settings!$J$10,'Invoice Log'!$J$3:$J$303,"&lt;&gt;Cancelled",'Invoice Log'!$S$3:$S$303,"&gt;0",'Invoice Log'!$AN$3:$AN$303,"")</f>
        <v>0</v>
      </c>
      <c r="L12" s="45">
        <f>DATE(Settings!$J$7,7,Settings!$J$9)</f>
        <v>46228</v>
      </c>
      <c r="M12" s="46" t="str">
        <f>IF(EOMONTH($A12,0)&lt;Settings!$J$10,"before the Collective",IF($H12=0,"",IF(N($I12)&gt;=$H12,"PAID",IF(TODAY()&gt;$L12,"OVERDUE","Due "&amp;TEXT($L12,"D MMM")))))</f>
        <v>before the Collective</v>
      </c>
      <c r="N12" s="47">
        <f t="shared" si="2"/>
        <v>0</v>
      </c>
    </row>
    <row r="13">
      <c r="A13" s="20">
        <f>DATE(Settings!$J$7,7,1)</f>
        <v>46204</v>
      </c>
      <c r="B13" s="22">
        <f>COUNTIFS('Invoice Log'!$AS$3:$AS$303,$A13,'Invoice Log'!$AR$3:$AR$303,"&lt;="&amp;$B$3,'Invoice Log'!$AR$3:$AR$303,"&gt;="&amp;Settings!$J$10,'Invoice Log'!$J$3:$J$303,"&lt;&gt;Cancelled")</f>
        <v>0</v>
      </c>
      <c r="C13" s="30">
        <f>SUMIFS('Invoice Log'!$L$3:$L$303,'Invoice Log'!$AS$3:$AS$303,$A13,'Invoice Log'!$AR$3:$AR$303,"&lt;="&amp;$B$3,'Invoice Log'!$AR$3:$AR$303,"&gt;="&amp;Settings!$J$10,'Invoice Log'!$J$3:$J$303,"&lt;&gt;Cancelled")</f>
        <v>0</v>
      </c>
      <c r="D13" s="30">
        <f>SUMIFS('Invoice Log'!$S$3:$S$303,'Invoice Log'!$AS$3:$AS$303,$A13,'Invoice Log'!$AR$3:$AR$303,"&lt;="&amp;$B$3,'Invoice Log'!$AR$3:$AR$303,"&gt;="&amp;Settings!$J$10,'Invoice Log'!$J$3:$J$303,"&lt;&gt;Cancelled")</f>
        <v>0</v>
      </c>
      <c r="E13" s="30">
        <f>SUMIFS('Invoice Log'!$AI$3:$AI$303,'Invoice Log'!$AS$3:$AS$303,$A13,'Invoice Log'!$AR$3:$AR$303,"&lt;="&amp;$B$3,'Invoice Log'!$AR$3:$AR$303,"&gt;="&amp;Settings!$J$10,'Invoice Log'!$J$3:$J$303,"&lt;&gt;Cancelled")</f>
        <v>0</v>
      </c>
      <c r="F13" s="42">
        <f>SUMIFS('Invoice Log'!$AO$3:$AO$303,'Invoice Log'!$AS$3:$AS$303,$A13,'Invoice Log'!$AR$3:$AR$303,"&lt;="&amp;$B$3,'Invoice Log'!$AR$3:$AR$303,"&gt;="&amp;Settings!$J$10,'Invoice Log'!$J$3:$J$303,"&lt;&gt;Cancelled")</f>
        <v>0</v>
      </c>
      <c r="G13" s="43">
        <f>SUMIFS('Invoice Log'!$AP$3:$AP$303,'Invoice Log'!$AS$3:$AS$303,$A13,'Invoice Log'!$AR$3:$AR$303,"&lt;="&amp;$B$3,'Invoice Log'!$AR$3:$AR$303,"&gt;="&amp;Settings!$J$10,'Invoice Log'!$J$3:$J$303,"&lt;&gt;Cancelled")</f>
        <v>0</v>
      </c>
      <c r="H13" s="43">
        <f>ROUND($G13*Settings!$J$8,2)</f>
        <v>0</v>
      </c>
      <c r="I13" s="37"/>
      <c r="J13" s="30">
        <f t="shared" si="1"/>
        <v>0</v>
      </c>
      <c r="K13" s="22">
        <f>COUNTIFS('Invoice Log'!$AS$3:$AS$303,$A13,'Invoice Log'!$AR$3:$AR$303,"&lt;="&amp;$B$3,'Invoice Log'!$AR$3:$AR$303,"&gt;="&amp;Settings!$J$10,'Invoice Log'!$J$3:$J$303,"&lt;&gt;Cancelled",'Invoice Log'!$S$3:$S$303,"&gt;0",'Invoice Log'!$AN$3:$AN$303,"")</f>
        <v>0</v>
      </c>
      <c r="L13" s="45">
        <f>DATE(Settings!$J$7,8,Settings!$J$9)</f>
        <v>46259</v>
      </c>
      <c r="M13" s="46" t="str">
        <f>IF(EOMONTH($A13,0)&lt;Settings!$J$10,"before the Collective",IF($H13=0,"",IF(N($I13)&gt;=$H13,"PAID",IF(TODAY()&gt;$L13,"OVERDUE","Due "&amp;TEXT($L13,"D MMM")))))</f>
        <v>before the Collective</v>
      </c>
      <c r="N13" s="47">
        <f t="shared" si="2"/>
        <v>0</v>
      </c>
    </row>
    <row r="14">
      <c r="A14" s="20">
        <f>DATE(Settings!$J$7,8,1)</f>
        <v>46235</v>
      </c>
      <c r="B14" s="22">
        <f>COUNTIFS('Invoice Log'!$AS$3:$AS$303,$A14,'Invoice Log'!$AR$3:$AR$303,"&lt;="&amp;$B$3,'Invoice Log'!$AR$3:$AR$303,"&gt;="&amp;Settings!$J$10,'Invoice Log'!$J$3:$J$303,"&lt;&gt;Cancelled")</f>
        <v>0</v>
      </c>
      <c r="C14" s="30">
        <f>SUMIFS('Invoice Log'!$L$3:$L$303,'Invoice Log'!$AS$3:$AS$303,$A14,'Invoice Log'!$AR$3:$AR$303,"&lt;="&amp;$B$3,'Invoice Log'!$AR$3:$AR$303,"&gt;="&amp;Settings!$J$10,'Invoice Log'!$J$3:$J$303,"&lt;&gt;Cancelled")</f>
        <v>0</v>
      </c>
      <c r="D14" s="30">
        <f>SUMIFS('Invoice Log'!$S$3:$S$303,'Invoice Log'!$AS$3:$AS$303,$A14,'Invoice Log'!$AR$3:$AR$303,"&lt;="&amp;$B$3,'Invoice Log'!$AR$3:$AR$303,"&gt;="&amp;Settings!$J$10,'Invoice Log'!$J$3:$J$303,"&lt;&gt;Cancelled")</f>
        <v>0</v>
      </c>
      <c r="E14" s="30">
        <f>SUMIFS('Invoice Log'!$AI$3:$AI$303,'Invoice Log'!$AS$3:$AS$303,$A14,'Invoice Log'!$AR$3:$AR$303,"&lt;="&amp;$B$3,'Invoice Log'!$AR$3:$AR$303,"&gt;="&amp;Settings!$J$10,'Invoice Log'!$J$3:$J$303,"&lt;&gt;Cancelled")</f>
        <v>0</v>
      </c>
      <c r="F14" s="42">
        <f>SUMIFS('Invoice Log'!$AO$3:$AO$303,'Invoice Log'!$AS$3:$AS$303,$A14,'Invoice Log'!$AR$3:$AR$303,"&lt;="&amp;$B$3,'Invoice Log'!$AR$3:$AR$303,"&gt;="&amp;Settings!$J$10,'Invoice Log'!$J$3:$J$303,"&lt;&gt;Cancelled")</f>
        <v>0</v>
      </c>
      <c r="G14" s="43">
        <f>SUMIFS('Invoice Log'!$AP$3:$AP$303,'Invoice Log'!$AS$3:$AS$303,$A14,'Invoice Log'!$AR$3:$AR$303,"&lt;="&amp;$B$3,'Invoice Log'!$AR$3:$AR$303,"&gt;="&amp;Settings!$J$10,'Invoice Log'!$J$3:$J$303,"&lt;&gt;Cancelled")</f>
        <v>0</v>
      </c>
      <c r="H14" s="43">
        <f>ROUND($G14*Settings!$J$8,2)</f>
        <v>0</v>
      </c>
      <c r="I14" s="37"/>
      <c r="J14" s="30">
        <f t="shared" si="1"/>
        <v>0</v>
      </c>
      <c r="K14" s="22">
        <f>COUNTIFS('Invoice Log'!$AS$3:$AS$303,$A14,'Invoice Log'!$AR$3:$AR$303,"&lt;="&amp;$B$3,'Invoice Log'!$AR$3:$AR$303,"&gt;="&amp;Settings!$J$10,'Invoice Log'!$J$3:$J$303,"&lt;&gt;Cancelled",'Invoice Log'!$S$3:$S$303,"&gt;0",'Invoice Log'!$AN$3:$AN$303,"")</f>
        <v>0</v>
      </c>
      <c r="L14" s="45">
        <f>DATE(Settings!$J$7,9,Settings!$J$9)</f>
        <v>46290</v>
      </c>
      <c r="M14" s="46" t="str">
        <f>IF(EOMONTH($A14,0)&lt;Settings!$J$10,"before the Collective",IF($H14=0,"",IF(N($I14)&gt;=$H14,"PAID",IF(TODAY()&gt;$L14,"OVERDUE","Due "&amp;TEXT($L14,"D MMM")))))</f>
        <v>before the Collective</v>
      </c>
      <c r="N14" s="47">
        <f t="shared" si="2"/>
        <v>0</v>
      </c>
    </row>
    <row r="15">
      <c r="A15" s="20">
        <f>DATE(Settings!$J$7,9,1)</f>
        <v>46266</v>
      </c>
      <c r="B15" s="22">
        <f>COUNTIFS('Invoice Log'!$AS$3:$AS$303,$A15,'Invoice Log'!$AR$3:$AR$303,"&lt;="&amp;$B$3,'Invoice Log'!$AR$3:$AR$303,"&gt;="&amp;Settings!$J$10,'Invoice Log'!$J$3:$J$303,"&lt;&gt;Cancelled")</f>
        <v>25</v>
      </c>
      <c r="C15" s="30">
        <f>SUMIFS('Invoice Log'!$L$3:$L$303,'Invoice Log'!$AS$3:$AS$303,$A15,'Invoice Log'!$AR$3:$AR$303,"&lt;="&amp;$B$3,'Invoice Log'!$AR$3:$AR$303,"&gt;="&amp;Settings!$J$10,'Invoice Log'!$J$3:$J$303,"&lt;&gt;Cancelled")</f>
        <v>87690.9</v>
      </c>
      <c r="D15" s="30">
        <f>SUMIFS('Invoice Log'!$S$3:$S$303,'Invoice Log'!$AS$3:$AS$303,$A15,'Invoice Log'!$AR$3:$AR$303,"&lt;="&amp;$B$3,'Invoice Log'!$AR$3:$AR$303,"&gt;="&amp;Settings!$J$10,'Invoice Log'!$J$3:$J$303,"&lt;&gt;Cancelled")</f>
        <v>6750.43</v>
      </c>
      <c r="E15" s="30">
        <f>SUMIFS('Invoice Log'!$AI$3:$AI$303,'Invoice Log'!$AS$3:$AS$303,$A15,'Invoice Log'!$AR$3:$AR$303,"&lt;="&amp;$B$3,'Invoice Log'!$AR$3:$AR$303,"&gt;="&amp;Settings!$J$10,'Invoice Log'!$J$3:$J$303,"&lt;&gt;Cancelled")</f>
        <v>7449.26</v>
      </c>
      <c r="F15" s="42">
        <f>SUMIFS('Invoice Log'!$AO$3:$AO$303,'Invoice Log'!$AS$3:$AS$303,$A15,'Invoice Log'!$AR$3:$AR$303,"&lt;="&amp;$B$3,'Invoice Log'!$AR$3:$AR$303,"&gt;="&amp;Settings!$J$10,'Invoice Log'!$J$3:$J$303,"&lt;&gt;Cancelled")</f>
        <v>190.37</v>
      </c>
      <c r="G15" s="43">
        <f>SUMIFS('Invoice Log'!$AP$3:$AP$303,'Invoice Log'!$AS$3:$AS$303,$A15,'Invoice Log'!$AR$3:$AR$303,"&lt;="&amp;$B$3,'Invoice Log'!$AR$3:$AR$303,"&gt;="&amp;Settings!$J$10,'Invoice Log'!$J$3:$J$303,"&lt;&gt;Cancelled")</f>
        <v>87881.27</v>
      </c>
      <c r="H15" s="43">
        <f>ROUND($G15*Settings!$J$8,2)</f>
        <v>17576.25</v>
      </c>
      <c r="I15" s="37"/>
      <c r="J15" s="30">
        <f t="shared" si="1"/>
        <v>17576.25</v>
      </c>
      <c r="K15" s="22">
        <f>COUNTIFS('Invoice Log'!$AS$3:$AS$303,$A15,'Invoice Log'!$AR$3:$AR$303,"&lt;="&amp;$B$3,'Invoice Log'!$AR$3:$AR$303,"&gt;="&amp;Settings!$J$10,'Invoice Log'!$J$3:$J$303,"&lt;&gt;Cancelled",'Invoice Log'!$S$3:$S$303,"&gt;0",'Invoice Log'!$AN$3:$AN$303,"")</f>
        <v>7</v>
      </c>
      <c r="L15" s="45">
        <f>DATE(Settings!$J$7,10,Settings!$J$9)</f>
        <v>46320</v>
      </c>
      <c r="M15" s="46" t="str">
        <f>IF(EOMONTH($A15,0)&lt;Settings!$J$10,"before the Collective",IF($H15=0,"",IF(N($I15)&gt;=$H15,"PAID",IF(TODAY()&gt;$L15,"OVERDUE","Due "&amp;TEXT($L15,"D MMM")))))</f>
        <v>Due 25 Oct</v>
      </c>
      <c r="N15" s="47">
        <f t="shared" si="2"/>
        <v>1</v>
      </c>
    </row>
    <row r="16">
      <c r="A16" s="20">
        <f>DATE(Settings!$J$7,10,1)</f>
        <v>46296</v>
      </c>
      <c r="B16" s="22">
        <f>COUNTIFS('Invoice Log'!$AS$3:$AS$303,$A16,'Invoice Log'!$AR$3:$AR$303,"&lt;="&amp;$B$3,'Invoice Log'!$AR$3:$AR$303,"&gt;="&amp;Settings!$J$10,'Invoice Log'!$J$3:$J$303,"&lt;&gt;Cancelled")</f>
        <v>2</v>
      </c>
      <c r="C16" s="30">
        <f>SUMIFS('Invoice Log'!$L$3:$L$303,'Invoice Log'!$AS$3:$AS$303,$A16,'Invoice Log'!$AR$3:$AR$303,"&lt;="&amp;$B$3,'Invoice Log'!$AR$3:$AR$303,"&gt;="&amp;Settings!$J$10,'Invoice Log'!$J$3:$J$303,"&lt;&gt;Cancelled")</f>
        <v>5811.6</v>
      </c>
      <c r="D16" s="30">
        <f>SUMIFS('Invoice Log'!$S$3:$S$303,'Invoice Log'!$AS$3:$AS$303,$A16,'Invoice Log'!$AR$3:$AR$303,"&lt;="&amp;$B$3,'Invoice Log'!$AR$3:$AR$303,"&gt;="&amp;Settings!$J$10,'Invoice Log'!$J$3:$J$303,"&lt;&gt;Cancelled")</f>
        <v>581.16</v>
      </c>
      <c r="E16" s="30">
        <f>SUMIFS('Invoice Log'!$AI$3:$AI$303,'Invoice Log'!$AS$3:$AS$303,$A16,'Invoice Log'!$AR$3:$AR$303,"&lt;="&amp;$B$3,'Invoice Log'!$AR$3:$AR$303,"&gt;="&amp;Settings!$J$10,'Invoice Log'!$J$3:$J$303,"&lt;&gt;Cancelled")</f>
        <v>387.76</v>
      </c>
      <c r="F16" s="42">
        <f>SUMIFS('Invoice Log'!$AO$3:$AO$303,'Invoice Log'!$AS$3:$AS$303,$A16,'Invoice Log'!$AR$3:$AR$303,"&lt;="&amp;$B$3,'Invoice Log'!$AR$3:$AR$303,"&gt;="&amp;Settings!$J$10,'Invoice Log'!$J$3:$J$303,"&lt;&gt;Cancelled")</f>
        <v>0</v>
      </c>
      <c r="G16" s="43">
        <f>SUMIFS('Invoice Log'!$AP$3:$AP$303,'Invoice Log'!$AS$3:$AS$303,$A16,'Invoice Log'!$AR$3:$AR$303,"&lt;="&amp;$B$3,'Invoice Log'!$AR$3:$AR$303,"&gt;="&amp;Settings!$J$10,'Invoice Log'!$J$3:$J$303,"&lt;&gt;Cancelled")</f>
        <v>5811.6</v>
      </c>
      <c r="H16" s="43">
        <f>ROUND($G16*Settings!$J$8,2)</f>
        <v>1162.32</v>
      </c>
      <c r="I16" s="37"/>
      <c r="J16" s="30">
        <f t="shared" si="1"/>
        <v>1162.32</v>
      </c>
      <c r="K16" s="22">
        <f>COUNTIFS('Invoice Log'!$AS$3:$AS$303,$A16,'Invoice Log'!$AR$3:$AR$303,"&lt;="&amp;$B$3,'Invoice Log'!$AR$3:$AR$303,"&gt;="&amp;Settings!$J$10,'Invoice Log'!$J$3:$J$303,"&lt;&gt;Cancelled",'Invoice Log'!$S$3:$S$303,"&gt;0",'Invoice Log'!$AN$3:$AN$303,"")</f>
        <v>2</v>
      </c>
      <c r="L16" s="45">
        <f>DATE(Settings!$J$7,11,Settings!$J$9)</f>
        <v>46351</v>
      </c>
      <c r="M16" s="46" t="str">
        <f>IF(EOMONTH($A16,0)&lt;Settings!$J$10,"before the Collective",IF($H16=0,"",IF(N($I16)&gt;=$H16,"PAID",IF(TODAY()&gt;$L16,"OVERDUE","Due "&amp;TEXT($L16,"D MMM")))))</f>
        <v>Due 25 Nov</v>
      </c>
      <c r="N16" s="47">
        <f t="shared" si="2"/>
        <v>1</v>
      </c>
    </row>
    <row r="17">
      <c r="A17" s="20">
        <f>DATE(Settings!$J$7,11,1)</f>
        <v>46327</v>
      </c>
      <c r="B17" s="22">
        <f>COUNTIFS('Invoice Log'!$AS$3:$AS$303,$A17,'Invoice Log'!$AR$3:$AR$303,"&lt;="&amp;$B$3,'Invoice Log'!$AR$3:$AR$303,"&gt;="&amp;Settings!$J$10,'Invoice Log'!$J$3:$J$303,"&lt;&gt;Cancelled")</f>
        <v>0</v>
      </c>
      <c r="C17" s="30">
        <f>SUMIFS('Invoice Log'!$L$3:$L$303,'Invoice Log'!$AS$3:$AS$303,$A17,'Invoice Log'!$AR$3:$AR$303,"&lt;="&amp;$B$3,'Invoice Log'!$AR$3:$AR$303,"&gt;="&amp;Settings!$J$10,'Invoice Log'!$J$3:$J$303,"&lt;&gt;Cancelled")</f>
        <v>0</v>
      </c>
      <c r="D17" s="30">
        <f>SUMIFS('Invoice Log'!$S$3:$S$303,'Invoice Log'!$AS$3:$AS$303,$A17,'Invoice Log'!$AR$3:$AR$303,"&lt;="&amp;$B$3,'Invoice Log'!$AR$3:$AR$303,"&gt;="&amp;Settings!$J$10,'Invoice Log'!$J$3:$J$303,"&lt;&gt;Cancelled")</f>
        <v>0</v>
      </c>
      <c r="E17" s="30">
        <f>SUMIFS('Invoice Log'!$AI$3:$AI$303,'Invoice Log'!$AS$3:$AS$303,$A17,'Invoice Log'!$AR$3:$AR$303,"&lt;="&amp;$B$3,'Invoice Log'!$AR$3:$AR$303,"&gt;="&amp;Settings!$J$10,'Invoice Log'!$J$3:$J$303,"&lt;&gt;Cancelled")</f>
        <v>0</v>
      </c>
      <c r="F17" s="42">
        <f>SUMIFS('Invoice Log'!$AO$3:$AO$303,'Invoice Log'!$AS$3:$AS$303,$A17,'Invoice Log'!$AR$3:$AR$303,"&lt;="&amp;$B$3,'Invoice Log'!$AR$3:$AR$303,"&gt;="&amp;Settings!$J$10,'Invoice Log'!$J$3:$J$303,"&lt;&gt;Cancelled")</f>
        <v>0</v>
      </c>
      <c r="G17" s="43">
        <f>SUMIFS('Invoice Log'!$AP$3:$AP$303,'Invoice Log'!$AS$3:$AS$303,$A17,'Invoice Log'!$AR$3:$AR$303,"&lt;="&amp;$B$3,'Invoice Log'!$AR$3:$AR$303,"&gt;="&amp;Settings!$J$10,'Invoice Log'!$J$3:$J$303,"&lt;&gt;Cancelled")</f>
        <v>0</v>
      </c>
      <c r="H17" s="43">
        <f>ROUND($G17*Settings!$J$8,2)</f>
        <v>0</v>
      </c>
      <c r="I17" s="37"/>
      <c r="J17" s="30">
        <f t="shared" si="1"/>
        <v>0</v>
      </c>
      <c r="K17" s="22">
        <f>COUNTIFS('Invoice Log'!$AS$3:$AS$303,$A17,'Invoice Log'!$AR$3:$AR$303,"&lt;="&amp;$B$3,'Invoice Log'!$AR$3:$AR$303,"&gt;="&amp;Settings!$J$10,'Invoice Log'!$J$3:$J$303,"&lt;&gt;Cancelled",'Invoice Log'!$S$3:$S$303,"&gt;0",'Invoice Log'!$AN$3:$AN$303,"")</f>
        <v>0</v>
      </c>
      <c r="L17" s="45">
        <f>DATE(Settings!$J$7,12,Settings!$J$9)</f>
        <v>46381</v>
      </c>
      <c r="M17" s="46" t="str">
        <f>IF(EOMONTH($A17,0)&lt;Settings!$J$10,"before the Collective",IF($H17=0,"",IF(N($I17)&gt;=$H17,"PAID",IF(TODAY()&gt;$L17,"OVERDUE","Due "&amp;TEXT($L17,"D MMM")))))</f>
        <v/>
      </c>
      <c r="N17" s="47">
        <f t="shared" si="2"/>
        <v>0</v>
      </c>
    </row>
    <row r="18">
      <c r="A18" s="20">
        <f>DATE(Settings!$J$7,12,1)</f>
        <v>46357</v>
      </c>
      <c r="B18" s="22">
        <f>COUNTIFS('Invoice Log'!$AS$3:$AS$303,$A18,'Invoice Log'!$AR$3:$AR$303,"&lt;="&amp;$B$3,'Invoice Log'!$AR$3:$AR$303,"&gt;="&amp;Settings!$J$10,'Invoice Log'!$J$3:$J$303,"&lt;&gt;Cancelled")</f>
        <v>0</v>
      </c>
      <c r="C18" s="30">
        <f>SUMIFS('Invoice Log'!$L$3:$L$303,'Invoice Log'!$AS$3:$AS$303,$A18,'Invoice Log'!$AR$3:$AR$303,"&lt;="&amp;$B$3,'Invoice Log'!$AR$3:$AR$303,"&gt;="&amp;Settings!$J$10,'Invoice Log'!$J$3:$J$303,"&lt;&gt;Cancelled")</f>
        <v>0</v>
      </c>
      <c r="D18" s="30">
        <f>SUMIFS('Invoice Log'!$S$3:$S$303,'Invoice Log'!$AS$3:$AS$303,$A18,'Invoice Log'!$AR$3:$AR$303,"&lt;="&amp;$B$3,'Invoice Log'!$AR$3:$AR$303,"&gt;="&amp;Settings!$J$10,'Invoice Log'!$J$3:$J$303,"&lt;&gt;Cancelled")</f>
        <v>0</v>
      </c>
      <c r="E18" s="30">
        <f>SUMIFS('Invoice Log'!$AI$3:$AI$303,'Invoice Log'!$AS$3:$AS$303,$A18,'Invoice Log'!$AR$3:$AR$303,"&lt;="&amp;$B$3,'Invoice Log'!$AR$3:$AR$303,"&gt;="&amp;Settings!$J$10,'Invoice Log'!$J$3:$J$303,"&lt;&gt;Cancelled")</f>
        <v>0</v>
      </c>
      <c r="F18" s="42">
        <f>SUMIFS('Invoice Log'!$AO$3:$AO$303,'Invoice Log'!$AS$3:$AS$303,$A18,'Invoice Log'!$AR$3:$AR$303,"&lt;="&amp;$B$3,'Invoice Log'!$AR$3:$AR$303,"&gt;="&amp;Settings!$J$10,'Invoice Log'!$J$3:$J$303,"&lt;&gt;Cancelled")</f>
        <v>0</v>
      </c>
      <c r="G18" s="43">
        <f>SUMIFS('Invoice Log'!$AP$3:$AP$303,'Invoice Log'!$AS$3:$AS$303,$A18,'Invoice Log'!$AR$3:$AR$303,"&lt;="&amp;$B$3,'Invoice Log'!$AR$3:$AR$303,"&gt;="&amp;Settings!$J$10,'Invoice Log'!$J$3:$J$303,"&lt;&gt;Cancelled")</f>
        <v>0</v>
      </c>
      <c r="H18" s="43">
        <f>ROUND($G18*Settings!$J$8,2)</f>
        <v>0</v>
      </c>
      <c r="I18" s="37"/>
      <c r="J18" s="30">
        <f t="shared" si="1"/>
        <v>0</v>
      </c>
      <c r="K18" s="22">
        <f>COUNTIFS('Invoice Log'!$AS$3:$AS$303,$A18,'Invoice Log'!$AR$3:$AR$303,"&lt;="&amp;$B$3,'Invoice Log'!$AR$3:$AR$303,"&gt;="&amp;Settings!$J$10,'Invoice Log'!$J$3:$J$303,"&lt;&gt;Cancelled",'Invoice Log'!$S$3:$S$303,"&gt;0",'Invoice Log'!$AN$3:$AN$303,"")</f>
        <v>0</v>
      </c>
      <c r="L18" s="45">
        <f>DATE(Settings!$J$7,13,Settings!$J$9)</f>
        <v>46412</v>
      </c>
      <c r="M18" s="46" t="str">
        <f>IF(EOMONTH($A18,0)&lt;Settings!$J$10,"before the Collective",IF($H18=0,"",IF(N($I18)&gt;=$H18,"PAID",IF(TODAY()&gt;$L18,"OVERDUE","Due "&amp;TEXT($L18,"D MMM")))))</f>
        <v/>
      </c>
      <c r="N18" s="47">
        <f t="shared" si="2"/>
        <v>0</v>
      </c>
    </row>
    <row r="19">
      <c r="A19" s="117" t="s">
        <v>93</v>
      </c>
      <c r="B19" s="118">
        <f t="shared" ref="B19:K19" si="3">SUM(B7:B18)</f>
        <v>27</v>
      </c>
      <c r="C19" s="119">
        <f t="shared" si="3"/>
        <v>93502.5</v>
      </c>
      <c r="D19" s="119">
        <f t="shared" si="3"/>
        <v>7331.59</v>
      </c>
      <c r="E19" s="119">
        <f t="shared" si="3"/>
        <v>7837.02</v>
      </c>
      <c r="F19" s="120">
        <f t="shared" si="3"/>
        <v>190.37</v>
      </c>
      <c r="G19" s="119">
        <f t="shared" si="3"/>
        <v>93692.87</v>
      </c>
      <c r="H19" s="119">
        <f t="shared" si="3"/>
        <v>18738.57</v>
      </c>
      <c r="I19" s="119">
        <f t="shared" si="3"/>
        <v>0</v>
      </c>
      <c r="J19" s="119">
        <f t="shared" si="3"/>
        <v>18738.57</v>
      </c>
      <c r="K19" s="118">
        <f t="shared" si="3"/>
        <v>9</v>
      </c>
    </row>
    <row r="20">
      <c r="A20" s="121" t="s">
        <v>396</v>
      </c>
      <c r="B20" s="122">
        <f>COUNTIFS('Invoice Log'!$AS$3:$AS$303,"",'Invoice Log'!$J$3:$J$303,"&lt;&gt;Cancelled",'Invoice Log'!$L$3:$L$303,"&gt;0")</f>
        <v>8</v>
      </c>
      <c r="C20" s="123">
        <f>SUMIFS('Invoice Log'!$L$3:$L$303,'Invoice Log'!$AS$3:$AS$303,"",'Invoice Log'!$J$3:$J$303,"&lt;&gt;Cancelled",'Invoice Log'!$L$3:$L$303,"&gt;0")</f>
        <v>20763.3</v>
      </c>
      <c r="D20" s="121"/>
      <c r="E20" s="121"/>
      <c r="F20" s="121"/>
      <c r="G20" s="123">
        <f>SUMIFS('Invoice Log'!$AP$3:$AP$303,'Invoice Log'!$AS$3:$AS$303,"",'Invoice Log'!$J$3:$J$303,"&lt;&gt;Cancelled",'Invoice Log'!$L$3:$L$303,"&gt;0")</f>
        <v>20763.3</v>
      </c>
      <c r="H20" s="123">
        <f>ROUND($G20*Settings!$J$8,2)</f>
        <v>4152.66</v>
      </c>
      <c r="I20" s="121"/>
      <c r="J20" s="121"/>
      <c r="K20" s="121"/>
      <c r="L20" s="124" t="s">
        <v>398</v>
      </c>
    </row>
    <row r="21" ht="15.75" customHeight="1"/>
    <row r="22" ht="15.75" customHeight="1"/>
    <row r="23" ht="15.75" customHeight="1">
      <c r="A23" s="29" t="s">
        <v>399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"/>
    </row>
    <row r="24" ht="30.0" customHeight="1">
      <c r="A24" s="11" t="s">
        <v>8</v>
      </c>
      <c r="B24" s="11" t="s">
        <v>400</v>
      </c>
      <c r="C24" s="11" t="s">
        <v>21</v>
      </c>
      <c r="D24" s="11" t="s">
        <v>22</v>
      </c>
      <c r="E24" s="11" t="s">
        <v>209</v>
      </c>
      <c r="F24" s="11" t="s">
        <v>401</v>
      </c>
      <c r="G24" s="11" t="s">
        <v>64</v>
      </c>
      <c r="H24" s="11" t="s">
        <v>66</v>
      </c>
      <c r="I24" s="11" t="s">
        <v>67</v>
      </c>
      <c r="J24" s="11" t="s">
        <v>68</v>
      </c>
      <c r="K24" s="11" t="s">
        <v>402</v>
      </c>
      <c r="L24" s="11" t="s">
        <v>403</v>
      </c>
      <c r="M24" s="11" t="s">
        <v>404</v>
      </c>
    </row>
    <row r="25" ht="15.75" customHeight="1">
      <c r="A25" s="125" t="str">
        <f>IF('Invoice Log'!$AS3="","",TEXT('Invoice Log'!$AS3,"YYYY-MM"))</f>
        <v>2026-01</v>
      </c>
      <c r="B25" s="45">
        <f>IF('Invoice Log'!$AR3="","",'Invoice Log'!$AR3)</f>
        <v>46037</v>
      </c>
      <c r="C25" s="63">
        <f>IF('Invoice Log'!$D3="","",'Invoice Log'!$D3)</f>
        <v>22004198</v>
      </c>
      <c r="D25" s="126" t="str">
        <f>IF('Invoice Log'!$L3="","",'Invoice Log'!$E3)</f>
        <v>JUST</v>
      </c>
      <c r="E25" s="126" t="str">
        <f>IF('Invoice Log'!$L3="","",'Invoice Log'!$J3)</f>
        <v>Complete</v>
      </c>
      <c r="F25" s="125" t="str">
        <f>IF('Invoice Log'!$L3="","",'Invoice Log'!$Q3)</f>
        <v>Yes</v>
      </c>
      <c r="G25" s="65" t="str">
        <f>IF($M25="Yes",'Invoice Log'!$L3,"")</f>
        <v/>
      </c>
      <c r="H25" s="65" t="str">
        <f>IF($M25="Yes",'Invoice Log'!$S3,"")</f>
        <v/>
      </c>
      <c r="I25" s="65" t="str">
        <f>IF($M25="Yes",'Invoice Log'!$AI3,"")</f>
        <v/>
      </c>
      <c r="J25" s="127" t="str">
        <f>IF($M25="Yes",'Invoice Log'!$AO3,"")</f>
        <v/>
      </c>
      <c r="K25" s="129" t="str">
        <f>IF($M25="Yes",'Invoice Log'!$AP3,"")</f>
        <v/>
      </c>
      <c r="L25" s="65" t="str">
        <f>IF($M25="Yes",ROUND('Invoice Log'!$AP3*Settings!$J$8,2),"")</f>
        <v/>
      </c>
      <c r="M25" s="125" t="str">
        <f>IF(OR('Invoice Log'!$L3="",'Invoice Log'!$AS3=""),"",IF(AND('Invoice Log'!$AR3&lt;=$B$3,'Invoice Log'!$AR3&gt;=Settings!$J$10,'Invoice Log'!$J3&lt;&gt;"Cancelled"),"Yes","No"))</f>
        <v>No</v>
      </c>
    </row>
    <row r="26" ht="15.75" customHeight="1">
      <c r="A26" s="125" t="str">
        <f>IF('Invoice Log'!$AS4="","",TEXT('Invoice Log'!$AS4,"YYYY-MM"))</f>
        <v>2026-01</v>
      </c>
      <c r="B26" s="45">
        <f>IF('Invoice Log'!$AR4="","",'Invoice Log'!$AR4)</f>
        <v>46038</v>
      </c>
      <c r="C26" s="63">
        <f>IF('Invoice Log'!$D4="","",'Invoice Log'!$D4)</f>
        <v>22004199</v>
      </c>
      <c r="D26" s="126" t="str">
        <f>IF('Invoice Log'!$L4="","",'Invoice Log'!$E4)</f>
        <v>London Review of Books</v>
      </c>
      <c r="E26" s="126" t="str">
        <f>IF('Invoice Log'!$L4="","",'Invoice Log'!$J4)</f>
        <v>Complete</v>
      </c>
      <c r="F26" s="125" t="str">
        <f>IF('Invoice Log'!$L4="","",'Invoice Log'!$Q4)</f>
        <v>Yes</v>
      </c>
      <c r="G26" s="65" t="str">
        <f>IF($M26="Yes",'Invoice Log'!$L4,"")</f>
        <v/>
      </c>
      <c r="H26" s="65" t="str">
        <f>IF($M26="Yes",'Invoice Log'!$S4,"")</f>
        <v/>
      </c>
      <c r="I26" s="65" t="str">
        <f>IF($M26="Yes",'Invoice Log'!$AI4,"")</f>
        <v/>
      </c>
      <c r="J26" s="127" t="str">
        <f>IF($M26="Yes",'Invoice Log'!$AO4,"")</f>
        <v/>
      </c>
      <c r="K26" s="129" t="str">
        <f>IF($M26="Yes",'Invoice Log'!$AP4,"")</f>
        <v/>
      </c>
      <c r="L26" s="65" t="str">
        <f>IF($M26="Yes",ROUND('Invoice Log'!$AP4*Settings!$J$8,2),"")</f>
        <v/>
      </c>
      <c r="M26" s="125" t="str">
        <f>IF(OR('Invoice Log'!$L4="",'Invoice Log'!$AS4=""),"",IF(AND('Invoice Log'!$AR4&lt;=$B$3,'Invoice Log'!$AR4&gt;=Settings!$J$10,'Invoice Log'!$J4&lt;&gt;"Cancelled"),"Yes","No"))</f>
        <v>No</v>
      </c>
    </row>
    <row r="27" ht="15.75" customHeight="1">
      <c r="A27" s="125" t="str">
        <f>IF('Invoice Log'!$AS5="","",TEXT('Invoice Log'!$AS5,"YYYY-MM"))</f>
        <v>2026-01</v>
      </c>
      <c r="B27" s="45">
        <f>IF('Invoice Log'!$AR5="","",'Invoice Log'!$AR5)</f>
        <v>46044</v>
      </c>
      <c r="C27" s="63">
        <f>IF('Invoice Log'!$D5="","",'Invoice Log'!$D5)</f>
        <v>22004200</v>
      </c>
      <c r="D27" s="126" t="str">
        <f>IF('Invoice Log'!$L5="","",'Invoice Log'!$E5)</f>
        <v>Berkeley Homes Capital</v>
      </c>
      <c r="E27" s="126" t="str">
        <f>IF('Invoice Log'!$L5="","",'Invoice Log'!$J5)</f>
        <v>Complete</v>
      </c>
      <c r="F27" s="125" t="str">
        <f>IF('Invoice Log'!$L5="","",'Invoice Log'!$Q5)</f>
        <v>No</v>
      </c>
      <c r="G27" s="65" t="str">
        <f>IF($M27="Yes",'Invoice Log'!$L5,"")</f>
        <v/>
      </c>
      <c r="H27" s="65" t="str">
        <f>IF($M27="Yes",'Invoice Log'!$S5,"")</f>
        <v/>
      </c>
      <c r="I27" s="65" t="str">
        <f>IF($M27="Yes",'Invoice Log'!$AI5,"")</f>
        <v/>
      </c>
      <c r="J27" s="127" t="str">
        <f>IF($M27="Yes",'Invoice Log'!$AO5,"")</f>
        <v/>
      </c>
      <c r="K27" s="129" t="str">
        <f>IF($M27="Yes",'Invoice Log'!$AP5,"")</f>
        <v/>
      </c>
      <c r="L27" s="65" t="str">
        <f>IF($M27="Yes",ROUND('Invoice Log'!$AP5*Settings!$J$8,2),"")</f>
        <v/>
      </c>
      <c r="M27" s="125" t="str">
        <f>IF(OR('Invoice Log'!$L5="",'Invoice Log'!$AS5=""),"",IF(AND('Invoice Log'!$AR5&lt;=$B$3,'Invoice Log'!$AR5&gt;=Settings!$J$10,'Invoice Log'!$J5&lt;&gt;"Cancelled"),"Yes","No"))</f>
        <v>No</v>
      </c>
    </row>
    <row r="28" ht="15.75" customHeight="1">
      <c r="A28" s="125" t="str">
        <f>IF('Invoice Log'!$AS6="","",TEXT('Invoice Log'!$AS6,"YYYY-MM"))</f>
        <v>2026-01</v>
      </c>
      <c r="B28" s="45">
        <f>IF('Invoice Log'!$AR6="","",'Invoice Log'!$AR6)</f>
        <v>46044</v>
      </c>
      <c r="C28" s="63">
        <f>IF('Invoice Log'!$D6="","",'Invoice Log'!$D6)</f>
        <v>22004201</v>
      </c>
      <c r="D28" s="126" t="str">
        <f>IF('Invoice Log'!$L6="","",'Invoice Log'!$E6)</f>
        <v>Helaba Landesbank Hessen-Thüringen</v>
      </c>
      <c r="E28" s="126" t="str">
        <f>IF('Invoice Log'!$L6="","",'Invoice Log'!$J6)</f>
        <v>Complete</v>
      </c>
      <c r="F28" s="125" t="str">
        <f>IF('Invoice Log'!$L6="","",'Invoice Log'!$Q6)</f>
        <v>Yes</v>
      </c>
      <c r="G28" s="65" t="str">
        <f>IF($M28="Yes",'Invoice Log'!$L6,"")</f>
        <v/>
      </c>
      <c r="H28" s="65" t="str">
        <f>IF($M28="Yes",'Invoice Log'!$S6,"")</f>
        <v/>
      </c>
      <c r="I28" s="65" t="str">
        <f>IF($M28="Yes",'Invoice Log'!$AI6,"")</f>
        <v/>
      </c>
      <c r="J28" s="127" t="str">
        <f>IF($M28="Yes",'Invoice Log'!$AO6,"")</f>
        <v/>
      </c>
      <c r="K28" s="129" t="str">
        <f>IF($M28="Yes",'Invoice Log'!$AP6,"")</f>
        <v/>
      </c>
      <c r="L28" s="65" t="str">
        <f>IF($M28="Yes",ROUND('Invoice Log'!$AP6*Settings!$J$8,2),"")</f>
        <v/>
      </c>
      <c r="M28" s="125" t="str">
        <f>IF(OR('Invoice Log'!$L6="",'Invoice Log'!$AS6=""),"",IF(AND('Invoice Log'!$AR6&lt;=$B$3,'Invoice Log'!$AR6&gt;=Settings!$J$10,'Invoice Log'!$J6&lt;&gt;"Cancelled"),"Yes","No"))</f>
        <v>No</v>
      </c>
    </row>
    <row r="29" ht="15.75" customHeight="1">
      <c r="A29" s="125" t="str">
        <f>IF('Invoice Log'!$AS7="","",TEXT('Invoice Log'!$AS7,"YYYY-MM"))</f>
        <v>2026-02</v>
      </c>
      <c r="B29" s="45">
        <f>IF('Invoice Log'!$AR7="","",'Invoice Log'!$AR7)</f>
        <v>46069</v>
      </c>
      <c r="C29" s="63">
        <f>IF('Invoice Log'!$D7="","",'Invoice Log'!$D7)</f>
        <v>22004202</v>
      </c>
      <c r="D29" s="126" t="str">
        <f>IF('Invoice Log'!$L7="","",'Invoice Log'!$E7)</f>
        <v>AngloGold - Day 1</v>
      </c>
      <c r="E29" s="126" t="str">
        <f>IF('Invoice Log'!$L7="","",'Invoice Log'!$J7)</f>
        <v>Complete</v>
      </c>
      <c r="F29" s="125" t="str">
        <f>IF('Invoice Log'!$L7="","",'Invoice Log'!$Q7)</f>
        <v>Yes</v>
      </c>
      <c r="G29" s="65" t="str">
        <f>IF($M29="Yes",'Invoice Log'!$L7,"")</f>
        <v/>
      </c>
      <c r="H29" s="65" t="str">
        <f>IF($M29="Yes",'Invoice Log'!$S7,"")</f>
        <v/>
      </c>
      <c r="I29" s="65" t="str">
        <f>IF($M29="Yes",'Invoice Log'!$AI7,"")</f>
        <v/>
      </c>
      <c r="J29" s="127" t="str">
        <f>IF($M29="Yes",'Invoice Log'!$AO7,"")</f>
        <v/>
      </c>
      <c r="K29" s="129" t="str">
        <f>IF($M29="Yes",'Invoice Log'!$AP7,"")</f>
        <v/>
      </c>
      <c r="L29" s="65" t="str">
        <f>IF($M29="Yes",ROUND('Invoice Log'!$AP7*Settings!$J$8,2),"")</f>
        <v/>
      </c>
      <c r="M29" s="125" t="str">
        <f>IF(OR('Invoice Log'!$L7="",'Invoice Log'!$AS7=""),"",IF(AND('Invoice Log'!$AR7&lt;=$B$3,'Invoice Log'!$AR7&gt;=Settings!$J$10,'Invoice Log'!$J7&lt;&gt;"Cancelled"),"Yes","No"))</f>
        <v>No</v>
      </c>
    </row>
    <row r="30" ht="15.75" customHeight="1">
      <c r="A30" s="125" t="str">
        <f>IF('Invoice Log'!$AS8="","",TEXT('Invoice Log'!$AS8,"YYYY-MM"))</f>
        <v>2026-02</v>
      </c>
      <c r="B30" s="45">
        <f>IF('Invoice Log'!$AR8="","",'Invoice Log'!$AR8)</f>
        <v>46070</v>
      </c>
      <c r="C30" s="63">
        <f>IF('Invoice Log'!$D8="","",'Invoice Log'!$D8)</f>
        <v>22004203</v>
      </c>
      <c r="D30" s="126" t="str">
        <f>IF('Invoice Log'!$L8="","",'Invoice Log'!$E8)</f>
        <v>AngloGold - Day 2</v>
      </c>
      <c r="E30" s="126" t="str">
        <f>IF('Invoice Log'!$L8="","",'Invoice Log'!$J8)</f>
        <v>Complete</v>
      </c>
      <c r="F30" s="125" t="str">
        <f>IF('Invoice Log'!$L8="","",'Invoice Log'!$Q8)</f>
        <v>Yes</v>
      </c>
      <c r="G30" s="65" t="str">
        <f>IF($M30="Yes",'Invoice Log'!$L8,"")</f>
        <v/>
      </c>
      <c r="H30" s="65" t="str">
        <f>IF($M30="Yes",'Invoice Log'!$S8,"")</f>
        <v/>
      </c>
      <c r="I30" s="65" t="str">
        <f>IF($M30="Yes",'Invoice Log'!$AI8,"")</f>
        <v/>
      </c>
      <c r="J30" s="127" t="str">
        <f>IF($M30="Yes",'Invoice Log'!$AO8,"")</f>
        <v/>
      </c>
      <c r="K30" s="129" t="str">
        <f>IF($M30="Yes",'Invoice Log'!$AP8,"")</f>
        <v/>
      </c>
      <c r="L30" s="65" t="str">
        <f>IF($M30="Yes",ROUND('Invoice Log'!$AP8*Settings!$J$8,2),"")</f>
        <v/>
      </c>
      <c r="M30" s="125" t="str">
        <f>IF(OR('Invoice Log'!$L8="",'Invoice Log'!$AS8=""),"",IF(AND('Invoice Log'!$AR8&lt;=$B$3,'Invoice Log'!$AR8&gt;=Settings!$J$10,'Invoice Log'!$J8&lt;&gt;"Cancelled"),"Yes","No"))</f>
        <v>No</v>
      </c>
    </row>
    <row r="31" ht="15.75" customHeight="1">
      <c r="A31" s="125" t="str">
        <f>IF('Invoice Log'!$AS9="","",TEXT('Invoice Log'!$AS9,"YYYY-MM"))</f>
        <v>2026-02</v>
      </c>
      <c r="B31" s="45">
        <f>IF('Invoice Log'!$AR9="","",'Invoice Log'!$AR9)</f>
        <v>46071</v>
      </c>
      <c r="C31" s="63">
        <f>IF('Invoice Log'!$D9="","",'Invoice Log'!$D9)</f>
        <v>22004204</v>
      </c>
      <c r="D31" s="126" t="str">
        <f>IF('Invoice Log'!$L9="","",'Invoice Log'!$E9)</f>
        <v>AngloGold - Day 3</v>
      </c>
      <c r="E31" s="126" t="str">
        <f>IF('Invoice Log'!$L9="","",'Invoice Log'!$J9)</f>
        <v>Complete</v>
      </c>
      <c r="F31" s="125" t="str">
        <f>IF('Invoice Log'!$L9="","",'Invoice Log'!$Q9)</f>
        <v>Yes</v>
      </c>
      <c r="G31" s="65" t="str">
        <f>IF($M31="Yes",'Invoice Log'!$L9,"")</f>
        <v/>
      </c>
      <c r="H31" s="65" t="str">
        <f>IF($M31="Yes",'Invoice Log'!$S9,"")</f>
        <v/>
      </c>
      <c r="I31" s="65" t="str">
        <f>IF($M31="Yes",'Invoice Log'!$AI9,"")</f>
        <v/>
      </c>
      <c r="J31" s="127" t="str">
        <f>IF($M31="Yes",'Invoice Log'!$AO9,"")</f>
        <v/>
      </c>
      <c r="K31" s="129" t="str">
        <f>IF($M31="Yes",'Invoice Log'!$AP9,"")</f>
        <v/>
      </c>
      <c r="L31" s="65" t="str">
        <f>IF($M31="Yes",ROUND('Invoice Log'!$AP9*Settings!$J$8,2),"")</f>
        <v/>
      </c>
      <c r="M31" s="125" t="str">
        <f>IF(OR('Invoice Log'!$L9="",'Invoice Log'!$AS9=""),"",IF(AND('Invoice Log'!$AR9&lt;=$B$3,'Invoice Log'!$AR9&gt;=Settings!$J$10,'Invoice Log'!$J9&lt;&gt;"Cancelled"),"Yes","No"))</f>
        <v>No</v>
      </c>
    </row>
    <row r="32" ht="15.75" customHeight="1">
      <c r="A32" s="125" t="str">
        <f>IF('Invoice Log'!$AS10="","",TEXT('Invoice Log'!$AS10,"YYYY-MM"))</f>
        <v>2026-01</v>
      </c>
      <c r="B32" s="45">
        <f>IF('Invoice Log'!$AR10="","",'Invoice Log'!$AR10)</f>
        <v>46044</v>
      </c>
      <c r="C32" s="63">
        <f>IF('Invoice Log'!$D10="","",'Invoice Log'!$D10)</f>
        <v>22004205</v>
      </c>
      <c r="D32" s="126" t="str">
        <f>IF('Invoice Log'!$L10="","",'Invoice Log'!$E10)</f>
        <v>Aesop</v>
      </c>
      <c r="E32" s="126" t="str">
        <f>IF('Invoice Log'!$L10="","",'Invoice Log'!$J10)</f>
        <v>Complete</v>
      </c>
      <c r="F32" s="125" t="str">
        <f>IF('Invoice Log'!$L10="","",'Invoice Log'!$Q10)</f>
        <v>Yes</v>
      </c>
      <c r="G32" s="65" t="str">
        <f>IF($M32="Yes",'Invoice Log'!$L10,"")</f>
        <v/>
      </c>
      <c r="H32" s="65" t="str">
        <f>IF($M32="Yes",'Invoice Log'!$S10,"")</f>
        <v/>
      </c>
      <c r="I32" s="65" t="str">
        <f>IF($M32="Yes",'Invoice Log'!$AI10,"")</f>
        <v/>
      </c>
      <c r="J32" s="127" t="str">
        <f>IF($M32="Yes",'Invoice Log'!$AO10,"")</f>
        <v/>
      </c>
      <c r="K32" s="129" t="str">
        <f>IF($M32="Yes",'Invoice Log'!$AP10,"")</f>
        <v/>
      </c>
      <c r="L32" s="65" t="str">
        <f>IF($M32="Yes",ROUND('Invoice Log'!$AP10*Settings!$J$8,2),"")</f>
        <v/>
      </c>
      <c r="M32" s="125" t="str">
        <f>IF(OR('Invoice Log'!$L10="",'Invoice Log'!$AS10=""),"",IF(AND('Invoice Log'!$AR10&lt;=$B$3,'Invoice Log'!$AR10&gt;=Settings!$J$10,'Invoice Log'!$J10&lt;&gt;"Cancelled"),"Yes","No"))</f>
        <v>No</v>
      </c>
    </row>
    <row r="33" ht="15.75" customHeight="1">
      <c r="A33" s="125" t="str">
        <f>IF('Invoice Log'!$AS11="","",TEXT('Invoice Log'!$AS11,"YYYY-MM"))</f>
        <v>2026-08</v>
      </c>
      <c r="B33" s="45">
        <f>IF('Invoice Log'!$AR11="","",'Invoice Log'!$AR11)</f>
        <v>46241</v>
      </c>
      <c r="C33" s="63">
        <f>IF('Invoice Log'!$D11="","",'Invoice Log'!$D11)</f>
        <v>22004206</v>
      </c>
      <c r="D33" s="126" t="str">
        <f>IF('Invoice Log'!$L11="","",'Invoice Log'!$E11)</f>
        <v>The Payment Association (Emerging Payments Ventures)</v>
      </c>
      <c r="E33" s="126" t="str">
        <f>IF('Invoice Log'!$L11="","",'Invoice Log'!$J11)</f>
        <v>Complete</v>
      </c>
      <c r="F33" s="125" t="str">
        <f>IF('Invoice Log'!$L11="","",'Invoice Log'!$Q11)</f>
        <v>Yes</v>
      </c>
      <c r="G33" s="65" t="str">
        <f>IF($M33="Yes",'Invoice Log'!$L11,"")</f>
        <v/>
      </c>
      <c r="H33" s="65" t="str">
        <f>IF($M33="Yes",'Invoice Log'!$S11,"")</f>
        <v/>
      </c>
      <c r="I33" s="65" t="str">
        <f>IF($M33="Yes",'Invoice Log'!$AI11,"")</f>
        <v/>
      </c>
      <c r="J33" s="127" t="str">
        <f>IF($M33="Yes",'Invoice Log'!$AO11,"")</f>
        <v/>
      </c>
      <c r="K33" s="129" t="str">
        <f>IF($M33="Yes",'Invoice Log'!$AP11,"")</f>
        <v/>
      </c>
      <c r="L33" s="65" t="str">
        <f>IF($M33="Yes",ROUND('Invoice Log'!$AP11*Settings!$J$8,2),"")</f>
        <v/>
      </c>
      <c r="M33" s="125" t="str">
        <f>IF(OR('Invoice Log'!$L11="",'Invoice Log'!$AS11=""),"",IF(AND('Invoice Log'!$AR11&lt;=$B$3,'Invoice Log'!$AR11&gt;=Settings!$J$10,'Invoice Log'!$J11&lt;&gt;"Cancelled"),"Yes","No"))</f>
        <v>No</v>
      </c>
    </row>
    <row r="34" ht="15.75" customHeight="1">
      <c r="A34" s="125" t="str">
        <f>IF('Invoice Log'!$AS12="","",TEXT('Invoice Log'!$AS12,"YYYY-MM"))</f>
        <v>2026-02</v>
      </c>
      <c r="B34" s="45">
        <f>IF('Invoice Log'!$AR12="","",'Invoice Log'!$AR12)</f>
        <v>46077</v>
      </c>
      <c r="C34" s="63">
        <f>IF('Invoice Log'!$D12="","",'Invoice Log'!$D12)</f>
        <v>22004207</v>
      </c>
      <c r="D34" s="126" t="str">
        <f>IF('Invoice Log'!$L12="","",'Invoice Log'!$E12)</f>
        <v>George Jensen Limited</v>
      </c>
      <c r="E34" s="126" t="str">
        <f>IF('Invoice Log'!$L12="","",'Invoice Log'!$J12)</f>
        <v>Complete</v>
      </c>
      <c r="F34" s="125" t="str">
        <f>IF('Invoice Log'!$L12="","",'Invoice Log'!$Q12)</f>
        <v>Yes</v>
      </c>
      <c r="G34" s="65" t="str">
        <f>IF($M34="Yes",'Invoice Log'!$L12,"")</f>
        <v/>
      </c>
      <c r="H34" s="65" t="str">
        <f>IF($M34="Yes",'Invoice Log'!$S12,"")</f>
        <v/>
      </c>
      <c r="I34" s="65" t="str">
        <f>IF($M34="Yes",'Invoice Log'!$AI12,"")</f>
        <v/>
      </c>
      <c r="J34" s="127" t="str">
        <f>IF($M34="Yes",'Invoice Log'!$AO12,"")</f>
        <v/>
      </c>
      <c r="K34" s="129" t="str">
        <f>IF($M34="Yes",'Invoice Log'!$AP12,"")</f>
        <v/>
      </c>
      <c r="L34" s="65" t="str">
        <f>IF($M34="Yes",ROUND('Invoice Log'!$AP12*Settings!$J$8,2),"")</f>
        <v/>
      </c>
      <c r="M34" s="125" t="str">
        <f>IF(OR('Invoice Log'!$L12="",'Invoice Log'!$AS12=""),"",IF(AND('Invoice Log'!$AR12&lt;=$B$3,'Invoice Log'!$AR12&gt;=Settings!$J$10,'Invoice Log'!$J12&lt;&gt;"Cancelled"),"Yes","No"))</f>
        <v>No</v>
      </c>
    </row>
    <row r="35" ht="15.75" customHeight="1">
      <c r="A35" s="125" t="str">
        <f>IF('Invoice Log'!$AS13="","",TEXT('Invoice Log'!$AS13,"YYYY-MM"))</f>
        <v>2026-01</v>
      </c>
      <c r="B35" s="45">
        <f>IF('Invoice Log'!$AR13="","",'Invoice Log'!$AR13)</f>
        <v>46050</v>
      </c>
      <c r="C35" s="63">
        <f>IF('Invoice Log'!$D13="","",'Invoice Log'!$D13)</f>
        <v>22004208</v>
      </c>
      <c r="D35" s="126" t="str">
        <f>IF('Invoice Log'!$L13="","",'Invoice Log'!$E13)</f>
        <v>SGN - Day 1</v>
      </c>
      <c r="E35" s="126" t="str">
        <f>IF('Invoice Log'!$L13="","",'Invoice Log'!$J13)</f>
        <v>Complete</v>
      </c>
      <c r="F35" s="125" t="str">
        <f>IF('Invoice Log'!$L13="","",'Invoice Log'!$Q13)</f>
        <v>No</v>
      </c>
      <c r="G35" s="65" t="str">
        <f>IF($M35="Yes",'Invoice Log'!$L13,"")</f>
        <v/>
      </c>
      <c r="H35" s="65" t="str">
        <f>IF($M35="Yes",'Invoice Log'!$S13,"")</f>
        <v/>
      </c>
      <c r="I35" s="65" t="str">
        <f>IF($M35="Yes",'Invoice Log'!$AI13,"")</f>
        <v/>
      </c>
      <c r="J35" s="127" t="str">
        <f>IF($M35="Yes",'Invoice Log'!$AO13,"")</f>
        <v/>
      </c>
      <c r="K35" s="129" t="str">
        <f>IF($M35="Yes",'Invoice Log'!$AP13,"")</f>
        <v/>
      </c>
      <c r="L35" s="65" t="str">
        <f>IF($M35="Yes",ROUND('Invoice Log'!$AP13*Settings!$J$8,2),"")</f>
        <v/>
      </c>
      <c r="M35" s="125" t="str">
        <f>IF(OR('Invoice Log'!$L13="",'Invoice Log'!$AS13=""),"",IF(AND('Invoice Log'!$AR13&lt;=$B$3,'Invoice Log'!$AR13&gt;=Settings!$J$10,'Invoice Log'!$J13&lt;&gt;"Cancelled"),"Yes","No"))</f>
        <v>No</v>
      </c>
    </row>
    <row r="36" ht="15.75" customHeight="1">
      <c r="A36" s="125" t="str">
        <f>IF('Invoice Log'!$AS14="","",TEXT('Invoice Log'!$AS14,"YYYY-MM"))</f>
        <v>2026-01</v>
      </c>
      <c r="B36" s="45">
        <f>IF('Invoice Log'!$AR14="","",'Invoice Log'!$AR14)</f>
        <v>46051</v>
      </c>
      <c r="C36" s="63">
        <f>IF('Invoice Log'!$D14="","",'Invoice Log'!$D14)</f>
        <v>22004209</v>
      </c>
      <c r="D36" s="126" t="str">
        <f>IF('Invoice Log'!$L14="","",'Invoice Log'!$E14)</f>
        <v>SGN - Day 2</v>
      </c>
      <c r="E36" s="126" t="str">
        <f>IF('Invoice Log'!$L14="","",'Invoice Log'!$J14)</f>
        <v>Complete</v>
      </c>
      <c r="F36" s="125" t="str">
        <f>IF('Invoice Log'!$L14="","",'Invoice Log'!$Q14)</f>
        <v>No</v>
      </c>
      <c r="G36" s="65" t="str">
        <f>IF($M36="Yes",'Invoice Log'!$L14,"")</f>
        <v/>
      </c>
      <c r="H36" s="65" t="str">
        <f>IF($M36="Yes",'Invoice Log'!$S14,"")</f>
        <v/>
      </c>
      <c r="I36" s="65" t="str">
        <f>IF($M36="Yes",'Invoice Log'!$AI14,"")</f>
        <v/>
      </c>
      <c r="J36" s="127" t="str">
        <f>IF($M36="Yes",'Invoice Log'!$AO14,"")</f>
        <v/>
      </c>
      <c r="K36" s="129" t="str">
        <f>IF($M36="Yes",'Invoice Log'!$AP14,"")</f>
        <v/>
      </c>
      <c r="L36" s="65" t="str">
        <f>IF($M36="Yes",ROUND('Invoice Log'!$AP14*Settings!$J$8,2),"")</f>
        <v/>
      </c>
      <c r="M36" s="125" t="str">
        <f>IF(OR('Invoice Log'!$L14="",'Invoice Log'!$AS14=""),"",IF(AND('Invoice Log'!$AR14&lt;=$B$3,'Invoice Log'!$AR14&gt;=Settings!$J$10,'Invoice Log'!$J14&lt;&gt;"Cancelled"),"Yes","No"))</f>
        <v>No</v>
      </c>
    </row>
    <row r="37" ht="15.75" customHeight="1">
      <c r="A37" s="125" t="str">
        <f>IF('Invoice Log'!$AS15="","",TEXT('Invoice Log'!$AS15,"YYYY-MM"))</f>
        <v>2026-01</v>
      </c>
      <c r="B37" s="45">
        <f>IF('Invoice Log'!$AR15="","",'Invoice Log'!$AR15)</f>
        <v>46037</v>
      </c>
      <c r="C37" s="63" t="str">
        <f>IF('Invoice Log'!$D15="","",'Invoice Log'!$D15)</f>
        <v/>
      </c>
      <c r="D37" s="126" t="str">
        <f>IF('Invoice Log'!$L15="","",'Invoice Log'!$E15)</f>
        <v>Delegation european union</v>
      </c>
      <c r="E37" s="126" t="str">
        <f>IF('Invoice Log'!$L15="","",'Invoice Log'!$J15)</f>
        <v>Complete</v>
      </c>
      <c r="F37" s="125" t="str">
        <f>IF('Invoice Log'!$L15="","",'Invoice Log'!$Q15)</f>
        <v>No</v>
      </c>
      <c r="G37" s="65" t="str">
        <f>IF($M37="Yes",'Invoice Log'!$L15,"")</f>
        <v/>
      </c>
      <c r="H37" s="65" t="str">
        <f>IF($M37="Yes",'Invoice Log'!$S15,"")</f>
        <v/>
      </c>
      <c r="I37" s="65" t="str">
        <f>IF($M37="Yes",'Invoice Log'!$AI15,"")</f>
        <v/>
      </c>
      <c r="J37" s="127" t="str">
        <f>IF($M37="Yes",'Invoice Log'!$AO15,"")</f>
        <v/>
      </c>
      <c r="K37" s="129" t="str">
        <f>IF($M37="Yes",'Invoice Log'!$AP15,"")</f>
        <v/>
      </c>
      <c r="L37" s="65" t="str">
        <f>IF($M37="Yes",ROUND('Invoice Log'!$AP15*Settings!$J$8,2),"")</f>
        <v/>
      </c>
      <c r="M37" s="125" t="str">
        <f>IF(OR('Invoice Log'!$L15="",'Invoice Log'!$AS15=""),"",IF(AND('Invoice Log'!$AR15&lt;=$B$3,'Invoice Log'!$AR15&gt;=Settings!$J$10,'Invoice Log'!$J15&lt;&gt;"Cancelled"),"Yes","No"))</f>
        <v>No</v>
      </c>
    </row>
    <row r="38" ht="15.75" customHeight="1">
      <c r="A38" s="125" t="str">
        <f>IF('Invoice Log'!$AS16="","",TEXT('Invoice Log'!$AS16,"YYYY-MM"))</f>
        <v>2026-01</v>
      </c>
      <c r="B38" s="45">
        <f>IF('Invoice Log'!$AR16="","",'Invoice Log'!$AR16)</f>
        <v>46043</v>
      </c>
      <c r="C38" s="63">
        <f>IF('Invoice Log'!$D16="","",'Invoice Log'!$D16)</f>
        <v>22004210</v>
      </c>
      <c r="D38" s="126" t="str">
        <f>IF('Invoice Log'!$L16="","",'Invoice Log'!$E16)</f>
        <v>Winston &amp; Strawn</v>
      </c>
      <c r="E38" s="126" t="str">
        <f>IF('Invoice Log'!$L16="","",'Invoice Log'!$J16)</f>
        <v>Complete</v>
      </c>
      <c r="F38" s="125" t="str">
        <f>IF('Invoice Log'!$L16="","",'Invoice Log'!$Q16)</f>
        <v>No</v>
      </c>
      <c r="G38" s="65" t="str">
        <f>IF($M38="Yes",'Invoice Log'!$L16,"")</f>
        <v/>
      </c>
      <c r="H38" s="65" t="str">
        <f>IF($M38="Yes",'Invoice Log'!$S16,"")</f>
        <v/>
      </c>
      <c r="I38" s="65" t="str">
        <f>IF($M38="Yes",'Invoice Log'!$AI16,"")</f>
        <v/>
      </c>
      <c r="J38" s="127" t="str">
        <f>IF($M38="Yes",'Invoice Log'!$AO16,"")</f>
        <v/>
      </c>
      <c r="K38" s="129" t="str">
        <f>IF($M38="Yes",'Invoice Log'!$AP16,"")</f>
        <v/>
      </c>
      <c r="L38" s="65" t="str">
        <f>IF($M38="Yes",ROUND('Invoice Log'!$AP16*Settings!$J$8,2),"")</f>
        <v/>
      </c>
      <c r="M38" s="125" t="str">
        <f>IF(OR('Invoice Log'!$L16="",'Invoice Log'!$AS16=""),"",IF(AND('Invoice Log'!$AR16&lt;=$B$3,'Invoice Log'!$AR16&gt;=Settings!$J$10,'Invoice Log'!$J16&lt;&gt;"Cancelled"),"Yes","No"))</f>
        <v>No</v>
      </c>
    </row>
    <row r="39" ht="15.75" customHeight="1">
      <c r="A39" s="125" t="str">
        <f>IF('Invoice Log'!$AS17="","",TEXT('Invoice Log'!$AS17,"YYYY-MM"))</f>
        <v>2026-02</v>
      </c>
      <c r="B39" s="45">
        <f>IF('Invoice Log'!$AR17="","",'Invoice Log'!$AR17)</f>
        <v>46065</v>
      </c>
      <c r="C39" s="63">
        <f>IF('Invoice Log'!$D17="","",'Invoice Log'!$D17)</f>
        <v>22004211</v>
      </c>
      <c r="D39" s="126" t="str">
        <f>IF('Invoice Log'!$L17="","",'Invoice Log'!$E17)</f>
        <v>Humanists</v>
      </c>
      <c r="E39" s="126" t="str">
        <f>IF('Invoice Log'!$L17="","",'Invoice Log'!$J17)</f>
        <v>Complete</v>
      </c>
      <c r="F39" s="125" t="str">
        <f>IF('Invoice Log'!$L17="","",'Invoice Log'!$Q17)</f>
        <v>Yes</v>
      </c>
      <c r="G39" s="65" t="str">
        <f>IF($M39="Yes",'Invoice Log'!$L17,"")</f>
        <v/>
      </c>
      <c r="H39" s="65" t="str">
        <f>IF($M39="Yes",'Invoice Log'!$S17,"")</f>
        <v/>
      </c>
      <c r="I39" s="65" t="str">
        <f>IF($M39="Yes",'Invoice Log'!$AI17,"")</f>
        <v/>
      </c>
      <c r="J39" s="127" t="str">
        <f>IF($M39="Yes",'Invoice Log'!$AO17,"")</f>
        <v/>
      </c>
      <c r="K39" s="129" t="str">
        <f>IF($M39="Yes",'Invoice Log'!$AP17,"")</f>
        <v/>
      </c>
      <c r="L39" s="65" t="str">
        <f>IF($M39="Yes",ROUND('Invoice Log'!$AP17*Settings!$J$8,2),"")</f>
        <v/>
      </c>
      <c r="M39" s="125" t="str">
        <f>IF(OR('Invoice Log'!$L17="",'Invoice Log'!$AS17=""),"",IF(AND('Invoice Log'!$AR17&lt;=$B$3,'Invoice Log'!$AR17&gt;=Settings!$J$10,'Invoice Log'!$J17&lt;&gt;"Cancelled"),"Yes","No"))</f>
        <v>No</v>
      </c>
    </row>
    <row r="40" ht="15.75" customHeight="1">
      <c r="A40" s="125" t="str">
        <f>IF('Invoice Log'!$AS18="","",TEXT('Invoice Log'!$AS18,"YYYY-MM"))</f>
        <v>2026-03</v>
      </c>
      <c r="B40" s="45">
        <f>IF('Invoice Log'!$AR18="","",'Invoice Log'!$AR18)</f>
        <v>46086</v>
      </c>
      <c r="C40" s="63">
        <f>IF('Invoice Log'!$D18="","",'Invoice Log'!$D18)</f>
        <v>22004212</v>
      </c>
      <c r="D40" s="126" t="str">
        <f>IF('Invoice Log'!$L18="","",'Invoice Log'!$E18)</f>
        <v>Humanists</v>
      </c>
      <c r="E40" s="126" t="str">
        <f>IF('Invoice Log'!$L18="","",'Invoice Log'!$J18)</f>
        <v>Complete</v>
      </c>
      <c r="F40" s="125" t="str">
        <f>IF('Invoice Log'!$L18="","",'Invoice Log'!$Q18)</f>
        <v>Yes</v>
      </c>
      <c r="G40" s="65" t="str">
        <f>IF($M40="Yes",'Invoice Log'!$L18,"")</f>
        <v/>
      </c>
      <c r="H40" s="65" t="str">
        <f>IF($M40="Yes",'Invoice Log'!$S18,"")</f>
        <v/>
      </c>
      <c r="I40" s="65" t="str">
        <f>IF($M40="Yes",'Invoice Log'!$AI18,"")</f>
        <v/>
      </c>
      <c r="J40" s="127" t="str">
        <f>IF($M40="Yes",'Invoice Log'!$AO18,"")</f>
        <v/>
      </c>
      <c r="K40" s="129" t="str">
        <f>IF($M40="Yes",'Invoice Log'!$AP18,"")</f>
        <v/>
      </c>
      <c r="L40" s="65" t="str">
        <f>IF($M40="Yes",ROUND('Invoice Log'!$AP18*Settings!$J$8,2),"")</f>
        <v/>
      </c>
      <c r="M40" s="125" t="str">
        <f>IF(OR('Invoice Log'!$L18="",'Invoice Log'!$AS18=""),"",IF(AND('Invoice Log'!$AR18&lt;=$B$3,'Invoice Log'!$AR18&gt;=Settings!$J$10,'Invoice Log'!$J18&lt;&gt;"Cancelled"),"Yes","No"))</f>
        <v>No</v>
      </c>
    </row>
    <row r="41" ht="15.75" customHeight="1">
      <c r="A41" s="125" t="str">
        <f>IF('Invoice Log'!$AS19="","",TEXT('Invoice Log'!$AS19,"YYYY-MM"))</f>
        <v>2026-01</v>
      </c>
      <c r="B41" s="45">
        <f>IF('Invoice Log'!$AR19="","",'Invoice Log'!$AR19)</f>
        <v>46048</v>
      </c>
      <c r="C41" s="63">
        <f>IF('Invoice Log'!$D19="","",'Invoice Log'!$D19)</f>
        <v>22004213</v>
      </c>
      <c r="D41" s="126" t="str">
        <f>IF('Invoice Log'!$L19="","",'Invoice Log'!$E19)</f>
        <v>Arini - DAY 1</v>
      </c>
      <c r="E41" s="126" t="str">
        <f>IF('Invoice Log'!$L19="","",'Invoice Log'!$J19)</f>
        <v>Complete</v>
      </c>
      <c r="F41" s="125" t="str">
        <f>IF('Invoice Log'!$L19="","",'Invoice Log'!$Q19)</f>
        <v>Yes</v>
      </c>
      <c r="G41" s="65" t="str">
        <f>IF($M41="Yes",'Invoice Log'!$L19,"")</f>
        <v/>
      </c>
      <c r="H41" s="65" t="str">
        <f>IF($M41="Yes",'Invoice Log'!$S19,"")</f>
        <v/>
      </c>
      <c r="I41" s="65" t="str">
        <f>IF($M41="Yes",'Invoice Log'!$AI19,"")</f>
        <v/>
      </c>
      <c r="J41" s="127" t="str">
        <f>IF($M41="Yes",'Invoice Log'!$AO19,"")</f>
        <v/>
      </c>
      <c r="K41" s="129" t="str">
        <f>IF($M41="Yes",'Invoice Log'!$AP19,"")</f>
        <v/>
      </c>
      <c r="L41" s="65" t="str">
        <f>IF($M41="Yes",ROUND('Invoice Log'!$AP19*Settings!$J$8,2),"")</f>
        <v/>
      </c>
      <c r="M41" s="125" t="str">
        <f>IF(OR('Invoice Log'!$L19="",'Invoice Log'!$AS19=""),"",IF(AND('Invoice Log'!$AR19&lt;=$B$3,'Invoice Log'!$AR19&gt;=Settings!$J$10,'Invoice Log'!$J19&lt;&gt;"Cancelled"),"Yes","No"))</f>
        <v>No</v>
      </c>
    </row>
    <row r="42" ht="15.75" customHeight="1">
      <c r="A42" s="125" t="str">
        <f>IF('Invoice Log'!$AS20="","",TEXT('Invoice Log'!$AS20,"YYYY-MM"))</f>
        <v>2026-01</v>
      </c>
      <c r="B42" s="45">
        <f>IF('Invoice Log'!$AR20="","",'Invoice Log'!$AR20)</f>
        <v>46051</v>
      </c>
      <c r="C42" s="63">
        <f>IF('Invoice Log'!$D20="","",'Invoice Log'!$D20)</f>
        <v>22004214</v>
      </c>
      <c r="D42" s="126" t="str">
        <f>IF('Invoice Log'!$L20="","",'Invoice Log'!$E20)</f>
        <v>Arini - DAY 2</v>
      </c>
      <c r="E42" s="126" t="str">
        <f>IF('Invoice Log'!$L20="","",'Invoice Log'!$J20)</f>
        <v>Complete</v>
      </c>
      <c r="F42" s="125" t="str">
        <f>IF('Invoice Log'!$L20="","",'Invoice Log'!$Q20)</f>
        <v>Yes</v>
      </c>
      <c r="G42" s="65" t="str">
        <f>IF($M42="Yes",'Invoice Log'!$L20,"")</f>
        <v/>
      </c>
      <c r="H42" s="65" t="str">
        <f>IF($M42="Yes",'Invoice Log'!$S20,"")</f>
        <v/>
      </c>
      <c r="I42" s="65" t="str">
        <f>IF($M42="Yes",'Invoice Log'!$AI20,"")</f>
        <v/>
      </c>
      <c r="J42" s="127" t="str">
        <f>IF($M42="Yes",'Invoice Log'!$AO20,"")</f>
        <v/>
      </c>
      <c r="K42" s="129" t="str">
        <f>IF($M42="Yes",'Invoice Log'!$AP20,"")</f>
        <v/>
      </c>
      <c r="L42" s="65" t="str">
        <f>IF($M42="Yes",ROUND('Invoice Log'!$AP20*Settings!$J$8,2),"")</f>
        <v/>
      </c>
      <c r="M42" s="125" t="str">
        <f>IF(OR('Invoice Log'!$L20="",'Invoice Log'!$AS20=""),"",IF(AND('Invoice Log'!$AR20&lt;=$B$3,'Invoice Log'!$AR20&gt;=Settings!$J$10,'Invoice Log'!$J20&lt;&gt;"Cancelled"),"Yes","No"))</f>
        <v>No</v>
      </c>
    </row>
    <row r="43" ht="15.75" customHeight="1">
      <c r="A43" s="125" t="str">
        <f>IF('Invoice Log'!$AS21="","",TEXT('Invoice Log'!$AS21,"YYYY-MM"))</f>
        <v>2026-03</v>
      </c>
      <c r="B43" s="45">
        <f>IF('Invoice Log'!$AR21="","",'Invoice Log'!$AR21)</f>
        <v>46093</v>
      </c>
      <c r="C43" s="63">
        <f>IF('Invoice Log'!$D21="","",'Invoice Log'!$D21)</f>
        <v>22004215</v>
      </c>
      <c r="D43" s="126" t="str">
        <f>IF('Invoice Log'!$L21="","",'Invoice Log'!$E21)</f>
        <v>Dixon Wilson</v>
      </c>
      <c r="E43" s="126" t="str">
        <f>IF('Invoice Log'!$L21="","",'Invoice Log'!$J21)</f>
        <v>Complete</v>
      </c>
      <c r="F43" s="125" t="str">
        <f>IF('Invoice Log'!$L21="","",'Invoice Log'!$Q21)</f>
        <v>Yes</v>
      </c>
      <c r="G43" s="65" t="str">
        <f>IF($M43="Yes",'Invoice Log'!$L21,"")</f>
        <v/>
      </c>
      <c r="H43" s="65" t="str">
        <f>IF($M43="Yes",'Invoice Log'!$S21,"")</f>
        <v/>
      </c>
      <c r="I43" s="65" t="str">
        <f>IF($M43="Yes",'Invoice Log'!$AI21,"")</f>
        <v/>
      </c>
      <c r="J43" s="127" t="str">
        <f>IF($M43="Yes",'Invoice Log'!$AO21,"")</f>
        <v/>
      </c>
      <c r="K43" s="129" t="str">
        <f>IF($M43="Yes",'Invoice Log'!$AP21,"")</f>
        <v/>
      </c>
      <c r="L43" s="65" t="str">
        <f>IF($M43="Yes",ROUND('Invoice Log'!$AP21*Settings!$J$8,2),"")</f>
        <v/>
      </c>
      <c r="M43" s="125" t="str">
        <f>IF(OR('Invoice Log'!$L21="",'Invoice Log'!$AS21=""),"",IF(AND('Invoice Log'!$AR21&lt;=$B$3,'Invoice Log'!$AR21&gt;=Settings!$J$10,'Invoice Log'!$J21&lt;&gt;"Cancelled"),"Yes","No"))</f>
        <v>No</v>
      </c>
    </row>
    <row r="44" ht="15.75" customHeight="1">
      <c r="A44" s="125" t="str">
        <f>IF('Invoice Log'!$AS22="","",TEXT('Invoice Log'!$AS22,"YYYY-MM"))</f>
        <v>2026-02</v>
      </c>
      <c r="B44" s="45">
        <f>IF('Invoice Log'!$AR22="","",'Invoice Log'!$AR22)</f>
        <v>46078</v>
      </c>
      <c r="C44" s="63">
        <f>IF('Invoice Log'!$D22="","",'Invoice Log'!$D22)</f>
        <v>22004216</v>
      </c>
      <c r="D44" s="126" t="str">
        <f>IF('Invoice Log'!$L22="","",'Invoice Log'!$E22)</f>
        <v>Mewburn Ellis</v>
      </c>
      <c r="E44" s="126" t="str">
        <f>IF('Invoice Log'!$L22="","",'Invoice Log'!$J22)</f>
        <v>Complete</v>
      </c>
      <c r="F44" s="125" t="str">
        <f>IF('Invoice Log'!$L22="","",'Invoice Log'!$Q22)</f>
        <v>Yes</v>
      </c>
      <c r="G44" s="65" t="str">
        <f>IF($M44="Yes",'Invoice Log'!$L22,"")</f>
        <v/>
      </c>
      <c r="H44" s="65" t="str">
        <f>IF($M44="Yes",'Invoice Log'!$S22,"")</f>
        <v/>
      </c>
      <c r="I44" s="65" t="str">
        <f>IF($M44="Yes",'Invoice Log'!$AI22,"")</f>
        <v/>
      </c>
      <c r="J44" s="127" t="str">
        <f>IF($M44="Yes",'Invoice Log'!$AO22,"")</f>
        <v/>
      </c>
      <c r="K44" s="129" t="str">
        <f>IF($M44="Yes",'Invoice Log'!$AP22,"")</f>
        <v/>
      </c>
      <c r="L44" s="65" t="str">
        <f>IF($M44="Yes",ROUND('Invoice Log'!$AP22*Settings!$J$8,2),"")</f>
        <v/>
      </c>
      <c r="M44" s="125" t="str">
        <f>IF(OR('Invoice Log'!$L22="",'Invoice Log'!$AS22=""),"",IF(AND('Invoice Log'!$AR22&lt;=$B$3,'Invoice Log'!$AR22&gt;=Settings!$J$10,'Invoice Log'!$J22&lt;&gt;"Cancelled"),"Yes","No"))</f>
        <v>No</v>
      </c>
    </row>
    <row r="45" ht="15.75" customHeight="1">
      <c r="A45" s="125" t="str">
        <f>IF('Invoice Log'!$AS23="","",TEXT('Invoice Log'!$AS23,"YYYY-MM"))</f>
        <v>2026-02</v>
      </c>
      <c r="B45" s="45">
        <f>IF('Invoice Log'!$AR23="","",'Invoice Log'!$AR23)</f>
        <v>46056</v>
      </c>
      <c r="C45" s="63">
        <f>IF('Invoice Log'!$D23="","",'Invoice Log'!$D23)</f>
        <v>22004217</v>
      </c>
      <c r="D45" s="126" t="str">
        <f>IF('Invoice Log'!$L23="","",'Invoice Log'!$E23)</f>
        <v>Perenco Holdings</v>
      </c>
      <c r="E45" s="126" t="str">
        <f>IF('Invoice Log'!$L23="","",'Invoice Log'!$J23)</f>
        <v>Complete</v>
      </c>
      <c r="F45" s="125" t="str">
        <f>IF('Invoice Log'!$L23="","",'Invoice Log'!$Q23)</f>
        <v>Yes</v>
      </c>
      <c r="G45" s="65" t="str">
        <f>IF($M45="Yes",'Invoice Log'!$L23,"")</f>
        <v/>
      </c>
      <c r="H45" s="65" t="str">
        <f>IF($M45="Yes",'Invoice Log'!$S23,"")</f>
        <v/>
      </c>
      <c r="I45" s="65" t="str">
        <f>IF($M45="Yes",'Invoice Log'!$AI23,"")</f>
        <v/>
      </c>
      <c r="J45" s="127" t="str">
        <f>IF($M45="Yes",'Invoice Log'!$AO23,"")</f>
        <v/>
      </c>
      <c r="K45" s="129" t="str">
        <f>IF($M45="Yes",'Invoice Log'!$AP23,"")</f>
        <v/>
      </c>
      <c r="L45" s="65" t="str">
        <f>IF($M45="Yes",ROUND('Invoice Log'!$AP23*Settings!$J$8,2),"")</f>
        <v/>
      </c>
      <c r="M45" s="125" t="str">
        <f>IF(OR('Invoice Log'!$L23="",'Invoice Log'!$AS23=""),"",IF(AND('Invoice Log'!$AR23&lt;=$B$3,'Invoice Log'!$AR23&gt;=Settings!$J$10,'Invoice Log'!$J23&lt;&gt;"Cancelled"),"Yes","No"))</f>
        <v>No</v>
      </c>
    </row>
    <row r="46" ht="15.75" customHeight="1">
      <c r="A46" s="125" t="str">
        <f>IF('Invoice Log'!$AS24="","",TEXT('Invoice Log'!$AS24,"YYYY-MM"))</f>
        <v>2026-02</v>
      </c>
      <c r="B46" s="45">
        <f>IF('Invoice Log'!$AR24="","",'Invoice Log'!$AR24)</f>
        <v>46061</v>
      </c>
      <c r="C46" s="63">
        <f>IF('Invoice Log'!$D24="","",'Invoice Log'!$D24)</f>
        <v>22004218</v>
      </c>
      <c r="D46" s="126" t="str">
        <f>IF('Invoice Log'!$L24="","",'Invoice Log'!$E24)</f>
        <v>Emma Daniels</v>
      </c>
      <c r="E46" s="126" t="str">
        <f>IF('Invoice Log'!$L24="","",'Invoice Log'!$J24)</f>
        <v>Complete</v>
      </c>
      <c r="F46" s="125" t="str">
        <f>IF('Invoice Log'!$L24="","",'Invoice Log'!$Q24)</f>
        <v>Yes</v>
      </c>
      <c r="G46" s="65" t="str">
        <f>IF($M46="Yes",'Invoice Log'!$L24,"")</f>
        <v/>
      </c>
      <c r="H46" s="65" t="str">
        <f>IF($M46="Yes",'Invoice Log'!$S24,"")</f>
        <v/>
      </c>
      <c r="I46" s="65" t="str">
        <f>IF($M46="Yes",'Invoice Log'!$AI24,"")</f>
        <v/>
      </c>
      <c r="J46" s="127" t="str">
        <f>IF($M46="Yes",'Invoice Log'!$AO24,"")</f>
        <v/>
      </c>
      <c r="K46" s="129" t="str">
        <f>IF($M46="Yes",'Invoice Log'!$AP24,"")</f>
        <v/>
      </c>
      <c r="L46" s="65" t="str">
        <f>IF($M46="Yes",ROUND('Invoice Log'!$AP24*Settings!$J$8,2),"")</f>
        <v/>
      </c>
      <c r="M46" s="125" t="str">
        <f>IF(OR('Invoice Log'!$L24="",'Invoice Log'!$AS24=""),"",IF(AND('Invoice Log'!$AR24&lt;=$B$3,'Invoice Log'!$AR24&gt;=Settings!$J$10,'Invoice Log'!$J24&lt;&gt;"Cancelled"),"Yes","No"))</f>
        <v>No</v>
      </c>
    </row>
    <row r="47" ht="15.75" customHeight="1">
      <c r="A47" s="125" t="str">
        <f>IF('Invoice Log'!$AS25="","",TEXT('Invoice Log'!$AS25,"YYYY-MM"))</f>
        <v>2026-02</v>
      </c>
      <c r="B47" s="45">
        <f>IF('Invoice Log'!$AR25="","",'Invoice Log'!$AR25)</f>
        <v>46068</v>
      </c>
      <c r="C47" s="63">
        <f>IF('Invoice Log'!$D25="","",'Invoice Log'!$D25)</f>
        <v>22004219</v>
      </c>
      <c r="D47" s="126" t="str">
        <f>IF('Invoice Log'!$L25="","",'Invoice Log'!$E25)</f>
        <v>Clara &amp; Naren wedding tasting</v>
      </c>
      <c r="E47" s="126" t="str">
        <f>IF('Invoice Log'!$L25="","",'Invoice Log'!$J25)</f>
        <v>Cancelled</v>
      </c>
      <c r="F47" s="125" t="str">
        <f>IF('Invoice Log'!$L25="","",'Invoice Log'!$Q25)</f>
        <v>No</v>
      </c>
      <c r="G47" s="65" t="str">
        <f>IF($M47="Yes",'Invoice Log'!$L25,"")</f>
        <v/>
      </c>
      <c r="H47" s="65" t="str">
        <f>IF($M47="Yes",'Invoice Log'!$S25,"")</f>
        <v/>
      </c>
      <c r="I47" s="65" t="str">
        <f>IF($M47="Yes",'Invoice Log'!$AI25,"")</f>
        <v/>
      </c>
      <c r="J47" s="127" t="str">
        <f>IF($M47="Yes",'Invoice Log'!$AO25,"")</f>
        <v/>
      </c>
      <c r="K47" s="129" t="str">
        <f>IF($M47="Yes",'Invoice Log'!$AP25,"")</f>
        <v/>
      </c>
      <c r="L47" s="65" t="str">
        <f>IF($M47="Yes",ROUND('Invoice Log'!$AP25*Settings!$J$8,2),"")</f>
        <v/>
      </c>
      <c r="M47" s="125" t="str">
        <f>IF(OR('Invoice Log'!$L25="",'Invoice Log'!$AS25=""),"",IF(AND('Invoice Log'!$AR25&lt;=$B$3,'Invoice Log'!$AR25&gt;=Settings!$J$10,'Invoice Log'!$J25&lt;&gt;"Cancelled"),"Yes","No"))</f>
        <v>No</v>
      </c>
    </row>
    <row r="48" ht="15.75" customHeight="1">
      <c r="A48" s="125" t="str">
        <f>IF('Invoice Log'!$AS26="","",TEXT('Invoice Log'!$AS26,"YYYY-MM"))</f>
        <v>2026-06</v>
      </c>
      <c r="B48" s="45">
        <f>IF('Invoice Log'!$AR26="","",'Invoice Log'!$AR26)</f>
        <v>46186</v>
      </c>
      <c r="C48" s="63">
        <f>IF('Invoice Log'!$D26="","",'Invoice Log'!$D26)</f>
        <v>22004220</v>
      </c>
      <c r="D48" s="126" t="str">
        <f>IF('Invoice Log'!$L26="","",'Invoice Log'!$E26)</f>
        <v>Alison Brown</v>
      </c>
      <c r="E48" s="126" t="str">
        <f>IF('Invoice Log'!$L26="","",'Invoice Log'!$J26)</f>
        <v>Complete</v>
      </c>
      <c r="F48" s="125" t="str">
        <f>IF('Invoice Log'!$L26="","",'Invoice Log'!$Q26)</f>
        <v>Yes</v>
      </c>
      <c r="G48" s="65" t="str">
        <f>IF($M48="Yes",'Invoice Log'!$L26,"")</f>
        <v/>
      </c>
      <c r="H48" s="65" t="str">
        <f>IF($M48="Yes",'Invoice Log'!$S26,"")</f>
        <v/>
      </c>
      <c r="I48" s="65" t="str">
        <f>IF($M48="Yes",'Invoice Log'!$AI26,"")</f>
        <v/>
      </c>
      <c r="J48" s="127" t="str">
        <f>IF($M48="Yes",'Invoice Log'!$AO26,"")</f>
        <v/>
      </c>
      <c r="K48" s="129" t="str">
        <f>IF($M48="Yes",'Invoice Log'!$AP26,"")</f>
        <v/>
      </c>
      <c r="L48" s="65" t="str">
        <f>IF($M48="Yes",ROUND('Invoice Log'!$AP26*Settings!$J$8,2),"")</f>
        <v/>
      </c>
      <c r="M48" s="125" t="str">
        <f>IF(OR('Invoice Log'!$L26="",'Invoice Log'!$AS26=""),"",IF(AND('Invoice Log'!$AR26&lt;=$B$3,'Invoice Log'!$AR26&gt;=Settings!$J$10,'Invoice Log'!$J26&lt;&gt;"Cancelled"),"Yes","No"))</f>
        <v>No</v>
      </c>
    </row>
    <row r="49" ht="15.75" customHeight="1">
      <c r="A49" s="125" t="str">
        <f>IF('Invoice Log'!$AS27="","",TEXT('Invoice Log'!$AS27,"YYYY-MM"))</f>
        <v>2026-02</v>
      </c>
      <c r="B49" s="45">
        <f>IF('Invoice Log'!$AR27="","",'Invoice Log'!$AR27)</f>
        <v>46065</v>
      </c>
      <c r="C49" s="63">
        <f>IF('Invoice Log'!$D27="","",'Invoice Log'!$D27)</f>
        <v>22004221</v>
      </c>
      <c r="D49" s="126" t="str">
        <f>IF('Invoice Log'!$L27="","",'Invoice Log'!$E27)</f>
        <v>George Jensen Limited</v>
      </c>
      <c r="E49" s="126" t="str">
        <f>IF('Invoice Log'!$L27="","",'Invoice Log'!$J27)</f>
        <v>Complete</v>
      </c>
      <c r="F49" s="125" t="str">
        <f>IF('Invoice Log'!$L27="","",'Invoice Log'!$Q27)</f>
        <v>Yes</v>
      </c>
      <c r="G49" s="65" t="str">
        <f>IF($M49="Yes",'Invoice Log'!$L27,"")</f>
        <v/>
      </c>
      <c r="H49" s="65" t="str">
        <f>IF($M49="Yes",'Invoice Log'!$S27,"")</f>
        <v/>
      </c>
      <c r="I49" s="65" t="str">
        <f>IF($M49="Yes",'Invoice Log'!$AI27,"")</f>
        <v/>
      </c>
      <c r="J49" s="127" t="str">
        <f>IF($M49="Yes",'Invoice Log'!$AO27,"")</f>
        <v/>
      </c>
      <c r="K49" s="129" t="str">
        <f>IF($M49="Yes",'Invoice Log'!$AP27,"")</f>
        <v/>
      </c>
      <c r="L49" s="65" t="str">
        <f>IF($M49="Yes",ROUND('Invoice Log'!$AP27*Settings!$J$8,2),"")</f>
        <v/>
      </c>
      <c r="M49" s="125" t="str">
        <f>IF(OR('Invoice Log'!$L27="",'Invoice Log'!$AS27=""),"",IF(AND('Invoice Log'!$AR27&lt;=$B$3,'Invoice Log'!$AR27&gt;=Settings!$J$10,'Invoice Log'!$J27&lt;&gt;"Cancelled"),"Yes","No"))</f>
        <v>No</v>
      </c>
    </row>
    <row r="50" ht="15.75" customHeight="1">
      <c r="A50" s="125" t="str">
        <f>IF('Invoice Log'!$AS28="","",TEXT('Invoice Log'!$AS28,"YYYY-MM"))</f>
        <v>2026-02</v>
      </c>
      <c r="B50" s="45">
        <f>IF('Invoice Log'!$AR28="","",'Invoice Log'!$AR28)</f>
        <v>46079</v>
      </c>
      <c r="C50" s="63">
        <f>IF('Invoice Log'!$D28="","",'Invoice Log'!$D28)</f>
        <v>22004222</v>
      </c>
      <c r="D50" s="126" t="str">
        <f>IF('Invoice Log'!$L28="","",'Invoice Log'!$E28)</f>
        <v>St Williams</v>
      </c>
      <c r="E50" s="126" t="str">
        <f>IF('Invoice Log'!$L28="","",'Invoice Log'!$J28)</f>
        <v>Complete</v>
      </c>
      <c r="F50" s="125" t="str">
        <f>IF('Invoice Log'!$L28="","",'Invoice Log'!$Q28)</f>
        <v>Yes</v>
      </c>
      <c r="G50" s="65" t="str">
        <f>IF($M50="Yes",'Invoice Log'!$L28,"")</f>
        <v/>
      </c>
      <c r="H50" s="65" t="str">
        <f>IF($M50="Yes",'Invoice Log'!$S28,"")</f>
        <v/>
      </c>
      <c r="I50" s="65" t="str">
        <f>IF($M50="Yes",'Invoice Log'!$AI28,"")</f>
        <v/>
      </c>
      <c r="J50" s="127" t="str">
        <f>IF($M50="Yes",'Invoice Log'!$AO28,"")</f>
        <v/>
      </c>
      <c r="K50" s="129" t="str">
        <f>IF($M50="Yes",'Invoice Log'!$AP28,"")</f>
        <v/>
      </c>
      <c r="L50" s="65" t="str">
        <f>IF($M50="Yes",ROUND('Invoice Log'!$AP28*Settings!$J$8,2),"")</f>
        <v/>
      </c>
      <c r="M50" s="125" t="str">
        <f>IF(OR('Invoice Log'!$L28="",'Invoice Log'!$AS28=""),"",IF(AND('Invoice Log'!$AR28&lt;=$B$3,'Invoice Log'!$AR28&gt;=Settings!$J$10,'Invoice Log'!$J28&lt;&gt;"Cancelled"),"Yes","No"))</f>
        <v>No</v>
      </c>
    </row>
    <row r="51" ht="15.75" customHeight="1">
      <c r="A51" s="125" t="str">
        <f>IF('Invoice Log'!$AS29="","",TEXT('Invoice Log'!$AS29,"YYYY-MM"))</f>
        <v>2026-02</v>
      </c>
      <c r="B51" s="45">
        <f>IF('Invoice Log'!$AR29="","",'Invoice Log'!$AR29)</f>
        <v>46071</v>
      </c>
      <c r="C51" s="63">
        <f>IF('Invoice Log'!$D29="","",'Invoice Log'!$D29)</f>
        <v>22004223</v>
      </c>
      <c r="D51" s="126" t="str">
        <f>IF('Invoice Log'!$L29="","",'Invoice Log'!$E29)</f>
        <v>Arnold &amp; Porter</v>
      </c>
      <c r="E51" s="126" t="str">
        <f>IF('Invoice Log'!$L29="","",'Invoice Log'!$J29)</f>
        <v>Complete</v>
      </c>
      <c r="F51" s="125" t="str">
        <f>IF('Invoice Log'!$L29="","",'Invoice Log'!$Q29)</f>
        <v>No</v>
      </c>
      <c r="G51" s="65" t="str">
        <f>IF($M51="Yes",'Invoice Log'!$L29,"")</f>
        <v/>
      </c>
      <c r="H51" s="65" t="str">
        <f>IF($M51="Yes",'Invoice Log'!$S29,"")</f>
        <v/>
      </c>
      <c r="I51" s="65" t="str">
        <f>IF($M51="Yes",'Invoice Log'!$AI29,"")</f>
        <v/>
      </c>
      <c r="J51" s="127" t="str">
        <f>IF($M51="Yes",'Invoice Log'!$AO29,"")</f>
        <v/>
      </c>
      <c r="K51" s="129" t="str">
        <f>IF($M51="Yes",'Invoice Log'!$AP29,"")</f>
        <v/>
      </c>
      <c r="L51" s="65" t="str">
        <f>IF($M51="Yes",ROUND('Invoice Log'!$AP29*Settings!$J$8,2),"")</f>
        <v/>
      </c>
      <c r="M51" s="125" t="str">
        <f>IF(OR('Invoice Log'!$L29="",'Invoice Log'!$AS29=""),"",IF(AND('Invoice Log'!$AR29&lt;=$B$3,'Invoice Log'!$AR29&gt;=Settings!$J$10,'Invoice Log'!$J29&lt;&gt;"Cancelled"),"Yes","No"))</f>
        <v>No</v>
      </c>
    </row>
    <row r="52" ht="15.75" customHeight="1">
      <c r="A52" s="125" t="str">
        <f>IF('Invoice Log'!$AS30="","",TEXT('Invoice Log'!$AS30,"YYYY-MM"))</f>
        <v>2026-03</v>
      </c>
      <c r="B52" s="45">
        <f>IF('Invoice Log'!$AR30="","",'Invoice Log'!$AR30)</f>
        <v>46106</v>
      </c>
      <c r="C52" s="63">
        <f>IF('Invoice Log'!$D30="","",'Invoice Log'!$D30)</f>
        <v>22004224</v>
      </c>
      <c r="D52" s="126" t="str">
        <f>IF('Invoice Log'!$L30="","",'Invoice Log'!$E30)</f>
        <v>Colart International</v>
      </c>
      <c r="E52" s="126" t="str">
        <f>IF('Invoice Log'!$L30="","",'Invoice Log'!$J30)</f>
        <v>Complete</v>
      </c>
      <c r="F52" s="125" t="str">
        <f>IF('Invoice Log'!$L30="","",'Invoice Log'!$Q30)</f>
        <v>No</v>
      </c>
      <c r="G52" s="65" t="str">
        <f>IF($M52="Yes",'Invoice Log'!$L30,"")</f>
        <v/>
      </c>
      <c r="H52" s="65" t="str">
        <f>IF($M52="Yes",'Invoice Log'!$S30,"")</f>
        <v/>
      </c>
      <c r="I52" s="65" t="str">
        <f>IF($M52="Yes",'Invoice Log'!$AI30,"")</f>
        <v/>
      </c>
      <c r="J52" s="127" t="str">
        <f>IF($M52="Yes",'Invoice Log'!$AO30,"")</f>
        <v/>
      </c>
      <c r="K52" s="129" t="str">
        <f>IF($M52="Yes",'Invoice Log'!$AP30,"")</f>
        <v/>
      </c>
      <c r="L52" s="65" t="str">
        <f>IF($M52="Yes",ROUND('Invoice Log'!$AP30*Settings!$J$8,2),"")</f>
        <v/>
      </c>
      <c r="M52" s="125" t="str">
        <f>IF(OR('Invoice Log'!$L30="",'Invoice Log'!$AS30=""),"",IF(AND('Invoice Log'!$AR30&lt;=$B$3,'Invoice Log'!$AR30&gt;=Settings!$J$10,'Invoice Log'!$J30&lt;&gt;"Cancelled"),"Yes","No"))</f>
        <v>No</v>
      </c>
    </row>
    <row r="53" ht="15.75" customHeight="1">
      <c r="A53" s="125" t="str">
        <f>IF('Invoice Log'!$AS31="","",TEXT('Invoice Log'!$AS31,"YYYY-MM"))</f>
        <v/>
      </c>
      <c r="B53" s="45" t="str">
        <f>IF('Invoice Log'!$AR31="","",'Invoice Log'!$AR31)</f>
        <v/>
      </c>
      <c r="C53" s="63">
        <f>IF('Invoice Log'!$D31="","",'Invoice Log'!$D31)</f>
        <v>22004225</v>
      </c>
      <c r="D53" s="126" t="str">
        <f>IF('Invoice Log'!$L31="","",'Invoice Log'!$E31)</f>
        <v>Zenith Bank Ltd - Day 1 &amp; 2</v>
      </c>
      <c r="E53" s="126" t="str">
        <f>IF('Invoice Log'!$L31="","",'Invoice Log'!$J31)</f>
        <v>Complete</v>
      </c>
      <c r="F53" s="125" t="str">
        <f>IF('Invoice Log'!$L31="","",'Invoice Log'!$Q31)</f>
        <v>Yes</v>
      </c>
      <c r="G53" s="65" t="str">
        <f>IF($M53="Yes",'Invoice Log'!$L31,"")</f>
        <v/>
      </c>
      <c r="H53" s="65" t="str">
        <f>IF($M53="Yes",'Invoice Log'!$S31,"")</f>
        <v/>
      </c>
      <c r="I53" s="65" t="str">
        <f>IF($M53="Yes",'Invoice Log'!$AI31,"")</f>
        <v/>
      </c>
      <c r="J53" s="127" t="str">
        <f>IF($M53="Yes",'Invoice Log'!$AO31,"")</f>
        <v/>
      </c>
      <c r="K53" s="129" t="str">
        <f>IF($M53="Yes",'Invoice Log'!$AP31,"")</f>
        <v/>
      </c>
      <c r="L53" s="65" t="str">
        <f>IF($M53="Yes",ROUND('Invoice Log'!$AP31*Settings!$J$8,2),"")</f>
        <v/>
      </c>
      <c r="M53" s="125" t="str">
        <f>IF(OR('Invoice Log'!$L31="",'Invoice Log'!$AS31=""),"",IF(AND('Invoice Log'!$AR31&lt;=$B$3,'Invoice Log'!$AR31&gt;=Settings!$J$10,'Invoice Log'!$J31&lt;&gt;"Cancelled"),"Yes","No"))</f>
        <v/>
      </c>
    </row>
    <row r="54" ht="15.75" customHeight="1">
      <c r="A54" s="125" t="str">
        <f>IF('Invoice Log'!$AS32="","",TEXT('Invoice Log'!$AS32,"YYYY-MM"))</f>
        <v>2026-03</v>
      </c>
      <c r="B54" s="45">
        <f>IF('Invoice Log'!$AR32="","",'Invoice Log'!$AR32)</f>
        <v>46093</v>
      </c>
      <c r="C54" s="63">
        <f>IF('Invoice Log'!$D32="","",'Invoice Log'!$D32)</f>
        <v>22004226</v>
      </c>
      <c r="D54" s="126" t="str">
        <f>IF('Invoice Log'!$L32="","",'Invoice Log'!$E32)</f>
        <v>Perenco Holdings</v>
      </c>
      <c r="E54" s="126" t="str">
        <f>IF('Invoice Log'!$L32="","",'Invoice Log'!$J32)</f>
        <v>Complete</v>
      </c>
      <c r="F54" s="125" t="str">
        <f>IF('Invoice Log'!$L32="","",'Invoice Log'!$Q32)</f>
        <v>No</v>
      </c>
      <c r="G54" s="65" t="str">
        <f>IF($M54="Yes",'Invoice Log'!$L32,"")</f>
        <v/>
      </c>
      <c r="H54" s="65" t="str">
        <f>IF($M54="Yes",'Invoice Log'!$S32,"")</f>
        <v/>
      </c>
      <c r="I54" s="65" t="str">
        <f>IF($M54="Yes",'Invoice Log'!$AI32,"")</f>
        <v/>
      </c>
      <c r="J54" s="127" t="str">
        <f>IF($M54="Yes",'Invoice Log'!$AO32,"")</f>
        <v/>
      </c>
      <c r="K54" s="129" t="str">
        <f>IF($M54="Yes",'Invoice Log'!$AP32,"")</f>
        <v/>
      </c>
      <c r="L54" s="65" t="str">
        <f>IF($M54="Yes",ROUND('Invoice Log'!$AP32*Settings!$J$8,2),"")</f>
        <v/>
      </c>
      <c r="M54" s="125" t="str">
        <f>IF(OR('Invoice Log'!$L32="",'Invoice Log'!$AS32=""),"",IF(AND('Invoice Log'!$AR32&lt;=$B$3,'Invoice Log'!$AR32&gt;=Settings!$J$10,'Invoice Log'!$J32&lt;&gt;"Cancelled"),"Yes","No"))</f>
        <v>No</v>
      </c>
    </row>
    <row r="55" ht="15.75" customHeight="1">
      <c r="A55" s="125" t="str">
        <f>IF('Invoice Log'!$AS33="","",TEXT('Invoice Log'!$AS33,"YYYY-MM"))</f>
        <v>2026-03</v>
      </c>
      <c r="B55" s="45">
        <f>IF('Invoice Log'!$AR33="","",'Invoice Log'!$AR33)</f>
        <v>46085</v>
      </c>
      <c r="C55" s="63">
        <f>IF('Invoice Log'!$D33="","",'Invoice Log'!$D33)</f>
        <v>22004227</v>
      </c>
      <c r="D55" s="126" t="str">
        <f>IF('Invoice Log'!$L33="","",'Invoice Log'!$E33)</f>
        <v>Cognizant</v>
      </c>
      <c r="E55" s="126" t="str">
        <f>IF('Invoice Log'!$L33="","",'Invoice Log'!$J33)</f>
        <v>Complete</v>
      </c>
      <c r="F55" s="125" t="str">
        <f>IF('Invoice Log'!$L33="","",'Invoice Log'!$Q33)</f>
        <v>Yes</v>
      </c>
      <c r="G55" s="65" t="str">
        <f>IF($M55="Yes",'Invoice Log'!$L33,"")</f>
        <v/>
      </c>
      <c r="H55" s="65" t="str">
        <f>IF($M55="Yes",'Invoice Log'!$S33,"")</f>
        <v/>
      </c>
      <c r="I55" s="65" t="str">
        <f>IF($M55="Yes",'Invoice Log'!$AI33,"")</f>
        <v/>
      </c>
      <c r="J55" s="127" t="str">
        <f>IF($M55="Yes",'Invoice Log'!$AO33,"")</f>
        <v/>
      </c>
      <c r="K55" s="129" t="str">
        <f>IF($M55="Yes",'Invoice Log'!$AP33,"")</f>
        <v/>
      </c>
      <c r="L55" s="65" t="str">
        <f>IF($M55="Yes",ROUND('Invoice Log'!$AP33*Settings!$J$8,2),"")</f>
        <v/>
      </c>
      <c r="M55" s="125" t="str">
        <f>IF(OR('Invoice Log'!$L33="",'Invoice Log'!$AS33=""),"",IF(AND('Invoice Log'!$AR33&lt;=$B$3,'Invoice Log'!$AR33&gt;=Settings!$J$10,'Invoice Log'!$J33&lt;&gt;"Cancelled"),"Yes","No"))</f>
        <v>No</v>
      </c>
    </row>
    <row r="56" ht="15.75" customHeight="1">
      <c r="A56" s="125" t="str">
        <f>IF('Invoice Log'!$AS34="","",TEXT('Invoice Log'!$AS34,"YYYY-MM"))</f>
        <v>2026-03</v>
      </c>
      <c r="B56" s="45">
        <f>IF('Invoice Log'!$AR34="","",'Invoice Log'!$AR34)</f>
        <v>46084</v>
      </c>
      <c r="C56" s="63">
        <f>IF('Invoice Log'!$D34="","",'Invoice Log'!$D34)</f>
        <v>22004228</v>
      </c>
      <c r="D56" s="126" t="str">
        <f>IF('Invoice Log'!$L34="","",'Invoice Log'!$E34)</f>
        <v>House of Decant</v>
      </c>
      <c r="E56" s="126" t="str">
        <f>IF('Invoice Log'!$L34="","",'Invoice Log'!$J34)</f>
        <v>Complete</v>
      </c>
      <c r="F56" s="125" t="str">
        <f>IF('Invoice Log'!$L34="","",'Invoice Log'!$Q34)</f>
        <v>No</v>
      </c>
      <c r="G56" s="65" t="str">
        <f>IF($M56="Yes",'Invoice Log'!$L34,"")</f>
        <v/>
      </c>
      <c r="H56" s="65" t="str">
        <f>IF($M56="Yes",'Invoice Log'!$S34,"")</f>
        <v/>
      </c>
      <c r="I56" s="65" t="str">
        <f>IF($M56="Yes",'Invoice Log'!$AI34,"")</f>
        <v/>
      </c>
      <c r="J56" s="127" t="str">
        <f>IF($M56="Yes",'Invoice Log'!$AO34,"")</f>
        <v/>
      </c>
      <c r="K56" s="129" t="str">
        <f>IF($M56="Yes",'Invoice Log'!$AP34,"")</f>
        <v/>
      </c>
      <c r="L56" s="65" t="str">
        <f>IF($M56="Yes",ROUND('Invoice Log'!$AP34*Settings!$J$8,2),"")</f>
        <v/>
      </c>
      <c r="M56" s="125" t="str">
        <f>IF(OR('Invoice Log'!$L34="",'Invoice Log'!$AS34=""),"",IF(AND('Invoice Log'!$AR34&lt;=$B$3,'Invoice Log'!$AR34&gt;=Settings!$J$10,'Invoice Log'!$J34&lt;&gt;"Cancelled"),"Yes","No"))</f>
        <v>No</v>
      </c>
    </row>
    <row r="57" ht="15.75" customHeight="1">
      <c r="A57" s="125" t="str">
        <f>IF('Invoice Log'!$AS35="","",TEXT('Invoice Log'!$AS35,"YYYY-MM"))</f>
        <v>2026-03</v>
      </c>
      <c r="B57" s="45">
        <f>IF('Invoice Log'!$AR35="","",'Invoice Log'!$AR35)</f>
        <v>46084</v>
      </c>
      <c r="C57" s="63">
        <f>IF('Invoice Log'!$D35="","",'Invoice Log'!$D35)</f>
        <v>22004229</v>
      </c>
      <c r="D57" s="126" t="str">
        <f>IF('Invoice Log'!$L35="","",'Invoice Log'!$E35)</f>
        <v>Conway Hall</v>
      </c>
      <c r="E57" s="126" t="str">
        <f>IF('Invoice Log'!$L35="","",'Invoice Log'!$J35)</f>
        <v>Complete</v>
      </c>
      <c r="F57" s="125" t="str">
        <f>IF('Invoice Log'!$L35="","",'Invoice Log'!$Q35)</f>
        <v>No</v>
      </c>
      <c r="G57" s="65" t="str">
        <f>IF($M57="Yes",'Invoice Log'!$L35,"")</f>
        <v/>
      </c>
      <c r="H57" s="65" t="str">
        <f>IF($M57="Yes",'Invoice Log'!$S35,"")</f>
        <v/>
      </c>
      <c r="I57" s="65" t="str">
        <f>IF($M57="Yes",'Invoice Log'!$AI35,"")</f>
        <v/>
      </c>
      <c r="J57" s="127" t="str">
        <f>IF($M57="Yes",'Invoice Log'!$AO35,"")</f>
        <v/>
      </c>
      <c r="K57" s="129" t="str">
        <f>IF($M57="Yes",'Invoice Log'!$AP35,"")</f>
        <v/>
      </c>
      <c r="L57" s="65" t="str">
        <f>IF($M57="Yes",ROUND('Invoice Log'!$AP35*Settings!$J$8,2),"")</f>
        <v/>
      </c>
      <c r="M57" s="125" t="str">
        <f>IF(OR('Invoice Log'!$L35="",'Invoice Log'!$AS35=""),"",IF(AND('Invoice Log'!$AR35&lt;=$B$3,'Invoice Log'!$AR35&gt;=Settings!$J$10,'Invoice Log'!$J35&lt;&gt;"Cancelled"),"Yes","No"))</f>
        <v>No</v>
      </c>
    </row>
    <row r="58" ht="15.75" customHeight="1">
      <c r="A58" s="125" t="str">
        <f>IF('Invoice Log'!$AS36="","",TEXT('Invoice Log'!$AS36,"YYYY-MM"))</f>
        <v>2026-03</v>
      </c>
      <c r="B58" s="45">
        <f>IF('Invoice Log'!$AR36="","",'Invoice Log'!$AR36)</f>
        <v>46098</v>
      </c>
      <c r="C58" s="63">
        <f>IF('Invoice Log'!$D36="","",'Invoice Log'!$D36)</f>
        <v>22004230</v>
      </c>
      <c r="D58" s="126" t="str">
        <f>IF('Invoice Log'!$L36="","",'Invoice Log'!$E36)</f>
        <v>Health Sciences University</v>
      </c>
      <c r="E58" s="126" t="str">
        <f>IF('Invoice Log'!$L36="","",'Invoice Log'!$J36)</f>
        <v>Complete</v>
      </c>
      <c r="F58" s="125" t="str">
        <f>IF('Invoice Log'!$L36="","",'Invoice Log'!$Q36)</f>
        <v>Yes</v>
      </c>
      <c r="G58" s="65" t="str">
        <f>IF($M58="Yes",'Invoice Log'!$L36,"")</f>
        <v/>
      </c>
      <c r="H58" s="65" t="str">
        <f>IF($M58="Yes",'Invoice Log'!$S36,"")</f>
        <v/>
      </c>
      <c r="I58" s="65" t="str">
        <f>IF($M58="Yes",'Invoice Log'!$AI36,"")</f>
        <v/>
      </c>
      <c r="J58" s="127" t="str">
        <f>IF($M58="Yes",'Invoice Log'!$AO36,"")</f>
        <v/>
      </c>
      <c r="K58" s="129" t="str">
        <f>IF($M58="Yes",'Invoice Log'!$AP36,"")</f>
        <v/>
      </c>
      <c r="L58" s="65" t="str">
        <f>IF($M58="Yes",ROUND('Invoice Log'!$AP36*Settings!$J$8,2),"")</f>
        <v/>
      </c>
      <c r="M58" s="125" t="str">
        <f>IF(OR('Invoice Log'!$L36="",'Invoice Log'!$AS36=""),"",IF(AND('Invoice Log'!$AR36&lt;=$B$3,'Invoice Log'!$AR36&gt;=Settings!$J$10,'Invoice Log'!$J36&lt;&gt;"Cancelled"),"Yes","No"))</f>
        <v>No</v>
      </c>
    </row>
    <row r="59" ht="15.75" customHeight="1">
      <c r="A59" s="125" t="str">
        <f>IF('Invoice Log'!$AS37="","",TEXT('Invoice Log'!$AS37,"YYYY-MM"))</f>
        <v>2026-02</v>
      </c>
      <c r="B59" s="45">
        <f>IF('Invoice Log'!$AR37="","",'Invoice Log'!$AR37)</f>
        <v>46079</v>
      </c>
      <c r="C59" s="63">
        <f>IF('Invoice Log'!$D37="","",'Invoice Log'!$D37)</f>
        <v>22004231</v>
      </c>
      <c r="D59" s="126" t="str">
        <f>IF('Invoice Log'!$L37="","",'Invoice Log'!$E37)</f>
        <v>Delegation european union</v>
      </c>
      <c r="E59" s="126" t="str">
        <f>IF('Invoice Log'!$L37="","",'Invoice Log'!$J37)</f>
        <v>Complete</v>
      </c>
      <c r="F59" s="125" t="str">
        <f>IF('Invoice Log'!$L37="","",'Invoice Log'!$Q37)</f>
        <v>No</v>
      </c>
      <c r="G59" s="65" t="str">
        <f>IF($M59="Yes",'Invoice Log'!$L37,"")</f>
        <v/>
      </c>
      <c r="H59" s="65" t="str">
        <f>IF($M59="Yes",'Invoice Log'!$S37,"")</f>
        <v/>
      </c>
      <c r="I59" s="65" t="str">
        <f>IF($M59="Yes",'Invoice Log'!$AI37,"")</f>
        <v/>
      </c>
      <c r="J59" s="127" t="str">
        <f>IF($M59="Yes",'Invoice Log'!$AO37,"")</f>
        <v/>
      </c>
      <c r="K59" s="129" t="str">
        <f>IF($M59="Yes",'Invoice Log'!$AP37,"")</f>
        <v/>
      </c>
      <c r="L59" s="65" t="str">
        <f>IF($M59="Yes",ROUND('Invoice Log'!$AP37*Settings!$J$8,2),"")</f>
        <v/>
      </c>
      <c r="M59" s="125" t="str">
        <f>IF(OR('Invoice Log'!$L37="",'Invoice Log'!$AS37=""),"",IF(AND('Invoice Log'!$AR37&lt;=$B$3,'Invoice Log'!$AR37&gt;=Settings!$J$10,'Invoice Log'!$J37&lt;&gt;"Cancelled"),"Yes","No"))</f>
        <v>No</v>
      </c>
    </row>
    <row r="60" ht="15.75" customHeight="1">
      <c r="A60" s="125" t="str">
        <f>IF('Invoice Log'!$AS38="","",TEXT('Invoice Log'!$AS38,"YYYY-MM"))</f>
        <v>2026-03</v>
      </c>
      <c r="B60" s="45">
        <f>IF('Invoice Log'!$AR38="","",'Invoice Log'!$AR38)</f>
        <v>46086</v>
      </c>
      <c r="C60" s="63">
        <f>IF('Invoice Log'!$D38="","",'Invoice Log'!$D38)</f>
        <v>22004232</v>
      </c>
      <c r="D60" s="126" t="str">
        <f>IF('Invoice Log'!$L38="","",'Invoice Log'!$E38)</f>
        <v>MediaPlus UK</v>
      </c>
      <c r="E60" s="126" t="str">
        <f>IF('Invoice Log'!$L38="","",'Invoice Log'!$J38)</f>
        <v>Complete</v>
      </c>
      <c r="F60" s="125" t="str">
        <f>IF('Invoice Log'!$L38="","",'Invoice Log'!$Q38)</f>
        <v>No</v>
      </c>
      <c r="G60" s="65" t="str">
        <f>IF($M60="Yes",'Invoice Log'!$L38,"")</f>
        <v/>
      </c>
      <c r="H60" s="65" t="str">
        <f>IF($M60="Yes",'Invoice Log'!$S38,"")</f>
        <v/>
      </c>
      <c r="I60" s="65" t="str">
        <f>IF($M60="Yes",'Invoice Log'!$AI38,"")</f>
        <v/>
      </c>
      <c r="J60" s="127" t="str">
        <f>IF($M60="Yes",'Invoice Log'!$AO38,"")</f>
        <v/>
      </c>
      <c r="K60" s="129" t="str">
        <f>IF($M60="Yes",'Invoice Log'!$AP38,"")</f>
        <v/>
      </c>
      <c r="L60" s="65" t="str">
        <f>IF($M60="Yes",ROUND('Invoice Log'!$AP38*Settings!$J$8,2),"")</f>
        <v/>
      </c>
      <c r="M60" s="125" t="str">
        <f>IF(OR('Invoice Log'!$L38="",'Invoice Log'!$AS38=""),"",IF(AND('Invoice Log'!$AR38&lt;=$B$3,'Invoice Log'!$AR38&gt;=Settings!$J$10,'Invoice Log'!$J38&lt;&gt;"Cancelled"),"Yes","No"))</f>
        <v>No</v>
      </c>
    </row>
    <row r="61" ht="15.75" customHeight="1">
      <c r="A61" s="125" t="str">
        <f>IF('Invoice Log'!$AS39="","",TEXT('Invoice Log'!$AS39,"YYYY-MM"))</f>
        <v>2026-02</v>
      </c>
      <c r="B61" s="45">
        <f>IF('Invoice Log'!$AR39="","",'Invoice Log'!$AR39)</f>
        <v>46081</v>
      </c>
      <c r="C61" s="63">
        <f>IF('Invoice Log'!$D39="","",'Invoice Log'!$D39)</f>
        <v>22004233</v>
      </c>
      <c r="D61" s="126" t="str">
        <f>IF('Invoice Log'!$L39="","",'Invoice Log'!$E39)</f>
        <v>Steve Bosley Herne Hill</v>
      </c>
      <c r="E61" s="126" t="str">
        <f>IF('Invoice Log'!$L39="","",'Invoice Log'!$J39)</f>
        <v>Complete</v>
      </c>
      <c r="F61" s="125" t="str">
        <f>IF('Invoice Log'!$L39="","",'Invoice Log'!$Q39)</f>
        <v>No</v>
      </c>
      <c r="G61" s="65" t="str">
        <f>IF($M61="Yes",'Invoice Log'!$L39,"")</f>
        <v/>
      </c>
      <c r="H61" s="65" t="str">
        <f>IF($M61="Yes",'Invoice Log'!$S39,"")</f>
        <v/>
      </c>
      <c r="I61" s="65" t="str">
        <f>IF($M61="Yes",'Invoice Log'!$AI39,"")</f>
        <v/>
      </c>
      <c r="J61" s="127" t="str">
        <f>IF($M61="Yes",'Invoice Log'!$AO39,"")</f>
        <v/>
      </c>
      <c r="K61" s="129" t="str">
        <f>IF($M61="Yes",'Invoice Log'!$AP39,"")</f>
        <v/>
      </c>
      <c r="L61" s="65" t="str">
        <f>IF($M61="Yes",ROUND('Invoice Log'!$AP39*Settings!$J$8,2),"")</f>
        <v/>
      </c>
      <c r="M61" s="125" t="str">
        <f>IF(OR('Invoice Log'!$L39="",'Invoice Log'!$AS39=""),"",IF(AND('Invoice Log'!$AR39&lt;=$B$3,'Invoice Log'!$AR39&gt;=Settings!$J$10,'Invoice Log'!$J39&lt;&gt;"Cancelled"),"Yes","No"))</f>
        <v>No</v>
      </c>
    </row>
    <row r="62" ht="15.75" customHeight="1">
      <c r="A62" s="125" t="str">
        <f>IF('Invoice Log'!$AS40="","",TEXT('Invoice Log'!$AS40,"YYYY-MM"))</f>
        <v>2026-03</v>
      </c>
      <c r="B62" s="45">
        <f>IF('Invoice Log'!$AR40="","",'Invoice Log'!$AR40)</f>
        <v>46106</v>
      </c>
      <c r="C62" s="63">
        <f>IF('Invoice Log'!$D40="","",'Invoice Log'!$D40)</f>
        <v>22004234</v>
      </c>
      <c r="D62" s="126" t="str">
        <f>IF('Invoice Log'!$L40="","",'Invoice Log'!$E40)</f>
        <v>SGN - Day 1</v>
      </c>
      <c r="E62" s="126" t="str">
        <f>IF('Invoice Log'!$L40="","",'Invoice Log'!$J40)</f>
        <v>Complete</v>
      </c>
      <c r="F62" s="125" t="str">
        <f>IF('Invoice Log'!$L40="","",'Invoice Log'!$Q40)</f>
        <v>No</v>
      </c>
      <c r="G62" s="65" t="str">
        <f>IF($M62="Yes",'Invoice Log'!$L40,"")</f>
        <v/>
      </c>
      <c r="H62" s="65" t="str">
        <f>IF($M62="Yes",'Invoice Log'!$S40,"")</f>
        <v/>
      </c>
      <c r="I62" s="65" t="str">
        <f>IF($M62="Yes",'Invoice Log'!$AI40,"")</f>
        <v/>
      </c>
      <c r="J62" s="127" t="str">
        <f>IF($M62="Yes",'Invoice Log'!$AO40,"")</f>
        <v/>
      </c>
      <c r="K62" s="129" t="str">
        <f>IF($M62="Yes",'Invoice Log'!$AP40,"")</f>
        <v/>
      </c>
      <c r="L62" s="65" t="str">
        <f>IF($M62="Yes",ROUND('Invoice Log'!$AP40*Settings!$J$8,2),"")</f>
        <v/>
      </c>
      <c r="M62" s="125" t="str">
        <f>IF(OR('Invoice Log'!$L40="",'Invoice Log'!$AS40=""),"",IF(AND('Invoice Log'!$AR40&lt;=$B$3,'Invoice Log'!$AR40&gt;=Settings!$J$10,'Invoice Log'!$J40&lt;&gt;"Cancelled"),"Yes","No"))</f>
        <v>No</v>
      </c>
    </row>
    <row r="63" ht="15.75" customHeight="1">
      <c r="A63" s="125" t="str">
        <f>IF('Invoice Log'!$AS41="","",TEXT('Invoice Log'!$AS41,"YYYY-MM"))</f>
        <v>2026-03</v>
      </c>
      <c r="B63" s="45">
        <f>IF('Invoice Log'!$AR41="","",'Invoice Log'!$AR41)</f>
        <v>46107</v>
      </c>
      <c r="C63" s="63">
        <f>IF('Invoice Log'!$D41="","",'Invoice Log'!$D41)</f>
        <v>22004235</v>
      </c>
      <c r="D63" s="126" t="str">
        <f>IF('Invoice Log'!$L41="","",'Invoice Log'!$E41)</f>
        <v>SGN - Day 2</v>
      </c>
      <c r="E63" s="126" t="str">
        <f>IF('Invoice Log'!$L41="","",'Invoice Log'!$J41)</f>
        <v>Complete</v>
      </c>
      <c r="F63" s="125" t="str">
        <f>IF('Invoice Log'!$L41="","",'Invoice Log'!$Q41)</f>
        <v>No</v>
      </c>
      <c r="G63" s="65" t="str">
        <f>IF($M63="Yes",'Invoice Log'!$L41,"")</f>
        <v/>
      </c>
      <c r="H63" s="65" t="str">
        <f>IF($M63="Yes",'Invoice Log'!$S41,"")</f>
        <v/>
      </c>
      <c r="I63" s="65" t="str">
        <f>IF($M63="Yes",'Invoice Log'!$AI41,"")</f>
        <v/>
      </c>
      <c r="J63" s="127" t="str">
        <f>IF($M63="Yes",'Invoice Log'!$AO41,"")</f>
        <v/>
      </c>
      <c r="K63" s="129" t="str">
        <f>IF($M63="Yes",'Invoice Log'!$AP41,"")</f>
        <v/>
      </c>
      <c r="L63" s="65" t="str">
        <f>IF($M63="Yes",ROUND('Invoice Log'!$AP41*Settings!$J$8,2),"")</f>
        <v/>
      </c>
      <c r="M63" s="125" t="str">
        <f>IF(OR('Invoice Log'!$L41="",'Invoice Log'!$AS41=""),"",IF(AND('Invoice Log'!$AR41&lt;=$B$3,'Invoice Log'!$AR41&gt;=Settings!$J$10,'Invoice Log'!$J41&lt;&gt;"Cancelled"),"Yes","No"))</f>
        <v>No</v>
      </c>
    </row>
    <row r="64" ht="15.75" customHeight="1">
      <c r="A64" s="125" t="str">
        <f>IF('Invoice Log'!$AS42="","",TEXT('Invoice Log'!$AS42,"YYYY-MM"))</f>
        <v>2026-03</v>
      </c>
      <c r="B64" s="45">
        <f>IF('Invoice Log'!$AR42="","",'Invoice Log'!$AR42)</f>
        <v>46091</v>
      </c>
      <c r="C64" s="63">
        <f>IF('Invoice Log'!$D42="","",'Invoice Log'!$D42)</f>
        <v>22004236</v>
      </c>
      <c r="D64" s="126" t="str">
        <f>IF('Invoice Log'!$L42="","",'Invoice Log'!$E42)</f>
        <v>House of Decant</v>
      </c>
      <c r="E64" s="126" t="str">
        <f>IF('Invoice Log'!$L42="","",'Invoice Log'!$J42)</f>
        <v>Complete</v>
      </c>
      <c r="F64" s="125" t="str">
        <f>IF('Invoice Log'!$L42="","",'Invoice Log'!$Q42)</f>
        <v>No</v>
      </c>
      <c r="G64" s="65" t="str">
        <f>IF($M64="Yes",'Invoice Log'!$L42,"")</f>
        <v/>
      </c>
      <c r="H64" s="65" t="str">
        <f>IF($M64="Yes",'Invoice Log'!$S42,"")</f>
        <v/>
      </c>
      <c r="I64" s="65" t="str">
        <f>IF($M64="Yes",'Invoice Log'!$AI42,"")</f>
        <v/>
      </c>
      <c r="J64" s="127" t="str">
        <f>IF($M64="Yes",'Invoice Log'!$AO42,"")</f>
        <v/>
      </c>
      <c r="K64" s="129" t="str">
        <f>IF($M64="Yes",'Invoice Log'!$AP42,"")</f>
        <v/>
      </c>
      <c r="L64" s="65" t="str">
        <f>IF($M64="Yes",ROUND('Invoice Log'!$AP42*Settings!$J$8,2),"")</f>
        <v/>
      </c>
      <c r="M64" s="125" t="str">
        <f>IF(OR('Invoice Log'!$L42="",'Invoice Log'!$AS42=""),"",IF(AND('Invoice Log'!$AR42&lt;=$B$3,'Invoice Log'!$AR42&gt;=Settings!$J$10,'Invoice Log'!$J42&lt;&gt;"Cancelled"),"Yes","No"))</f>
        <v>No</v>
      </c>
    </row>
    <row r="65" ht="15.75" customHeight="1">
      <c r="A65" s="125" t="str">
        <f>IF('Invoice Log'!$AS43="","",TEXT('Invoice Log'!$AS43,"YYYY-MM"))</f>
        <v>2026-03</v>
      </c>
      <c r="B65" s="45">
        <f>IF('Invoice Log'!$AR43="","",'Invoice Log'!$AR43)</f>
        <v>46092</v>
      </c>
      <c r="C65" s="63">
        <f>IF('Invoice Log'!$D43="","",'Invoice Log'!$D43)</f>
        <v>22004237</v>
      </c>
      <c r="D65" s="126" t="str">
        <f>IF('Invoice Log'!$L43="","",'Invoice Log'!$E43)</f>
        <v>House of Decant</v>
      </c>
      <c r="E65" s="126" t="str">
        <f>IF('Invoice Log'!$L43="","",'Invoice Log'!$J43)</f>
        <v>Complete</v>
      </c>
      <c r="F65" s="125" t="str">
        <f>IF('Invoice Log'!$L43="","",'Invoice Log'!$Q43)</f>
        <v>No</v>
      </c>
      <c r="G65" s="65" t="str">
        <f>IF($M65="Yes",'Invoice Log'!$L43,"")</f>
        <v/>
      </c>
      <c r="H65" s="65" t="str">
        <f>IF($M65="Yes",'Invoice Log'!$S43,"")</f>
        <v/>
      </c>
      <c r="I65" s="65" t="str">
        <f>IF($M65="Yes",'Invoice Log'!$AI43,"")</f>
        <v/>
      </c>
      <c r="J65" s="127" t="str">
        <f>IF($M65="Yes",'Invoice Log'!$AO43,"")</f>
        <v/>
      </c>
      <c r="K65" s="129" t="str">
        <f>IF($M65="Yes",'Invoice Log'!$AP43,"")</f>
        <v/>
      </c>
      <c r="L65" s="65" t="str">
        <f>IF($M65="Yes",ROUND('Invoice Log'!$AP43*Settings!$J$8,2),"")</f>
        <v/>
      </c>
      <c r="M65" s="125" t="str">
        <f>IF(OR('Invoice Log'!$L43="",'Invoice Log'!$AS43=""),"",IF(AND('Invoice Log'!$AR43&lt;=$B$3,'Invoice Log'!$AR43&gt;=Settings!$J$10,'Invoice Log'!$J43&lt;&gt;"Cancelled"),"Yes","No"))</f>
        <v>No</v>
      </c>
    </row>
    <row r="66" ht="15.75" customHeight="1">
      <c r="A66" s="125" t="str">
        <f>IF('Invoice Log'!$AS44="","",TEXT('Invoice Log'!$AS44,"YYYY-MM"))</f>
        <v>2026-03</v>
      </c>
      <c r="B66" s="45">
        <f>IF('Invoice Log'!$AR44="","",'Invoice Log'!$AR44)</f>
        <v>46103</v>
      </c>
      <c r="C66" s="63">
        <f>IF('Invoice Log'!$D44="","",'Invoice Log'!$D44)</f>
        <v>22004238</v>
      </c>
      <c r="D66" s="126" t="str">
        <f>IF('Invoice Log'!$L44="","",'Invoice Log'!$E44)</f>
        <v>Bryony Spottiswoode</v>
      </c>
      <c r="E66" s="126" t="str">
        <f>IF('Invoice Log'!$L44="","",'Invoice Log'!$J44)</f>
        <v>Complete</v>
      </c>
      <c r="F66" s="125" t="str">
        <f>IF('Invoice Log'!$L44="","",'Invoice Log'!$Q44)</f>
        <v>No</v>
      </c>
      <c r="G66" s="65" t="str">
        <f>IF($M66="Yes",'Invoice Log'!$L44,"")</f>
        <v/>
      </c>
      <c r="H66" s="65" t="str">
        <f>IF($M66="Yes",'Invoice Log'!$S44,"")</f>
        <v/>
      </c>
      <c r="I66" s="65" t="str">
        <f>IF($M66="Yes",'Invoice Log'!$AI44,"")</f>
        <v/>
      </c>
      <c r="J66" s="127" t="str">
        <f>IF($M66="Yes",'Invoice Log'!$AO44,"")</f>
        <v/>
      </c>
      <c r="K66" s="129" t="str">
        <f>IF($M66="Yes",'Invoice Log'!$AP44,"")</f>
        <v/>
      </c>
      <c r="L66" s="65" t="str">
        <f>IF($M66="Yes",ROUND('Invoice Log'!$AP44*Settings!$J$8,2),"")</f>
        <v/>
      </c>
      <c r="M66" s="125" t="str">
        <f>IF(OR('Invoice Log'!$L44="",'Invoice Log'!$AS44=""),"",IF(AND('Invoice Log'!$AR44&lt;=$B$3,'Invoice Log'!$AR44&gt;=Settings!$J$10,'Invoice Log'!$J44&lt;&gt;"Cancelled"),"Yes","No"))</f>
        <v>No</v>
      </c>
    </row>
    <row r="67" ht="15.75" customHeight="1">
      <c r="A67" s="125" t="str">
        <f>IF('Invoice Log'!$AS45="","",TEXT('Invoice Log'!$AS45,"YYYY-MM"))</f>
        <v>2026-03</v>
      </c>
      <c r="B67" s="45">
        <f>IF('Invoice Log'!$AR45="","",'Invoice Log'!$AR45)</f>
        <v>46100</v>
      </c>
      <c r="C67" s="63">
        <f>IF('Invoice Log'!$D45="","",'Invoice Log'!$D45)</f>
        <v>22004239</v>
      </c>
      <c r="D67" s="126" t="str">
        <f>IF('Invoice Log'!$L45="","",'Invoice Log'!$E45)</f>
        <v>Katten</v>
      </c>
      <c r="E67" s="126" t="str">
        <f>IF('Invoice Log'!$L45="","",'Invoice Log'!$J45)</f>
        <v>Complete</v>
      </c>
      <c r="F67" s="125" t="str">
        <f>IF('Invoice Log'!$L45="","",'Invoice Log'!$Q45)</f>
        <v>No</v>
      </c>
      <c r="G67" s="65" t="str">
        <f>IF($M67="Yes",'Invoice Log'!$L45,"")</f>
        <v/>
      </c>
      <c r="H67" s="65" t="str">
        <f>IF($M67="Yes",'Invoice Log'!$S45,"")</f>
        <v/>
      </c>
      <c r="I67" s="65" t="str">
        <f>IF($M67="Yes",'Invoice Log'!$AI45,"")</f>
        <v/>
      </c>
      <c r="J67" s="127" t="str">
        <f>IF($M67="Yes",'Invoice Log'!$AO45,"")</f>
        <v/>
      </c>
      <c r="K67" s="129" t="str">
        <f>IF($M67="Yes",'Invoice Log'!$AP45,"")</f>
        <v/>
      </c>
      <c r="L67" s="65" t="str">
        <f>IF($M67="Yes",ROUND('Invoice Log'!$AP45*Settings!$J$8,2),"")</f>
        <v/>
      </c>
      <c r="M67" s="125" t="str">
        <f>IF(OR('Invoice Log'!$L45="",'Invoice Log'!$AS45=""),"",IF(AND('Invoice Log'!$AR45&lt;=$B$3,'Invoice Log'!$AR45&gt;=Settings!$J$10,'Invoice Log'!$J45&lt;&gt;"Cancelled"),"Yes","No"))</f>
        <v>No</v>
      </c>
    </row>
    <row r="68" ht="15.75" customHeight="1">
      <c r="A68" s="125" t="str">
        <f>IF('Invoice Log'!$AS46="","",TEXT('Invoice Log'!$AS46,"YYYY-MM"))</f>
        <v>2026-03</v>
      </c>
      <c r="B68" s="45">
        <f>IF('Invoice Log'!$AR46="","",'Invoice Log'!$AR46)</f>
        <v>46100</v>
      </c>
      <c r="C68" s="63">
        <f>IF('Invoice Log'!$D46="","",'Invoice Log'!$D46)</f>
        <v>22004240</v>
      </c>
      <c r="D68" s="126" t="str">
        <f>IF('Invoice Log'!$L46="","",'Invoice Log'!$E46)</f>
        <v>House of Decant</v>
      </c>
      <c r="E68" s="126" t="str">
        <f>IF('Invoice Log'!$L46="","",'Invoice Log'!$J46)</f>
        <v>Complete</v>
      </c>
      <c r="F68" s="125" t="str">
        <f>IF('Invoice Log'!$L46="","",'Invoice Log'!$Q46)</f>
        <v>No</v>
      </c>
      <c r="G68" s="65" t="str">
        <f>IF($M68="Yes",'Invoice Log'!$L46,"")</f>
        <v/>
      </c>
      <c r="H68" s="65" t="str">
        <f>IF($M68="Yes",'Invoice Log'!$S46,"")</f>
        <v/>
      </c>
      <c r="I68" s="65" t="str">
        <f>IF($M68="Yes",'Invoice Log'!$AI46,"")</f>
        <v/>
      </c>
      <c r="J68" s="127" t="str">
        <f>IF($M68="Yes",'Invoice Log'!$AO46,"")</f>
        <v/>
      </c>
      <c r="K68" s="129" t="str">
        <f>IF($M68="Yes",'Invoice Log'!$AP46,"")</f>
        <v/>
      </c>
      <c r="L68" s="65" t="str">
        <f>IF($M68="Yes",ROUND('Invoice Log'!$AP46*Settings!$J$8,2),"")</f>
        <v/>
      </c>
      <c r="M68" s="125" t="str">
        <f>IF(OR('Invoice Log'!$L46="",'Invoice Log'!$AS46=""),"",IF(AND('Invoice Log'!$AR46&lt;=$B$3,'Invoice Log'!$AR46&gt;=Settings!$J$10,'Invoice Log'!$J46&lt;&gt;"Cancelled"),"Yes","No"))</f>
        <v>No</v>
      </c>
    </row>
    <row r="69" ht="15.75" customHeight="1">
      <c r="A69" s="125" t="str">
        <f>IF('Invoice Log'!$AS47="","",TEXT('Invoice Log'!$AS47,"YYYY-MM"))</f>
        <v>2026-03</v>
      </c>
      <c r="B69" s="45">
        <f>IF('Invoice Log'!$AR47="","",'Invoice Log'!$AR47)</f>
        <v>46106</v>
      </c>
      <c r="C69" s="63">
        <f>IF('Invoice Log'!$D47="","",'Invoice Log'!$D47)</f>
        <v>22004241</v>
      </c>
      <c r="D69" s="126" t="str">
        <f>IF('Invoice Log'!$L47="","",'Invoice Log'!$E47)</f>
        <v>House of Decant</v>
      </c>
      <c r="E69" s="126" t="str">
        <f>IF('Invoice Log'!$L47="","",'Invoice Log'!$J47)</f>
        <v>Complete</v>
      </c>
      <c r="F69" s="125" t="str">
        <f>IF('Invoice Log'!$L47="","",'Invoice Log'!$Q47)</f>
        <v>No</v>
      </c>
      <c r="G69" s="65" t="str">
        <f>IF($M69="Yes",'Invoice Log'!$L47,"")</f>
        <v/>
      </c>
      <c r="H69" s="65" t="str">
        <f>IF($M69="Yes",'Invoice Log'!$S47,"")</f>
        <v/>
      </c>
      <c r="I69" s="65" t="str">
        <f>IF($M69="Yes",'Invoice Log'!$AI47,"")</f>
        <v/>
      </c>
      <c r="J69" s="127" t="str">
        <f>IF($M69="Yes",'Invoice Log'!$AO47,"")</f>
        <v/>
      </c>
      <c r="K69" s="129" t="str">
        <f>IF($M69="Yes",'Invoice Log'!$AP47,"")</f>
        <v/>
      </c>
      <c r="L69" s="65" t="str">
        <f>IF($M69="Yes",ROUND('Invoice Log'!$AP47*Settings!$J$8,2),"")</f>
        <v/>
      </c>
      <c r="M69" s="125" t="str">
        <f>IF(OR('Invoice Log'!$L47="",'Invoice Log'!$AS47=""),"",IF(AND('Invoice Log'!$AR47&lt;=$B$3,'Invoice Log'!$AR47&gt;=Settings!$J$10,'Invoice Log'!$J47&lt;&gt;"Cancelled"),"Yes","No"))</f>
        <v>No</v>
      </c>
    </row>
    <row r="70" ht="15.75" customHeight="1">
      <c r="A70" s="125" t="str">
        <f>IF('Invoice Log'!$AS48="","",TEXT('Invoice Log'!$AS48,"YYYY-MM"))</f>
        <v>2026-04</v>
      </c>
      <c r="B70" s="45">
        <f>IF('Invoice Log'!$AR48="","",'Invoice Log'!$AR48)</f>
        <v>46122</v>
      </c>
      <c r="C70" s="63">
        <f>IF('Invoice Log'!$D48="","",'Invoice Log'!$D48)</f>
        <v>22004242</v>
      </c>
      <c r="D70" s="126" t="str">
        <f>IF('Invoice Log'!$L48="","",'Invoice Log'!$E48)</f>
        <v>Fred Ofori-Atta</v>
      </c>
      <c r="E70" s="126" t="str">
        <f>IF('Invoice Log'!$L48="","",'Invoice Log'!$J48)</f>
        <v>Complete</v>
      </c>
      <c r="F70" s="125" t="str">
        <f>IF('Invoice Log'!$L48="","",'Invoice Log'!$Q48)</f>
        <v>No</v>
      </c>
      <c r="G70" s="65" t="str">
        <f>IF($M70="Yes",'Invoice Log'!$L48,"")</f>
        <v/>
      </c>
      <c r="H70" s="65" t="str">
        <f>IF($M70="Yes",'Invoice Log'!$S48,"")</f>
        <v/>
      </c>
      <c r="I70" s="65" t="str">
        <f>IF($M70="Yes",'Invoice Log'!$AI48,"")</f>
        <v/>
      </c>
      <c r="J70" s="127" t="str">
        <f>IF($M70="Yes",'Invoice Log'!$AO48,"")</f>
        <v/>
      </c>
      <c r="K70" s="129" t="str">
        <f>IF($M70="Yes",'Invoice Log'!$AP48,"")</f>
        <v/>
      </c>
      <c r="L70" s="65" t="str">
        <f>IF($M70="Yes",ROUND('Invoice Log'!$AP48*Settings!$J$8,2),"")</f>
        <v/>
      </c>
      <c r="M70" s="125" t="str">
        <f>IF(OR('Invoice Log'!$L48="",'Invoice Log'!$AS48=""),"",IF(AND('Invoice Log'!$AR48&lt;=$B$3,'Invoice Log'!$AR48&gt;=Settings!$J$10,'Invoice Log'!$J48&lt;&gt;"Cancelled"),"Yes","No"))</f>
        <v>No</v>
      </c>
    </row>
    <row r="71" ht="15.75" customHeight="1">
      <c r="A71" s="125" t="str">
        <f>IF('Invoice Log'!$AS49="","",TEXT('Invoice Log'!$AS49,"YYYY-MM"))</f>
        <v>2026-03</v>
      </c>
      <c r="B71" s="45">
        <f>IF('Invoice Log'!$AR49="","",'Invoice Log'!$AR49)</f>
        <v>46106</v>
      </c>
      <c r="C71" s="63">
        <f>IF('Invoice Log'!$D49="","",'Invoice Log'!$D49)</f>
        <v>22004243</v>
      </c>
      <c r="D71" s="126" t="str">
        <f>IF('Invoice Log'!$L49="","",'Invoice Log'!$E49)</f>
        <v>CBRE</v>
      </c>
      <c r="E71" s="126" t="str">
        <f>IF('Invoice Log'!$L49="","",'Invoice Log'!$J49)</f>
        <v>Complete</v>
      </c>
      <c r="F71" s="125" t="str">
        <f>IF('Invoice Log'!$L49="","",'Invoice Log'!$Q49)</f>
        <v>No</v>
      </c>
      <c r="G71" s="65" t="str">
        <f>IF($M71="Yes",'Invoice Log'!$L49,"")</f>
        <v/>
      </c>
      <c r="H71" s="65" t="str">
        <f>IF($M71="Yes",'Invoice Log'!$S49,"")</f>
        <v/>
      </c>
      <c r="I71" s="65" t="str">
        <f>IF($M71="Yes",'Invoice Log'!$AI49,"")</f>
        <v/>
      </c>
      <c r="J71" s="127" t="str">
        <f>IF($M71="Yes",'Invoice Log'!$AO49,"")</f>
        <v/>
      </c>
      <c r="K71" s="129" t="str">
        <f>IF($M71="Yes",'Invoice Log'!$AP49,"")</f>
        <v/>
      </c>
      <c r="L71" s="65" t="str">
        <f>IF($M71="Yes",ROUND('Invoice Log'!$AP49*Settings!$J$8,2),"")</f>
        <v/>
      </c>
      <c r="M71" s="125" t="str">
        <f>IF(OR('Invoice Log'!$L49="",'Invoice Log'!$AS49=""),"",IF(AND('Invoice Log'!$AR49&lt;=$B$3,'Invoice Log'!$AR49&gt;=Settings!$J$10,'Invoice Log'!$J49&lt;&gt;"Cancelled"),"Yes","No"))</f>
        <v>No</v>
      </c>
    </row>
    <row r="72" ht="15.75" customHeight="1">
      <c r="A72" s="125" t="str">
        <f>IF('Invoice Log'!$AS50="","",TEXT('Invoice Log'!$AS50,"YYYY-MM"))</f>
        <v>2026-03</v>
      </c>
      <c r="B72" s="45">
        <f>IF('Invoice Log'!$AR50="","",'Invoice Log'!$AR50)</f>
        <v>46105</v>
      </c>
      <c r="C72" s="63">
        <f>IF('Invoice Log'!$D50="","",'Invoice Log'!$D50)</f>
        <v>22004244</v>
      </c>
      <c r="D72" s="126" t="str">
        <f>IF('Invoice Log'!$L50="","",'Invoice Log'!$E50)</f>
        <v>Canada House - Shawnigan Lake School</v>
      </c>
      <c r="E72" s="126" t="str">
        <f>IF('Invoice Log'!$L50="","",'Invoice Log'!$J50)</f>
        <v>Complete</v>
      </c>
      <c r="F72" s="125" t="str">
        <f>IF('Invoice Log'!$L50="","",'Invoice Log'!$Q50)</f>
        <v>No</v>
      </c>
      <c r="G72" s="65" t="str">
        <f>IF($M72="Yes",'Invoice Log'!$L50,"")</f>
        <v/>
      </c>
      <c r="H72" s="65" t="str">
        <f>IF($M72="Yes",'Invoice Log'!$S50,"")</f>
        <v/>
      </c>
      <c r="I72" s="65" t="str">
        <f>IF($M72="Yes",'Invoice Log'!$AI50,"")</f>
        <v/>
      </c>
      <c r="J72" s="127" t="str">
        <f>IF($M72="Yes",'Invoice Log'!$AO50,"")</f>
        <v/>
      </c>
      <c r="K72" s="129" t="str">
        <f>IF($M72="Yes",'Invoice Log'!$AP50,"")</f>
        <v/>
      </c>
      <c r="L72" s="65" t="str">
        <f>IF($M72="Yes",ROUND('Invoice Log'!$AP50*Settings!$J$8,2),"")</f>
        <v/>
      </c>
      <c r="M72" s="125" t="str">
        <f>IF(OR('Invoice Log'!$L50="",'Invoice Log'!$AS50=""),"",IF(AND('Invoice Log'!$AR50&lt;=$B$3,'Invoice Log'!$AR50&gt;=Settings!$J$10,'Invoice Log'!$J50&lt;&gt;"Cancelled"),"Yes","No"))</f>
        <v>No</v>
      </c>
    </row>
    <row r="73" ht="15.75" customHeight="1">
      <c r="A73" s="125" t="str">
        <f>IF('Invoice Log'!$AS51="","",TEXT('Invoice Log'!$AS51,"YYYY-MM"))</f>
        <v>2026-03</v>
      </c>
      <c r="B73" s="45">
        <f>IF('Invoice Log'!$AR51="","",'Invoice Log'!$AR51)</f>
        <v>46106</v>
      </c>
      <c r="C73" s="63">
        <f>IF('Invoice Log'!$D51="","",'Invoice Log'!$D51)</f>
        <v>22004245</v>
      </c>
      <c r="D73" s="126" t="str">
        <f>IF('Invoice Log'!$L51="","",'Invoice Log'!$E51)</f>
        <v>Nick Noise</v>
      </c>
      <c r="E73" s="126" t="str">
        <f>IF('Invoice Log'!$L51="","",'Invoice Log'!$J51)</f>
        <v>Complete</v>
      </c>
      <c r="F73" s="125" t="str">
        <f>IF('Invoice Log'!$L51="","",'Invoice Log'!$Q51)</f>
        <v>No</v>
      </c>
      <c r="G73" s="65" t="str">
        <f>IF($M73="Yes",'Invoice Log'!$L51,"")</f>
        <v/>
      </c>
      <c r="H73" s="65" t="str">
        <f>IF($M73="Yes",'Invoice Log'!$S51,"")</f>
        <v/>
      </c>
      <c r="I73" s="65" t="str">
        <f>IF($M73="Yes",'Invoice Log'!$AI51,"")</f>
        <v/>
      </c>
      <c r="J73" s="127" t="str">
        <f>IF($M73="Yes",'Invoice Log'!$AO51,"")</f>
        <v/>
      </c>
      <c r="K73" s="129" t="str">
        <f>IF($M73="Yes",'Invoice Log'!$AP51,"")</f>
        <v/>
      </c>
      <c r="L73" s="65" t="str">
        <f>IF($M73="Yes",ROUND('Invoice Log'!$AP51*Settings!$J$8,2),"")</f>
        <v/>
      </c>
      <c r="M73" s="125" t="str">
        <f>IF(OR('Invoice Log'!$L51="",'Invoice Log'!$AS51=""),"",IF(AND('Invoice Log'!$AR51&lt;=$B$3,'Invoice Log'!$AR51&gt;=Settings!$J$10,'Invoice Log'!$J51&lt;&gt;"Cancelled"),"Yes","No"))</f>
        <v>No</v>
      </c>
    </row>
    <row r="74" ht="15.75" customHeight="1">
      <c r="A74" s="125" t="str">
        <f>IF('Invoice Log'!$AS52="","",TEXT('Invoice Log'!$AS52,"YYYY-MM"))</f>
        <v>2026-04</v>
      </c>
      <c r="B74" s="45">
        <f>IF('Invoice Log'!$AR52="","",'Invoice Log'!$AR52)</f>
        <v>46119</v>
      </c>
      <c r="C74" s="63">
        <f>IF('Invoice Log'!$D52="","",'Invoice Log'!$D52)</f>
        <v>22004246</v>
      </c>
      <c r="D74" s="126" t="str">
        <f>IF('Invoice Log'!$L52="","",'Invoice Log'!$E52)</f>
        <v>Alethea Tabor</v>
      </c>
      <c r="E74" s="126" t="str">
        <f>IF('Invoice Log'!$L52="","",'Invoice Log'!$J52)</f>
        <v>Complete</v>
      </c>
      <c r="F74" s="125" t="str">
        <f>IF('Invoice Log'!$L52="","",'Invoice Log'!$Q52)</f>
        <v>Yes</v>
      </c>
      <c r="G74" s="65" t="str">
        <f>IF($M74="Yes",'Invoice Log'!$L52,"")</f>
        <v/>
      </c>
      <c r="H74" s="65" t="str">
        <f>IF($M74="Yes",'Invoice Log'!$S52,"")</f>
        <v/>
      </c>
      <c r="I74" s="65" t="str">
        <f>IF($M74="Yes",'Invoice Log'!$AI52,"")</f>
        <v/>
      </c>
      <c r="J74" s="127" t="str">
        <f>IF($M74="Yes",'Invoice Log'!$AO52,"")</f>
        <v/>
      </c>
      <c r="K74" s="129" t="str">
        <f>IF($M74="Yes",'Invoice Log'!$AP52,"")</f>
        <v/>
      </c>
      <c r="L74" s="65" t="str">
        <f>IF($M74="Yes",ROUND('Invoice Log'!$AP52*Settings!$J$8,2),"")</f>
        <v/>
      </c>
      <c r="M74" s="125" t="str">
        <f>IF(OR('Invoice Log'!$L52="",'Invoice Log'!$AS52=""),"",IF(AND('Invoice Log'!$AR52&lt;=$B$3,'Invoice Log'!$AR52&gt;=Settings!$J$10,'Invoice Log'!$J52&lt;&gt;"Cancelled"),"Yes","No"))</f>
        <v>No</v>
      </c>
    </row>
    <row r="75" ht="15.75" customHeight="1">
      <c r="A75" s="125" t="str">
        <f>IF('Invoice Log'!$AS53="","",TEXT('Invoice Log'!$AS53,"YYYY-MM"))</f>
        <v>2026-04</v>
      </c>
      <c r="B75" s="45">
        <f>IF('Invoice Log'!$AR53="","",'Invoice Log'!$AR53)</f>
        <v>46120</v>
      </c>
      <c r="C75" s="63">
        <f>IF('Invoice Log'!$D53="","",'Invoice Log'!$D53)</f>
        <v>22004247</v>
      </c>
      <c r="D75" s="126" t="str">
        <f>IF('Invoice Log'!$L53="","",'Invoice Log'!$E53)</f>
        <v>ScotiaBank</v>
      </c>
      <c r="E75" s="126" t="str">
        <f>IF('Invoice Log'!$L53="","",'Invoice Log'!$J53)</f>
        <v>Complete</v>
      </c>
      <c r="F75" s="125" t="str">
        <f>IF('Invoice Log'!$L53="","",'Invoice Log'!$Q53)</f>
        <v>No</v>
      </c>
      <c r="G75" s="65" t="str">
        <f>IF($M75="Yes",'Invoice Log'!$L53,"")</f>
        <v/>
      </c>
      <c r="H75" s="65" t="str">
        <f>IF($M75="Yes",'Invoice Log'!$S53,"")</f>
        <v/>
      </c>
      <c r="I75" s="65" t="str">
        <f>IF($M75="Yes",'Invoice Log'!$AI53,"")</f>
        <v/>
      </c>
      <c r="J75" s="127" t="str">
        <f>IF($M75="Yes",'Invoice Log'!$AO53,"")</f>
        <v/>
      </c>
      <c r="K75" s="129" t="str">
        <f>IF($M75="Yes",'Invoice Log'!$AP53,"")</f>
        <v/>
      </c>
      <c r="L75" s="65" t="str">
        <f>IF($M75="Yes",ROUND('Invoice Log'!$AP53*Settings!$J$8,2),"")</f>
        <v/>
      </c>
      <c r="M75" s="125" t="str">
        <f>IF(OR('Invoice Log'!$L53="",'Invoice Log'!$AS53=""),"",IF(AND('Invoice Log'!$AR53&lt;=$B$3,'Invoice Log'!$AR53&gt;=Settings!$J$10,'Invoice Log'!$J53&lt;&gt;"Cancelled"),"Yes","No"))</f>
        <v>No</v>
      </c>
    </row>
    <row r="76" ht="15.75" customHeight="1">
      <c r="A76" s="125" t="str">
        <f>IF('Invoice Log'!$AS54="","",TEXT('Invoice Log'!$AS54,"YYYY-MM"))</f>
        <v>2026-03</v>
      </c>
      <c r="B76" s="45">
        <f>IF('Invoice Log'!$AR54="","",'Invoice Log'!$AR54)</f>
        <v>46106</v>
      </c>
      <c r="C76" s="63">
        <f>IF('Invoice Log'!$D54="","",'Invoice Log'!$D54)</f>
        <v>22004248</v>
      </c>
      <c r="D76" s="126" t="str">
        <f>IF('Invoice Log'!$L54="","",'Invoice Log'!$E54)</f>
        <v>House of Decant</v>
      </c>
      <c r="E76" s="126" t="str">
        <f>IF('Invoice Log'!$L54="","",'Invoice Log'!$J54)</f>
        <v>Complete</v>
      </c>
      <c r="F76" s="125" t="str">
        <f>IF('Invoice Log'!$L54="","",'Invoice Log'!$Q54)</f>
        <v>No</v>
      </c>
      <c r="G76" s="65" t="str">
        <f>IF($M76="Yes",'Invoice Log'!$L54,"")</f>
        <v/>
      </c>
      <c r="H76" s="65" t="str">
        <f>IF($M76="Yes",'Invoice Log'!$S54,"")</f>
        <v/>
      </c>
      <c r="I76" s="65" t="str">
        <f>IF($M76="Yes",'Invoice Log'!$AI54,"")</f>
        <v/>
      </c>
      <c r="J76" s="127" t="str">
        <f>IF($M76="Yes",'Invoice Log'!$AO54,"")</f>
        <v/>
      </c>
      <c r="K76" s="129" t="str">
        <f>IF($M76="Yes",'Invoice Log'!$AP54,"")</f>
        <v/>
      </c>
      <c r="L76" s="65" t="str">
        <f>IF($M76="Yes",ROUND('Invoice Log'!$AP54*Settings!$J$8,2),"")</f>
        <v/>
      </c>
      <c r="M76" s="125" t="str">
        <f>IF(OR('Invoice Log'!$L54="",'Invoice Log'!$AS54=""),"",IF(AND('Invoice Log'!$AR54&lt;=$B$3,'Invoice Log'!$AR54&gt;=Settings!$J$10,'Invoice Log'!$J54&lt;&gt;"Cancelled"),"Yes","No"))</f>
        <v>No</v>
      </c>
    </row>
    <row r="77" ht="15.75" customHeight="1">
      <c r="A77" s="125" t="str">
        <f>IF('Invoice Log'!$AS55="","",TEXT('Invoice Log'!$AS55,"YYYY-MM"))</f>
        <v>2026-03</v>
      </c>
      <c r="B77" s="45">
        <f>IF('Invoice Log'!$AR55="","",'Invoice Log'!$AR55)</f>
        <v>46105</v>
      </c>
      <c r="C77" s="63">
        <f>IF('Invoice Log'!$D55="","",'Invoice Log'!$D55)</f>
        <v>22004249</v>
      </c>
      <c r="D77" s="126" t="str">
        <f>IF('Invoice Log'!$L55="","",'Invoice Log'!$E55)</f>
        <v>Canada House</v>
      </c>
      <c r="E77" s="126" t="str">
        <f>IF('Invoice Log'!$L55="","",'Invoice Log'!$J55)</f>
        <v>Complete</v>
      </c>
      <c r="F77" s="125" t="str">
        <f>IF('Invoice Log'!$L55="","",'Invoice Log'!$Q55)</f>
        <v>No</v>
      </c>
      <c r="G77" s="65" t="str">
        <f>IF($M77="Yes",'Invoice Log'!$L55,"")</f>
        <v/>
      </c>
      <c r="H77" s="65" t="str">
        <f>IF($M77="Yes",'Invoice Log'!$S55,"")</f>
        <v/>
      </c>
      <c r="I77" s="65" t="str">
        <f>IF($M77="Yes",'Invoice Log'!$AI55,"")</f>
        <v/>
      </c>
      <c r="J77" s="127" t="str">
        <f>IF($M77="Yes",'Invoice Log'!$AO55,"")</f>
        <v/>
      </c>
      <c r="K77" s="129" t="str">
        <f>IF($M77="Yes",'Invoice Log'!$AP55,"")</f>
        <v/>
      </c>
      <c r="L77" s="65" t="str">
        <f>IF($M77="Yes",ROUND('Invoice Log'!$AP55*Settings!$J$8,2),"")</f>
        <v/>
      </c>
      <c r="M77" s="125" t="str">
        <f>IF(OR('Invoice Log'!$L55="",'Invoice Log'!$AS55=""),"",IF(AND('Invoice Log'!$AR55&lt;=$B$3,'Invoice Log'!$AR55&gt;=Settings!$J$10,'Invoice Log'!$J55&lt;&gt;"Cancelled"),"Yes","No"))</f>
        <v>No</v>
      </c>
    </row>
    <row r="78" ht="15.75" customHeight="1">
      <c r="A78" s="125" t="str">
        <f>IF('Invoice Log'!$AS56="","",TEXT('Invoice Log'!$AS56,"YYYY-MM"))</f>
        <v>2026-04</v>
      </c>
      <c r="B78" s="45">
        <f>IF('Invoice Log'!$AR56="","",'Invoice Log'!$AR56)</f>
        <v>46113</v>
      </c>
      <c r="C78" s="63">
        <f>IF('Invoice Log'!$D56="","",'Invoice Log'!$D56)</f>
        <v>22004250</v>
      </c>
      <c r="D78" s="126" t="str">
        <f>IF('Invoice Log'!$L56="","",'Invoice Log'!$E56)</f>
        <v>High Commission of Canada</v>
      </c>
      <c r="E78" s="126" t="str">
        <f>IF('Invoice Log'!$L56="","",'Invoice Log'!$J56)</f>
        <v>Complete</v>
      </c>
      <c r="F78" s="125" t="str">
        <f>IF('Invoice Log'!$L56="","",'Invoice Log'!$Q56)</f>
        <v>No</v>
      </c>
      <c r="G78" s="65" t="str">
        <f>IF($M78="Yes",'Invoice Log'!$L56,"")</f>
        <v/>
      </c>
      <c r="H78" s="65" t="str">
        <f>IF($M78="Yes",'Invoice Log'!$S56,"")</f>
        <v/>
      </c>
      <c r="I78" s="65" t="str">
        <f>IF($M78="Yes",'Invoice Log'!$AI56,"")</f>
        <v/>
      </c>
      <c r="J78" s="127" t="str">
        <f>IF($M78="Yes",'Invoice Log'!$AO56,"")</f>
        <v/>
      </c>
      <c r="K78" s="129" t="str">
        <f>IF($M78="Yes",'Invoice Log'!$AP56,"")</f>
        <v/>
      </c>
      <c r="L78" s="65" t="str">
        <f>IF($M78="Yes",ROUND('Invoice Log'!$AP56*Settings!$J$8,2),"")</f>
        <v/>
      </c>
      <c r="M78" s="125" t="str">
        <f>IF(OR('Invoice Log'!$L56="",'Invoice Log'!$AS56=""),"",IF(AND('Invoice Log'!$AR56&lt;=$B$3,'Invoice Log'!$AR56&gt;=Settings!$J$10,'Invoice Log'!$J56&lt;&gt;"Cancelled"),"Yes","No"))</f>
        <v>No</v>
      </c>
    </row>
    <row r="79" ht="15.75" customHeight="1">
      <c r="A79" s="125" t="str">
        <f>IF('Invoice Log'!$AS57="","",TEXT('Invoice Log'!$AS57,"YYYY-MM"))</f>
        <v>2026-04</v>
      </c>
      <c r="B79" s="45">
        <f>IF('Invoice Log'!$AR57="","",'Invoice Log'!$AR57)</f>
        <v>46114</v>
      </c>
      <c r="C79" s="63">
        <f>IF('Invoice Log'!$D57="","",'Invoice Log'!$D57)</f>
        <v>22004251</v>
      </c>
      <c r="D79" s="126" t="str">
        <f>IF('Invoice Log'!$L57="","",'Invoice Log'!$E57)</f>
        <v>House of Decant</v>
      </c>
      <c r="E79" s="126" t="str">
        <f>IF('Invoice Log'!$L57="","",'Invoice Log'!$J57)</f>
        <v>Complete</v>
      </c>
      <c r="F79" s="125" t="str">
        <f>IF('Invoice Log'!$L57="","",'Invoice Log'!$Q57)</f>
        <v>No</v>
      </c>
      <c r="G79" s="65" t="str">
        <f>IF($M79="Yes",'Invoice Log'!$L57,"")</f>
        <v/>
      </c>
      <c r="H79" s="65" t="str">
        <f>IF($M79="Yes",'Invoice Log'!$S57,"")</f>
        <v/>
      </c>
      <c r="I79" s="65" t="str">
        <f>IF($M79="Yes",'Invoice Log'!$AI57,"")</f>
        <v/>
      </c>
      <c r="J79" s="127" t="str">
        <f>IF($M79="Yes",'Invoice Log'!$AO57,"")</f>
        <v/>
      </c>
      <c r="K79" s="129" t="str">
        <f>IF($M79="Yes",'Invoice Log'!$AP57,"")</f>
        <v/>
      </c>
      <c r="L79" s="65" t="str">
        <f>IF($M79="Yes",ROUND('Invoice Log'!$AP57*Settings!$J$8,2),"")</f>
        <v/>
      </c>
      <c r="M79" s="125" t="str">
        <f>IF(OR('Invoice Log'!$L57="",'Invoice Log'!$AS57=""),"",IF(AND('Invoice Log'!$AR57&lt;=$B$3,'Invoice Log'!$AR57&gt;=Settings!$J$10,'Invoice Log'!$J57&lt;&gt;"Cancelled"),"Yes","No"))</f>
        <v>No</v>
      </c>
    </row>
    <row r="80" ht="15.75" customHeight="1">
      <c r="A80" s="125" t="str">
        <f>IF('Invoice Log'!$AS58="","",TEXT('Invoice Log'!$AS58,"YYYY-MM"))</f>
        <v>2026-04</v>
      </c>
      <c r="B80" s="45">
        <f>IF('Invoice Log'!$AR58="","",'Invoice Log'!$AR58)</f>
        <v>46128</v>
      </c>
      <c r="C80" s="63">
        <f>IF('Invoice Log'!$D58="","",'Invoice Log'!$D58)</f>
        <v>22004252</v>
      </c>
      <c r="D80" s="126" t="str">
        <f>IF('Invoice Log'!$L58="","",'Invoice Log'!$E58)</f>
        <v>Delegation european union - Cyprus HC</v>
      </c>
      <c r="E80" s="126" t="str">
        <f>IF('Invoice Log'!$L58="","",'Invoice Log'!$J58)</f>
        <v>Complete</v>
      </c>
      <c r="F80" s="125" t="str">
        <f>IF('Invoice Log'!$L58="","",'Invoice Log'!$Q58)</f>
        <v>No</v>
      </c>
      <c r="G80" s="65" t="str">
        <f>IF($M80="Yes",'Invoice Log'!$L58,"")</f>
        <v/>
      </c>
      <c r="H80" s="65" t="str">
        <f>IF($M80="Yes",'Invoice Log'!$S58,"")</f>
        <v/>
      </c>
      <c r="I80" s="65" t="str">
        <f>IF($M80="Yes",'Invoice Log'!$AI58,"")</f>
        <v/>
      </c>
      <c r="J80" s="127" t="str">
        <f>IF($M80="Yes",'Invoice Log'!$AO58,"")</f>
        <v/>
      </c>
      <c r="K80" s="129" t="str">
        <f>IF($M80="Yes",'Invoice Log'!$AP58,"")</f>
        <v/>
      </c>
      <c r="L80" s="65" t="str">
        <f>IF($M80="Yes",ROUND('Invoice Log'!$AP58*Settings!$J$8,2),"")</f>
        <v/>
      </c>
      <c r="M80" s="125" t="str">
        <f>IF(OR('Invoice Log'!$L58="",'Invoice Log'!$AS58=""),"",IF(AND('Invoice Log'!$AR58&lt;=$B$3,'Invoice Log'!$AR58&gt;=Settings!$J$10,'Invoice Log'!$J58&lt;&gt;"Cancelled"),"Yes","No"))</f>
        <v>No</v>
      </c>
    </row>
    <row r="81" ht="15.75" customHeight="1">
      <c r="A81" s="125" t="str">
        <f>IF('Invoice Log'!$AS59="","",TEXT('Invoice Log'!$AS59,"YYYY-MM"))</f>
        <v>2026-04</v>
      </c>
      <c r="B81" s="45">
        <f>IF('Invoice Log'!$AR59="","",'Invoice Log'!$AR59)</f>
        <v>46134</v>
      </c>
      <c r="C81" s="63">
        <f>IF('Invoice Log'!$D59="","",'Invoice Log'!$D59)</f>
        <v>22004253</v>
      </c>
      <c r="D81" s="126" t="str">
        <f>IF('Invoice Log'!$L59="","",'Invoice Log'!$E59)</f>
        <v>Berkeley</v>
      </c>
      <c r="E81" s="126" t="str">
        <f>IF('Invoice Log'!$L59="","",'Invoice Log'!$J59)</f>
        <v>Complete</v>
      </c>
      <c r="F81" s="125" t="str">
        <f>IF('Invoice Log'!$L59="","",'Invoice Log'!$Q59)</f>
        <v>Yes</v>
      </c>
      <c r="G81" s="65" t="str">
        <f>IF($M81="Yes",'Invoice Log'!$L59,"")</f>
        <v/>
      </c>
      <c r="H81" s="65" t="str">
        <f>IF($M81="Yes",'Invoice Log'!$S59,"")</f>
        <v/>
      </c>
      <c r="I81" s="65" t="str">
        <f>IF($M81="Yes",'Invoice Log'!$AI59,"")</f>
        <v/>
      </c>
      <c r="J81" s="127" t="str">
        <f>IF($M81="Yes",'Invoice Log'!$AO59,"")</f>
        <v/>
      </c>
      <c r="K81" s="129" t="str">
        <f>IF($M81="Yes",'Invoice Log'!$AP59,"")</f>
        <v/>
      </c>
      <c r="L81" s="65" t="str">
        <f>IF($M81="Yes",ROUND('Invoice Log'!$AP59*Settings!$J$8,2),"")</f>
        <v/>
      </c>
      <c r="M81" s="125" t="str">
        <f>IF(OR('Invoice Log'!$L59="",'Invoice Log'!$AS59=""),"",IF(AND('Invoice Log'!$AR59&lt;=$B$3,'Invoice Log'!$AR59&gt;=Settings!$J$10,'Invoice Log'!$J59&lt;&gt;"Cancelled"),"Yes","No"))</f>
        <v>No</v>
      </c>
    </row>
    <row r="82" ht="15.75" customHeight="1">
      <c r="A82" s="125" t="str">
        <f>IF('Invoice Log'!$AS60="","",TEXT('Invoice Log'!$AS60,"YYYY-MM"))</f>
        <v/>
      </c>
      <c r="B82" s="45" t="str">
        <f>IF('Invoice Log'!$AR60="","",'Invoice Log'!$AR60)</f>
        <v/>
      </c>
      <c r="C82" s="63">
        <f>IF('Invoice Log'!$D60="","",'Invoice Log'!$D60)</f>
        <v>22004254</v>
      </c>
      <c r="D82" s="126" t="str">
        <f>IF('Invoice Log'!$L60="","",'Invoice Log'!$E60)</f>
        <v>House of Decant</v>
      </c>
      <c r="E82" s="126" t="str">
        <f>IF('Invoice Log'!$L60="","",'Invoice Log'!$J60)</f>
        <v>Complete</v>
      </c>
      <c r="F82" s="125" t="str">
        <f>IF('Invoice Log'!$L60="","",'Invoice Log'!$Q60)</f>
        <v>No</v>
      </c>
      <c r="G82" s="65" t="str">
        <f>IF($M82="Yes",'Invoice Log'!$L60,"")</f>
        <v/>
      </c>
      <c r="H82" s="65" t="str">
        <f>IF($M82="Yes",'Invoice Log'!$S60,"")</f>
        <v/>
      </c>
      <c r="I82" s="65" t="str">
        <f>IF($M82="Yes",'Invoice Log'!$AI60,"")</f>
        <v/>
      </c>
      <c r="J82" s="127" t="str">
        <f>IF($M82="Yes",'Invoice Log'!$AO60,"")</f>
        <v/>
      </c>
      <c r="K82" s="129" t="str">
        <f>IF($M82="Yes",'Invoice Log'!$AP60,"")</f>
        <v/>
      </c>
      <c r="L82" s="65" t="str">
        <f>IF($M82="Yes",ROUND('Invoice Log'!$AP60*Settings!$J$8,2),"")</f>
        <v/>
      </c>
      <c r="M82" s="125" t="str">
        <f>IF(OR('Invoice Log'!$L60="",'Invoice Log'!$AS60=""),"",IF(AND('Invoice Log'!$AR60&lt;=$B$3,'Invoice Log'!$AR60&gt;=Settings!$J$10,'Invoice Log'!$J60&lt;&gt;"Cancelled"),"Yes","No"))</f>
        <v/>
      </c>
    </row>
    <row r="83" ht="15.75" customHeight="1">
      <c r="A83" s="125" t="str">
        <f>IF('Invoice Log'!$AS61="","",TEXT('Invoice Log'!$AS61,"YYYY-MM"))</f>
        <v>2026-05</v>
      </c>
      <c r="B83" s="45">
        <f>IF('Invoice Log'!$AR61="","",'Invoice Log'!$AR61)</f>
        <v>46148</v>
      </c>
      <c r="C83" s="63">
        <f>IF('Invoice Log'!$D61="","",'Invoice Log'!$D61)</f>
        <v>22004255</v>
      </c>
      <c r="D83" s="126" t="str">
        <f>IF('Invoice Log'!$L61="","",'Invoice Log'!$E61)</f>
        <v>Mewburn Ellis</v>
      </c>
      <c r="E83" s="126" t="str">
        <f>IF('Invoice Log'!$L61="","",'Invoice Log'!$J61)</f>
        <v>Complete</v>
      </c>
      <c r="F83" s="125" t="str">
        <f>IF('Invoice Log'!$L61="","",'Invoice Log'!$Q61)</f>
        <v>No</v>
      </c>
      <c r="G83" s="65" t="str">
        <f>IF($M83="Yes",'Invoice Log'!$L61,"")</f>
        <v/>
      </c>
      <c r="H83" s="65" t="str">
        <f>IF($M83="Yes",'Invoice Log'!$S61,"")</f>
        <v/>
      </c>
      <c r="I83" s="65" t="str">
        <f>IF($M83="Yes",'Invoice Log'!$AI61,"")</f>
        <v/>
      </c>
      <c r="J83" s="127" t="str">
        <f>IF($M83="Yes",'Invoice Log'!$AO61,"")</f>
        <v/>
      </c>
      <c r="K83" s="129" t="str">
        <f>IF($M83="Yes",'Invoice Log'!$AP61,"")</f>
        <v/>
      </c>
      <c r="L83" s="65" t="str">
        <f>IF($M83="Yes",ROUND('Invoice Log'!$AP61*Settings!$J$8,2),"")</f>
        <v/>
      </c>
      <c r="M83" s="125" t="str">
        <f>IF(OR('Invoice Log'!$L61="",'Invoice Log'!$AS61=""),"",IF(AND('Invoice Log'!$AR61&lt;=$B$3,'Invoice Log'!$AR61&gt;=Settings!$J$10,'Invoice Log'!$J61&lt;&gt;"Cancelled"),"Yes","No"))</f>
        <v>No</v>
      </c>
    </row>
    <row r="84" ht="15.75" customHeight="1">
      <c r="A84" s="125" t="str">
        <f>IF('Invoice Log'!$AS62="","",TEXT('Invoice Log'!$AS62,"YYYY-MM"))</f>
        <v>2026-04</v>
      </c>
      <c r="B84" s="45">
        <f>IF('Invoice Log'!$AR62="","",'Invoice Log'!$AR62)</f>
        <v>46140</v>
      </c>
      <c r="C84" s="63">
        <f>IF('Invoice Log'!$D62="","",'Invoice Log'!$D62)</f>
        <v>22004256</v>
      </c>
      <c r="D84" s="126" t="str">
        <f>IF('Invoice Log'!$L62="","",'Invoice Log'!$E62)</f>
        <v>The Event Book - Voltwise</v>
      </c>
      <c r="E84" s="126" t="str">
        <f>IF('Invoice Log'!$L62="","",'Invoice Log'!$J62)</f>
        <v>Cancelled</v>
      </c>
      <c r="F84" s="125" t="str">
        <f>IF('Invoice Log'!$L62="","",'Invoice Log'!$Q62)</f>
        <v>No</v>
      </c>
      <c r="G84" s="65" t="str">
        <f>IF($M84="Yes",'Invoice Log'!$L62,"")</f>
        <v/>
      </c>
      <c r="H84" s="65" t="str">
        <f>IF($M84="Yes",'Invoice Log'!$S62,"")</f>
        <v/>
      </c>
      <c r="I84" s="65" t="str">
        <f>IF($M84="Yes",'Invoice Log'!$AI62,"")</f>
        <v/>
      </c>
      <c r="J84" s="127" t="str">
        <f>IF($M84="Yes",'Invoice Log'!$AO62,"")</f>
        <v/>
      </c>
      <c r="K84" s="129" t="str">
        <f>IF($M84="Yes",'Invoice Log'!$AP62,"")</f>
        <v/>
      </c>
      <c r="L84" s="65" t="str">
        <f>IF($M84="Yes",ROUND('Invoice Log'!$AP62*Settings!$J$8,2),"")</f>
        <v/>
      </c>
      <c r="M84" s="125" t="str">
        <f>IF(OR('Invoice Log'!$L62="",'Invoice Log'!$AS62=""),"",IF(AND('Invoice Log'!$AR62&lt;=$B$3,'Invoice Log'!$AR62&gt;=Settings!$J$10,'Invoice Log'!$J62&lt;&gt;"Cancelled"),"Yes","No"))</f>
        <v>No</v>
      </c>
    </row>
    <row r="85" ht="15.75" customHeight="1">
      <c r="A85" s="125" t="str">
        <f>IF('Invoice Log'!$AS63="","",TEXT('Invoice Log'!$AS63,"YYYY-MM"))</f>
        <v>2026-04</v>
      </c>
      <c r="B85" s="45">
        <f>IF('Invoice Log'!$AR63="","",'Invoice Log'!$AR63)</f>
        <v>46140</v>
      </c>
      <c r="C85" s="63">
        <f>IF('Invoice Log'!$D63="","",'Invoice Log'!$D63)</f>
        <v>22004257</v>
      </c>
      <c r="D85" s="126" t="str">
        <f>IF('Invoice Log'!$L63="","",'Invoice Log'!$E63)</f>
        <v>Canada-UK Chamber of Commerce</v>
      </c>
      <c r="E85" s="126" t="str">
        <f>IF('Invoice Log'!$L63="","",'Invoice Log'!$J63)</f>
        <v>Complete</v>
      </c>
      <c r="F85" s="125" t="str">
        <f>IF('Invoice Log'!$L63="","",'Invoice Log'!$Q63)</f>
        <v>Yes</v>
      </c>
      <c r="G85" s="65" t="str">
        <f>IF($M85="Yes",'Invoice Log'!$L63,"")</f>
        <v/>
      </c>
      <c r="H85" s="65" t="str">
        <f>IF($M85="Yes",'Invoice Log'!$S63,"")</f>
        <v/>
      </c>
      <c r="I85" s="65" t="str">
        <f>IF($M85="Yes",'Invoice Log'!$AI63,"")</f>
        <v/>
      </c>
      <c r="J85" s="127" t="str">
        <f>IF($M85="Yes",'Invoice Log'!$AO63,"")</f>
        <v/>
      </c>
      <c r="K85" s="129" t="str">
        <f>IF($M85="Yes",'Invoice Log'!$AP63,"")</f>
        <v/>
      </c>
      <c r="L85" s="65" t="str">
        <f>IF($M85="Yes",ROUND('Invoice Log'!$AP63*Settings!$J$8,2),"")</f>
        <v/>
      </c>
      <c r="M85" s="125" t="str">
        <f>IF(OR('Invoice Log'!$L63="",'Invoice Log'!$AS63=""),"",IF(AND('Invoice Log'!$AR63&lt;=$B$3,'Invoice Log'!$AR63&gt;=Settings!$J$10,'Invoice Log'!$J63&lt;&gt;"Cancelled"),"Yes","No"))</f>
        <v>No</v>
      </c>
    </row>
    <row r="86" ht="15.75" customHeight="1">
      <c r="A86" s="125" t="str">
        <f>IF('Invoice Log'!$AS64="","",TEXT('Invoice Log'!$AS64,"YYYY-MM"))</f>
        <v>2026-06</v>
      </c>
      <c r="B86" s="45">
        <f>IF('Invoice Log'!$AR64="","",'Invoice Log'!$AR64)</f>
        <v>46192</v>
      </c>
      <c r="C86" s="63">
        <f>IF('Invoice Log'!$D64="","",'Invoice Log'!$D64)</f>
        <v>22004258</v>
      </c>
      <c r="D86" s="126" t="str">
        <f>IF('Invoice Log'!$L64="","",'Invoice Log'!$E64)</f>
        <v>David &amp; Nigel</v>
      </c>
      <c r="E86" s="126" t="str">
        <f>IF('Invoice Log'!$L64="","",'Invoice Log'!$J64)</f>
        <v>Complete</v>
      </c>
      <c r="F86" s="125" t="str">
        <f>IF('Invoice Log'!$L64="","",'Invoice Log'!$Q64)</f>
        <v>Yes</v>
      </c>
      <c r="G86" s="65" t="str">
        <f>IF($M86="Yes",'Invoice Log'!$L64,"")</f>
        <v/>
      </c>
      <c r="H86" s="65" t="str">
        <f>IF($M86="Yes",'Invoice Log'!$S64,"")</f>
        <v/>
      </c>
      <c r="I86" s="65" t="str">
        <f>IF($M86="Yes",'Invoice Log'!$AI64,"")</f>
        <v/>
      </c>
      <c r="J86" s="127" t="str">
        <f>IF($M86="Yes",'Invoice Log'!$AO64,"")</f>
        <v/>
      </c>
      <c r="K86" s="129" t="str">
        <f>IF($M86="Yes",'Invoice Log'!$AP64,"")</f>
        <v/>
      </c>
      <c r="L86" s="65" t="str">
        <f>IF($M86="Yes",ROUND('Invoice Log'!$AP64*Settings!$J$8,2),"")</f>
        <v/>
      </c>
      <c r="M86" s="125" t="str">
        <f>IF(OR('Invoice Log'!$L64="",'Invoice Log'!$AS64=""),"",IF(AND('Invoice Log'!$AR64&lt;=$B$3,'Invoice Log'!$AR64&gt;=Settings!$J$10,'Invoice Log'!$J64&lt;&gt;"Cancelled"),"Yes","No"))</f>
        <v>No</v>
      </c>
    </row>
    <row r="87" ht="15.75" customHeight="1">
      <c r="A87" s="125" t="str">
        <f>IF('Invoice Log'!$AS65="","",TEXT('Invoice Log'!$AS65,"YYYY-MM"))</f>
        <v>2026-05</v>
      </c>
      <c r="B87" s="45">
        <f>IF('Invoice Log'!$AR65="","",'Invoice Log'!$AR65)</f>
        <v>46172</v>
      </c>
      <c r="C87" s="63">
        <f>IF('Invoice Log'!$D65="","",'Invoice Log'!$D65)</f>
        <v>22004260</v>
      </c>
      <c r="D87" s="126" t="str">
        <f>IF('Invoice Log'!$L65="","",'Invoice Log'!$E65)</f>
        <v>Diane Hay</v>
      </c>
      <c r="E87" s="126" t="str">
        <f>IF('Invoice Log'!$L65="","",'Invoice Log'!$J65)</f>
        <v>Complete</v>
      </c>
      <c r="F87" s="125" t="str">
        <f>IF('Invoice Log'!$L65="","",'Invoice Log'!$Q65)</f>
        <v>Yes</v>
      </c>
      <c r="G87" s="65" t="str">
        <f>IF($M87="Yes",'Invoice Log'!$L65,"")</f>
        <v/>
      </c>
      <c r="H87" s="65" t="str">
        <f>IF($M87="Yes",'Invoice Log'!$S65,"")</f>
        <v/>
      </c>
      <c r="I87" s="65" t="str">
        <f>IF($M87="Yes",'Invoice Log'!$AI65,"")</f>
        <v/>
      </c>
      <c r="J87" s="127" t="str">
        <f>IF($M87="Yes",'Invoice Log'!$AO65,"")</f>
        <v/>
      </c>
      <c r="K87" s="129" t="str">
        <f>IF($M87="Yes",'Invoice Log'!$AP65,"")</f>
        <v/>
      </c>
      <c r="L87" s="65" t="str">
        <f>IF($M87="Yes",ROUND('Invoice Log'!$AP65*Settings!$J$8,2),"")</f>
        <v/>
      </c>
      <c r="M87" s="125" t="str">
        <f>IF(OR('Invoice Log'!$L65="",'Invoice Log'!$AS65=""),"",IF(AND('Invoice Log'!$AR65&lt;=$B$3,'Invoice Log'!$AR65&gt;=Settings!$J$10,'Invoice Log'!$J65&lt;&gt;"Cancelled"),"Yes","No"))</f>
        <v>No</v>
      </c>
    </row>
    <row r="88" ht="15.75" customHeight="1">
      <c r="A88" s="125" t="str">
        <f>IF('Invoice Log'!$AS66="","",TEXT('Invoice Log'!$AS66,"YYYY-MM"))</f>
        <v/>
      </c>
      <c r="B88" s="45" t="str">
        <f>IF('Invoice Log'!$AR66="","",'Invoice Log'!$AR66)</f>
        <v/>
      </c>
      <c r="C88" s="63">
        <f>IF('Invoice Log'!$D66="","",'Invoice Log'!$D66)</f>
        <v>22004261</v>
      </c>
      <c r="D88" s="126" t="str">
        <f>IF('Invoice Log'!$L66="","",'Invoice Log'!$E66)</f>
        <v>Zenith Bank Ltd - Day 7 &amp; 8</v>
      </c>
      <c r="E88" s="126" t="str">
        <f>IF('Invoice Log'!$L66="","",'Invoice Log'!$J66)</f>
        <v>Complete</v>
      </c>
      <c r="F88" s="125" t="str">
        <f>IF('Invoice Log'!$L66="","",'Invoice Log'!$Q66)</f>
        <v>Yes</v>
      </c>
      <c r="G88" s="65" t="str">
        <f>IF($M88="Yes",'Invoice Log'!$L66,"")</f>
        <v/>
      </c>
      <c r="H88" s="65" t="str">
        <f>IF($M88="Yes",'Invoice Log'!$S66,"")</f>
        <v/>
      </c>
      <c r="I88" s="65" t="str">
        <f>IF($M88="Yes",'Invoice Log'!$AI66,"")</f>
        <v/>
      </c>
      <c r="J88" s="127" t="str">
        <f>IF($M88="Yes",'Invoice Log'!$AO66,"")</f>
        <v/>
      </c>
      <c r="K88" s="129" t="str">
        <f>IF($M88="Yes",'Invoice Log'!$AP66,"")</f>
        <v/>
      </c>
      <c r="L88" s="65" t="str">
        <f>IF($M88="Yes",ROUND('Invoice Log'!$AP66*Settings!$J$8,2),"")</f>
        <v/>
      </c>
      <c r="M88" s="125" t="str">
        <f>IF(OR('Invoice Log'!$L66="",'Invoice Log'!$AS66=""),"",IF(AND('Invoice Log'!$AR66&lt;=$B$3,'Invoice Log'!$AR66&gt;=Settings!$J$10,'Invoice Log'!$J66&lt;&gt;"Cancelled"),"Yes","No"))</f>
        <v/>
      </c>
    </row>
    <row r="89" ht="15.75" customHeight="1">
      <c r="A89" s="125" t="str">
        <f>IF('Invoice Log'!$AS67="","",TEXT('Invoice Log'!$AS67,"YYYY-MM"))</f>
        <v>2026-05</v>
      </c>
      <c r="B89" s="45">
        <f>IF('Invoice Log'!$AR67="","",'Invoice Log'!$AR67)</f>
        <v>46160</v>
      </c>
      <c r="C89" s="63">
        <f>IF('Invoice Log'!$D67="","",'Invoice Log'!$D67)</f>
        <v>22004262</v>
      </c>
      <c r="D89" s="126" t="str">
        <f>IF('Invoice Log'!$L67="","",'Invoice Log'!$E67)</f>
        <v>Griffin University</v>
      </c>
      <c r="E89" s="126" t="str">
        <f>IF('Invoice Log'!$L67="","",'Invoice Log'!$J67)</f>
        <v>Complete</v>
      </c>
      <c r="F89" s="125" t="str">
        <f>IF('Invoice Log'!$L67="","",'Invoice Log'!$Q67)</f>
        <v>Yes</v>
      </c>
      <c r="G89" s="65" t="str">
        <f>IF($M89="Yes",'Invoice Log'!$L67,"")</f>
        <v/>
      </c>
      <c r="H89" s="65" t="str">
        <f>IF($M89="Yes",'Invoice Log'!$S67,"")</f>
        <v/>
      </c>
      <c r="I89" s="65" t="str">
        <f>IF($M89="Yes",'Invoice Log'!$AI67,"")</f>
        <v/>
      </c>
      <c r="J89" s="127" t="str">
        <f>IF($M89="Yes",'Invoice Log'!$AO67,"")</f>
        <v/>
      </c>
      <c r="K89" s="129" t="str">
        <f>IF($M89="Yes",'Invoice Log'!$AP67,"")</f>
        <v/>
      </c>
      <c r="L89" s="65" t="str">
        <f>IF($M89="Yes",ROUND('Invoice Log'!$AP67*Settings!$J$8,2),"")</f>
        <v/>
      </c>
      <c r="M89" s="125" t="str">
        <f>IF(OR('Invoice Log'!$L67="",'Invoice Log'!$AS67=""),"",IF(AND('Invoice Log'!$AR67&lt;=$B$3,'Invoice Log'!$AR67&gt;=Settings!$J$10,'Invoice Log'!$J67&lt;&gt;"Cancelled"),"Yes","No"))</f>
        <v>No</v>
      </c>
    </row>
    <row r="90" ht="15.75" customHeight="1">
      <c r="A90" s="125" t="str">
        <f>IF('Invoice Log'!$AS68="","",TEXT('Invoice Log'!$AS68,"YYYY-MM"))</f>
        <v>2026-06</v>
      </c>
      <c r="B90" s="45">
        <f>IF('Invoice Log'!$AR68="","",'Invoice Log'!$AR68)</f>
        <v>46179</v>
      </c>
      <c r="C90" s="63">
        <f>IF('Invoice Log'!$D68="","",'Invoice Log'!$D68)</f>
        <v>22004263</v>
      </c>
      <c r="D90" s="126" t="str">
        <f>IF('Invoice Log'!$L68="","",'Invoice Log'!$E68)</f>
        <v>Sarah Gower</v>
      </c>
      <c r="E90" s="126" t="str">
        <f>IF('Invoice Log'!$L68="","",'Invoice Log'!$J68)</f>
        <v>Complete</v>
      </c>
      <c r="F90" s="125" t="str">
        <f>IF('Invoice Log'!$L68="","",'Invoice Log'!$Q68)</f>
        <v>No</v>
      </c>
      <c r="G90" s="65" t="str">
        <f>IF($M90="Yes",'Invoice Log'!$L68,"")</f>
        <v/>
      </c>
      <c r="H90" s="65" t="str">
        <f>IF($M90="Yes",'Invoice Log'!$S68,"")</f>
        <v/>
      </c>
      <c r="I90" s="65" t="str">
        <f>IF($M90="Yes",'Invoice Log'!$AI68,"")</f>
        <v/>
      </c>
      <c r="J90" s="127" t="str">
        <f>IF($M90="Yes",'Invoice Log'!$AO68,"")</f>
        <v/>
      </c>
      <c r="K90" s="129" t="str">
        <f>IF($M90="Yes",'Invoice Log'!$AP68,"")</f>
        <v/>
      </c>
      <c r="L90" s="65" t="str">
        <f>IF($M90="Yes",ROUND('Invoice Log'!$AP68*Settings!$J$8,2),"")</f>
        <v/>
      </c>
      <c r="M90" s="125" t="str">
        <f>IF(OR('Invoice Log'!$L68="",'Invoice Log'!$AS68=""),"",IF(AND('Invoice Log'!$AR68&lt;=$B$3,'Invoice Log'!$AR68&gt;=Settings!$J$10,'Invoice Log'!$J68&lt;&gt;"Cancelled"),"Yes","No"))</f>
        <v>No</v>
      </c>
    </row>
    <row r="91" ht="15.75" customHeight="1">
      <c r="A91" s="125" t="str">
        <f>IF('Invoice Log'!$AS69="","",TEXT('Invoice Log'!$AS69,"YYYY-MM"))</f>
        <v>2026-05</v>
      </c>
      <c r="B91" s="45">
        <f>IF('Invoice Log'!$AR69="","",'Invoice Log'!$AR69)</f>
        <v>46148</v>
      </c>
      <c r="C91" s="63">
        <f>IF('Invoice Log'!$D69="","",'Invoice Log'!$D69)</f>
        <v>22004264</v>
      </c>
      <c r="D91" s="126" t="str">
        <f>IF('Invoice Log'!$L69="","",'Invoice Log'!$E69)</f>
        <v>Orbit Design Studio Ltd</v>
      </c>
      <c r="E91" s="126" t="str">
        <f>IF('Invoice Log'!$L69="","",'Invoice Log'!$J69)</f>
        <v>Complete</v>
      </c>
      <c r="F91" s="125" t="str">
        <f>IF('Invoice Log'!$L69="","",'Invoice Log'!$Q69)</f>
        <v>Yes</v>
      </c>
      <c r="G91" s="65" t="str">
        <f>IF($M91="Yes",'Invoice Log'!$L69,"")</f>
        <v/>
      </c>
      <c r="H91" s="65" t="str">
        <f>IF($M91="Yes",'Invoice Log'!$S69,"")</f>
        <v/>
      </c>
      <c r="I91" s="65" t="str">
        <f>IF($M91="Yes",'Invoice Log'!$AI69,"")</f>
        <v/>
      </c>
      <c r="J91" s="127" t="str">
        <f>IF($M91="Yes",'Invoice Log'!$AO69,"")</f>
        <v/>
      </c>
      <c r="K91" s="129" t="str">
        <f>IF($M91="Yes",'Invoice Log'!$AP69,"")</f>
        <v/>
      </c>
      <c r="L91" s="65" t="str">
        <f>IF($M91="Yes",ROUND('Invoice Log'!$AP69*Settings!$J$8,2),"")</f>
        <v/>
      </c>
      <c r="M91" s="125" t="str">
        <f>IF(OR('Invoice Log'!$L69="",'Invoice Log'!$AS69=""),"",IF(AND('Invoice Log'!$AR69&lt;=$B$3,'Invoice Log'!$AR69&gt;=Settings!$J$10,'Invoice Log'!$J69&lt;&gt;"Cancelled"),"Yes","No"))</f>
        <v>No</v>
      </c>
    </row>
    <row r="92" ht="15.75" customHeight="1">
      <c r="A92" s="125" t="str">
        <f>IF('Invoice Log'!$AS70="","",TEXT('Invoice Log'!$AS70,"YYYY-MM"))</f>
        <v>2026-06</v>
      </c>
      <c r="B92" s="45">
        <f>IF('Invoice Log'!$AR70="","",'Invoice Log'!$AR70)</f>
        <v>46183</v>
      </c>
      <c r="C92" s="63">
        <f>IF('Invoice Log'!$D70="","",'Invoice Log'!$D70)</f>
        <v>22004265</v>
      </c>
      <c r="D92" s="126" t="str">
        <f>IF('Invoice Log'!$L70="","",'Invoice Log'!$E70)</f>
        <v>Phaidon International</v>
      </c>
      <c r="E92" s="126" t="str">
        <f>IF('Invoice Log'!$L70="","",'Invoice Log'!$J70)</f>
        <v>Complete</v>
      </c>
      <c r="F92" s="125" t="str">
        <f>IF('Invoice Log'!$L70="","",'Invoice Log'!$Q70)</f>
        <v>Yes</v>
      </c>
      <c r="G92" s="65" t="str">
        <f>IF($M92="Yes",'Invoice Log'!$L70,"")</f>
        <v/>
      </c>
      <c r="H92" s="65" t="str">
        <f>IF($M92="Yes",'Invoice Log'!$S70,"")</f>
        <v/>
      </c>
      <c r="I92" s="65" t="str">
        <f>IF($M92="Yes",'Invoice Log'!$AI70,"")</f>
        <v/>
      </c>
      <c r="J92" s="127" t="str">
        <f>IF($M92="Yes",'Invoice Log'!$AO70,"")</f>
        <v/>
      </c>
      <c r="K92" s="129" t="str">
        <f>IF($M92="Yes",'Invoice Log'!$AP70,"")</f>
        <v/>
      </c>
      <c r="L92" s="65" t="str">
        <f>IF($M92="Yes",ROUND('Invoice Log'!$AP70*Settings!$J$8,2),"")</f>
        <v/>
      </c>
      <c r="M92" s="125" t="str">
        <f>IF(OR('Invoice Log'!$L70="",'Invoice Log'!$AS70=""),"",IF(AND('Invoice Log'!$AR70&lt;=$B$3,'Invoice Log'!$AR70&gt;=Settings!$J$10,'Invoice Log'!$J70&lt;&gt;"Cancelled"),"Yes","No"))</f>
        <v>No</v>
      </c>
    </row>
    <row r="93" ht="15.75" customHeight="1">
      <c r="A93" s="125" t="str">
        <f>IF('Invoice Log'!$AS71="","",TEXT('Invoice Log'!$AS71,"YYYY-MM"))</f>
        <v>2026-06</v>
      </c>
      <c r="B93" s="45">
        <f>IF('Invoice Log'!$AR71="","",'Invoice Log'!$AR71)</f>
        <v>46177</v>
      </c>
      <c r="C93" s="63">
        <f>IF('Invoice Log'!$D71="","",'Invoice Log'!$D71)</f>
        <v>22004266</v>
      </c>
      <c r="D93" s="126" t="str">
        <f>IF('Invoice Log'!$L71="","",'Invoice Log'!$E71)</f>
        <v>Canada House</v>
      </c>
      <c r="E93" s="126" t="str">
        <f>IF('Invoice Log'!$L71="","",'Invoice Log'!$J71)</f>
        <v>Complete</v>
      </c>
      <c r="F93" s="125" t="str">
        <f>IF('Invoice Log'!$L71="","",'Invoice Log'!$Q71)</f>
        <v>Yes</v>
      </c>
      <c r="G93" s="65" t="str">
        <f>IF($M93="Yes",'Invoice Log'!$L71,"")</f>
        <v/>
      </c>
      <c r="H93" s="65" t="str">
        <f>IF($M93="Yes",'Invoice Log'!$S71,"")</f>
        <v/>
      </c>
      <c r="I93" s="65" t="str">
        <f>IF($M93="Yes",'Invoice Log'!$AI71,"")</f>
        <v/>
      </c>
      <c r="J93" s="127" t="str">
        <f>IF($M93="Yes",'Invoice Log'!$AO71,"")</f>
        <v/>
      </c>
      <c r="K93" s="129" t="str">
        <f>IF($M93="Yes",'Invoice Log'!$AP71,"")</f>
        <v/>
      </c>
      <c r="L93" s="65" t="str">
        <f>IF($M93="Yes",ROUND('Invoice Log'!$AP71*Settings!$J$8,2),"")</f>
        <v/>
      </c>
      <c r="M93" s="125" t="str">
        <f>IF(OR('Invoice Log'!$L71="",'Invoice Log'!$AS71=""),"",IF(AND('Invoice Log'!$AR71&lt;=$B$3,'Invoice Log'!$AR71&gt;=Settings!$J$10,'Invoice Log'!$J71&lt;&gt;"Cancelled"),"Yes","No"))</f>
        <v>No</v>
      </c>
    </row>
    <row r="94" ht="15.75" customHeight="1">
      <c r="A94" s="125" t="str">
        <f>IF('Invoice Log'!$AS72="","",TEXT('Invoice Log'!$AS72,"YYYY-MM"))</f>
        <v>2026-06</v>
      </c>
      <c r="B94" s="45">
        <f>IF('Invoice Log'!$AR72="","",'Invoice Log'!$AR72)</f>
        <v>46191</v>
      </c>
      <c r="C94" s="63">
        <f>IF('Invoice Log'!$D72="","",'Invoice Log'!$D72)</f>
        <v>22004267</v>
      </c>
      <c r="D94" s="126" t="str">
        <f>IF('Invoice Log'!$L72="","",'Invoice Log'!$E72)</f>
        <v>Chew Events</v>
      </c>
      <c r="E94" s="126" t="str">
        <f>IF('Invoice Log'!$L72="","",'Invoice Log'!$J72)</f>
        <v>Complete</v>
      </c>
      <c r="F94" s="125" t="str">
        <f>IF('Invoice Log'!$L72="","",'Invoice Log'!$Q72)</f>
        <v>Yes</v>
      </c>
      <c r="G94" s="65" t="str">
        <f>IF($M94="Yes",'Invoice Log'!$L72,"")</f>
        <v/>
      </c>
      <c r="H94" s="65" t="str">
        <f>IF($M94="Yes",'Invoice Log'!$S72,"")</f>
        <v/>
      </c>
      <c r="I94" s="65" t="str">
        <f>IF($M94="Yes",'Invoice Log'!$AI72,"")</f>
        <v/>
      </c>
      <c r="J94" s="127" t="str">
        <f>IF($M94="Yes",'Invoice Log'!$AO72,"")</f>
        <v/>
      </c>
      <c r="K94" s="129" t="str">
        <f>IF($M94="Yes",'Invoice Log'!$AP72,"")</f>
        <v/>
      </c>
      <c r="L94" s="65" t="str">
        <f>IF($M94="Yes",ROUND('Invoice Log'!$AP72*Settings!$J$8,2),"")</f>
        <v/>
      </c>
      <c r="M94" s="125" t="str">
        <f>IF(OR('Invoice Log'!$L72="",'Invoice Log'!$AS72=""),"",IF(AND('Invoice Log'!$AR72&lt;=$B$3,'Invoice Log'!$AR72&gt;=Settings!$J$10,'Invoice Log'!$J72&lt;&gt;"Cancelled"),"Yes","No"))</f>
        <v>No</v>
      </c>
    </row>
    <row r="95" ht="15.75" customHeight="1">
      <c r="A95" s="125" t="str">
        <f>IF('Invoice Log'!$AS73="","",TEXT('Invoice Log'!$AS73,"YYYY-MM"))</f>
        <v/>
      </c>
      <c r="B95" s="45" t="str">
        <f>IF('Invoice Log'!$AR73="","",'Invoice Log'!$AR73)</f>
        <v/>
      </c>
      <c r="C95" s="63">
        <f>IF('Invoice Log'!$D73="","",'Invoice Log'!$D73)</f>
        <v>22004268</v>
      </c>
      <c r="D95" s="126" t="str">
        <f>IF('Invoice Log'!$L73="","",'Invoice Log'!$E73)</f>
        <v/>
      </c>
      <c r="E95" s="126" t="str">
        <f>IF('Invoice Log'!$L73="","",'Invoice Log'!$J73)</f>
        <v/>
      </c>
      <c r="F95" s="125" t="str">
        <f>IF('Invoice Log'!$L73="","",'Invoice Log'!$Q73)</f>
        <v/>
      </c>
      <c r="G95" s="65" t="str">
        <f>IF($M95="Yes",'Invoice Log'!$L73,"")</f>
        <v/>
      </c>
      <c r="H95" s="65" t="str">
        <f>IF($M95="Yes",'Invoice Log'!$S73,"")</f>
        <v/>
      </c>
      <c r="I95" s="65" t="str">
        <f>IF($M95="Yes",'Invoice Log'!$AI73,"")</f>
        <v/>
      </c>
      <c r="J95" s="127" t="str">
        <f>IF($M95="Yes",'Invoice Log'!$AO73,"")</f>
        <v/>
      </c>
      <c r="K95" s="129" t="str">
        <f>IF($M95="Yes",'Invoice Log'!$AP73,"")</f>
        <v/>
      </c>
      <c r="L95" s="65" t="str">
        <f>IF($M95="Yes",ROUND('Invoice Log'!$AP73*Settings!$J$8,2),"")</f>
        <v/>
      </c>
      <c r="M95" s="125" t="str">
        <f>IF(OR('Invoice Log'!$L73="",'Invoice Log'!$AS73=""),"",IF(AND('Invoice Log'!$AR73&lt;=$B$3,'Invoice Log'!$AR73&gt;=Settings!$J$10,'Invoice Log'!$J73&lt;&gt;"Cancelled"),"Yes","No"))</f>
        <v/>
      </c>
    </row>
    <row r="96" ht="15.75" customHeight="1">
      <c r="A96" s="125" t="str">
        <f>IF('Invoice Log'!$AS74="","",TEXT('Invoice Log'!$AS74,"YYYY-MM"))</f>
        <v>2026-06</v>
      </c>
      <c r="B96" s="45">
        <f>IF('Invoice Log'!$AR74="","",'Invoice Log'!$AR74)</f>
        <v>46177</v>
      </c>
      <c r="C96" s="63">
        <f>IF('Invoice Log'!$D74="","",'Invoice Log'!$D74)</f>
        <v>22004269</v>
      </c>
      <c r="D96" s="126" t="str">
        <f>IF('Invoice Log'!$L74="","",'Invoice Log'!$E74)</f>
        <v>Salt Productions</v>
      </c>
      <c r="E96" s="126" t="str">
        <f>IF('Invoice Log'!$L74="","",'Invoice Log'!$J74)</f>
        <v>Complete</v>
      </c>
      <c r="F96" s="125" t="str">
        <f>IF('Invoice Log'!$L74="","",'Invoice Log'!$Q74)</f>
        <v>Yes</v>
      </c>
      <c r="G96" s="65" t="str">
        <f>IF($M96="Yes",'Invoice Log'!$L74,"")</f>
        <v/>
      </c>
      <c r="H96" s="65" t="str">
        <f>IF($M96="Yes",'Invoice Log'!$S74,"")</f>
        <v/>
      </c>
      <c r="I96" s="65" t="str">
        <f>IF($M96="Yes",'Invoice Log'!$AI74,"")</f>
        <v/>
      </c>
      <c r="J96" s="127" t="str">
        <f>IF($M96="Yes",'Invoice Log'!$AO74,"")</f>
        <v/>
      </c>
      <c r="K96" s="129" t="str">
        <f>IF($M96="Yes",'Invoice Log'!$AP74,"")</f>
        <v/>
      </c>
      <c r="L96" s="65" t="str">
        <f>IF($M96="Yes",ROUND('Invoice Log'!$AP74*Settings!$J$8,2),"")</f>
        <v/>
      </c>
      <c r="M96" s="125" t="str">
        <f>IF(OR('Invoice Log'!$L74="",'Invoice Log'!$AS74=""),"",IF(AND('Invoice Log'!$AR74&lt;=$B$3,'Invoice Log'!$AR74&gt;=Settings!$J$10,'Invoice Log'!$J74&lt;&gt;"Cancelled"),"Yes","No"))</f>
        <v>No</v>
      </c>
    </row>
    <row r="97" ht="15.75" customHeight="1">
      <c r="A97" s="125" t="str">
        <f>IF('Invoice Log'!$AS75="","",TEXT('Invoice Log'!$AS75,"YYYY-MM"))</f>
        <v>2026-05</v>
      </c>
      <c r="B97" s="45">
        <f>IF('Invoice Log'!$AR75="","",'Invoice Log'!$AR75)</f>
        <v>46154</v>
      </c>
      <c r="C97" s="63">
        <f>IF('Invoice Log'!$D75="","",'Invoice Log'!$D75)</f>
        <v>22004270</v>
      </c>
      <c r="D97" s="126" t="str">
        <f>IF('Invoice Log'!$L75="","",'Invoice Log'!$E75)</f>
        <v>House of Decant</v>
      </c>
      <c r="E97" s="126" t="str">
        <f>IF('Invoice Log'!$L75="","",'Invoice Log'!$J75)</f>
        <v>Complete</v>
      </c>
      <c r="F97" s="125" t="str">
        <f>IF('Invoice Log'!$L75="","",'Invoice Log'!$Q75)</f>
        <v>No</v>
      </c>
      <c r="G97" s="65" t="str">
        <f>IF($M97="Yes",'Invoice Log'!$L75,"")</f>
        <v/>
      </c>
      <c r="H97" s="65" t="str">
        <f>IF($M97="Yes",'Invoice Log'!$S75,"")</f>
        <v/>
      </c>
      <c r="I97" s="65" t="str">
        <f>IF($M97="Yes",'Invoice Log'!$AI75,"")</f>
        <v/>
      </c>
      <c r="J97" s="127" t="str">
        <f>IF($M97="Yes",'Invoice Log'!$AO75,"")</f>
        <v/>
      </c>
      <c r="K97" s="129" t="str">
        <f>IF($M97="Yes",'Invoice Log'!$AP75,"")</f>
        <v/>
      </c>
      <c r="L97" s="65" t="str">
        <f>IF($M97="Yes",ROUND('Invoice Log'!$AP75*Settings!$J$8,2),"")</f>
        <v/>
      </c>
      <c r="M97" s="125" t="str">
        <f>IF(OR('Invoice Log'!$L75="",'Invoice Log'!$AS75=""),"",IF(AND('Invoice Log'!$AR75&lt;=$B$3,'Invoice Log'!$AR75&gt;=Settings!$J$10,'Invoice Log'!$J75&lt;&gt;"Cancelled"),"Yes","No"))</f>
        <v>No</v>
      </c>
    </row>
    <row r="98" ht="15.75" customHeight="1">
      <c r="A98" s="125" t="str">
        <f>IF('Invoice Log'!$AS76="","",TEXT('Invoice Log'!$AS76,"YYYY-MM"))</f>
        <v>2026-05</v>
      </c>
      <c r="B98" s="45">
        <f>IF('Invoice Log'!$AR76="","",'Invoice Log'!$AR76)</f>
        <v>46156</v>
      </c>
      <c r="C98" s="63">
        <f>IF('Invoice Log'!$D76="","",'Invoice Log'!$D76)</f>
        <v>22004271</v>
      </c>
      <c r="D98" s="126" t="str">
        <f>IF('Invoice Log'!$L76="","",'Invoice Log'!$E76)</f>
        <v>House of Decant</v>
      </c>
      <c r="E98" s="126" t="str">
        <f>IF('Invoice Log'!$L76="","",'Invoice Log'!$J76)</f>
        <v>Complete</v>
      </c>
      <c r="F98" s="125" t="str">
        <f>IF('Invoice Log'!$L76="","",'Invoice Log'!$Q76)</f>
        <v>No</v>
      </c>
      <c r="G98" s="65" t="str">
        <f>IF($M98="Yes",'Invoice Log'!$L76,"")</f>
        <v/>
      </c>
      <c r="H98" s="65" t="str">
        <f>IF($M98="Yes",'Invoice Log'!$S76,"")</f>
        <v/>
      </c>
      <c r="I98" s="65" t="str">
        <f>IF($M98="Yes",'Invoice Log'!$AI76,"")</f>
        <v/>
      </c>
      <c r="J98" s="127" t="str">
        <f>IF($M98="Yes",'Invoice Log'!$AO76,"")</f>
        <v/>
      </c>
      <c r="K98" s="129" t="str">
        <f>IF($M98="Yes",'Invoice Log'!$AP76,"")</f>
        <v/>
      </c>
      <c r="L98" s="65" t="str">
        <f>IF($M98="Yes",ROUND('Invoice Log'!$AP76*Settings!$J$8,2),"")</f>
        <v/>
      </c>
      <c r="M98" s="125" t="str">
        <f>IF(OR('Invoice Log'!$L76="",'Invoice Log'!$AS76=""),"",IF(AND('Invoice Log'!$AR76&lt;=$B$3,'Invoice Log'!$AR76&gt;=Settings!$J$10,'Invoice Log'!$J76&lt;&gt;"Cancelled"),"Yes","No"))</f>
        <v>No</v>
      </c>
    </row>
    <row r="99" ht="15.75" customHeight="1">
      <c r="A99" s="125" t="str">
        <f>IF('Invoice Log'!$AS77="","",TEXT('Invoice Log'!$AS77,"YYYY-MM"))</f>
        <v>2026-05</v>
      </c>
      <c r="B99" s="45">
        <f>IF('Invoice Log'!$AR77="","",'Invoice Log'!$AR77)</f>
        <v>46154</v>
      </c>
      <c r="C99" s="63">
        <f>IF('Invoice Log'!$D77="","",'Invoice Log'!$D77)</f>
        <v>22004272</v>
      </c>
      <c r="D99" s="126" t="str">
        <f>IF('Invoice Log'!$L77="","",'Invoice Log'!$E77)</f>
        <v>Cognizant</v>
      </c>
      <c r="E99" s="126" t="str">
        <f>IF('Invoice Log'!$L77="","",'Invoice Log'!$J77)</f>
        <v>Complete</v>
      </c>
      <c r="F99" s="125" t="str">
        <f>IF('Invoice Log'!$L77="","",'Invoice Log'!$Q77)</f>
        <v>No</v>
      </c>
      <c r="G99" s="65" t="str">
        <f>IF($M99="Yes",'Invoice Log'!$L77,"")</f>
        <v/>
      </c>
      <c r="H99" s="65" t="str">
        <f>IF($M99="Yes",'Invoice Log'!$S77,"")</f>
        <v/>
      </c>
      <c r="I99" s="65" t="str">
        <f>IF($M99="Yes",'Invoice Log'!$AI77,"")</f>
        <v/>
      </c>
      <c r="J99" s="127" t="str">
        <f>IF($M99="Yes",'Invoice Log'!$AO77,"")</f>
        <v/>
      </c>
      <c r="K99" s="129" t="str">
        <f>IF($M99="Yes",'Invoice Log'!$AP77,"")</f>
        <v/>
      </c>
      <c r="L99" s="65" t="str">
        <f>IF($M99="Yes",ROUND('Invoice Log'!$AP77*Settings!$J$8,2),"")</f>
        <v/>
      </c>
      <c r="M99" s="125" t="str">
        <f>IF(OR('Invoice Log'!$L77="",'Invoice Log'!$AS77=""),"",IF(AND('Invoice Log'!$AR77&lt;=$B$3,'Invoice Log'!$AR77&gt;=Settings!$J$10,'Invoice Log'!$J77&lt;&gt;"Cancelled"),"Yes","No"))</f>
        <v>No</v>
      </c>
    </row>
    <row r="100" ht="15.75" customHeight="1">
      <c r="A100" s="125" t="str">
        <f>IF('Invoice Log'!$AS78="","",TEXT('Invoice Log'!$AS78,"YYYY-MM"))</f>
        <v/>
      </c>
      <c r="B100" s="45" t="str">
        <f>IF('Invoice Log'!$AR78="","",'Invoice Log'!$AR78)</f>
        <v/>
      </c>
      <c r="C100" s="63">
        <f>IF('Invoice Log'!$D78="","",'Invoice Log'!$D78)</f>
        <v>22004273</v>
      </c>
      <c r="D100" s="126" t="str">
        <f>IF('Invoice Log'!$L78="","",'Invoice Log'!$E78)</f>
        <v>Orbit Design Studio Ltd</v>
      </c>
      <c r="E100" s="126" t="str">
        <f>IF('Invoice Log'!$L78="","",'Invoice Log'!$J78)</f>
        <v>Complete</v>
      </c>
      <c r="F100" s="125" t="str">
        <f>IF('Invoice Log'!$L78="","",'Invoice Log'!$Q78)</f>
        <v>Yes</v>
      </c>
      <c r="G100" s="65" t="str">
        <f>IF($M100="Yes",'Invoice Log'!$L78,"")</f>
        <v/>
      </c>
      <c r="H100" s="65" t="str">
        <f>IF($M100="Yes",'Invoice Log'!$S78,"")</f>
        <v/>
      </c>
      <c r="I100" s="65" t="str">
        <f>IF($M100="Yes",'Invoice Log'!$AI78,"")</f>
        <v/>
      </c>
      <c r="J100" s="127" t="str">
        <f>IF($M100="Yes",'Invoice Log'!$AO78,"")</f>
        <v/>
      </c>
      <c r="K100" s="129" t="str">
        <f>IF($M100="Yes",'Invoice Log'!$AP78,"")</f>
        <v/>
      </c>
      <c r="L100" s="65" t="str">
        <f>IF($M100="Yes",ROUND('Invoice Log'!$AP78*Settings!$J$8,2),"")</f>
        <v/>
      </c>
      <c r="M100" s="125" t="str">
        <f>IF(OR('Invoice Log'!$L78="",'Invoice Log'!$AS78=""),"",IF(AND('Invoice Log'!$AR78&lt;=$B$3,'Invoice Log'!$AR78&gt;=Settings!$J$10,'Invoice Log'!$J78&lt;&gt;"Cancelled"),"Yes","No"))</f>
        <v/>
      </c>
    </row>
    <row r="101" ht="15.75" customHeight="1">
      <c r="A101" s="125" t="str">
        <f>IF('Invoice Log'!$AS79="","",TEXT('Invoice Log'!$AS79,"YYYY-MM"))</f>
        <v>2025-05</v>
      </c>
      <c r="B101" s="45">
        <f>IF('Invoice Log'!$AR79="","",'Invoice Log'!$AR79)</f>
        <v>45798</v>
      </c>
      <c r="C101" s="63">
        <f>IF('Invoice Log'!$D79="","",'Invoice Log'!$D79)</f>
        <v>22004274</v>
      </c>
      <c r="D101" s="126" t="str">
        <f>IF('Invoice Log'!$L79="","",'Invoice Log'!$E79)</f>
        <v>Tabayer</v>
      </c>
      <c r="E101" s="126" t="str">
        <f>IF('Invoice Log'!$L79="","",'Invoice Log'!$J79)</f>
        <v>Complete</v>
      </c>
      <c r="F101" s="125" t="str">
        <f>IF('Invoice Log'!$L79="","",'Invoice Log'!$Q79)</f>
        <v>Yes</v>
      </c>
      <c r="G101" s="65" t="str">
        <f>IF($M101="Yes",'Invoice Log'!$L79,"")</f>
        <v/>
      </c>
      <c r="H101" s="65" t="str">
        <f>IF($M101="Yes",'Invoice Log'!$S79,"")</f>
        <v/>
      </c>
      <c r="I101" s="65" t="str">
        <f>IF($M101="Yes",'Invoice Log'!$AI79,"")</f>
        <v/>
      </c>
      <c r="J101" s="127" t="str">
        <f>IF($M101="Yes",'Invoice Log'!$AO79,"")</f>
        <v/>
      </c>
      <c r="K101" s="129" t="str">
        <f>IF($M101="Yes",'Invoice Log'!$AP79,"")</f>
        <v/>
      </c>
      <c r="L101" s="65" t="str">
        <f>IF($M101="Yes",ROUND('Invoice Log'!$AP79*Settings!$J$8,2),"")</f>
        <v/>
      </c>
      <c r="M101" s="125" t="str">
        <f>IF(OR('Invoice Log'!$L79="",'Invoice Log'!$AS79=""),"",IF(AND('Invoice Log'!$AR79&lt;=$B$3,'Invoice Log'!$AR79&gt;=Settings!$J$10,'Invoice Log'!$J79&lt;&gt;"Cancelled"),"Yes","No"))</f>
        <v>No</v>
      </c>
    </row>
    <row r="102" ht="15.75" customHeight="1">
      <c r="A102" s="125" t="str">
        <f>IF('Invoice Log'!$AS80="","",TEXT('Invoice Log'!$AS80,"YYYY-MM"))</f>
        <v>2026-07</v>
      </c>
      <c r="B102" s="45">
        <f>IF('Invoice Log'!$AR80="","",'Invoice Log'!$AR80)</f>
        <v>46211</v>
      </c>
      <c r="C102" s="63">
        <f>IF('Invoice Log'!$D80="","",'Invoice Log'!$D80)</f>
        <v>22004275</v>
      </c>
      <c r="D102" s="126" t="str">
        <f>IF('Invoice Log'!$L80="","",'Invoice Log'!$E80)</f>
        <v>Mewburn Ellis</v>
      </c>
      <c r="E102" s="126" t="str">
        <f>IF('Invoice Log'!$L80="","",'Invoice Log'!$J80)</f>
        <v>Complete</v>
      </c>
      <c r="F102" s="125" t="str">
        <f>IF('Invoice Log'!$L80="","",'Invoice Log'!$Q80)</f>
        <v>Yes</v>
      </c>
      <c r="G102" s="65" t="str">
        <f>IF($M102="Yes",'Invoice Log'!$L80,"")</f>
        <v/>
      </c>
      <c r="H102" s="65" t="str">
        <f>IF($M102="Yes",'Invoice Log'!$S80,"")</f>
        <v/>
      </c>
      <c r="I102" s="65" t="str">
        <f>IF($M102="Yes",'Invoice Log'!$AI80,"")</f>
        <v/>
      </c>
      <c r="J102" s="127" t="str">
        <f>IF($M102="Yes",'Invoice Log'!$AO80,"")</f>
        <v/>
      </c>
      <c r="K102" s="129" t="str">
        <f>IF($M102="Yes",'Invoice Log'!$AP80,"")</f>
        <v/>
      </c>
      <c r="L102" s="65" t="str">
        <f>IF($M102="Yes",ROUND('Invoice Log'!$AP80*Settings!$J$8,2),"")</f>
        <v/>
      </c>
      <c r="M102" s="125" t="str">
        <f>IF(OR('Invoice Log'!$L80="",'Invoice Log'!$AS80=""),"",IF(AND('Invoice Log'!$AR80&lt;=$B$3,'Invoice Log'!$AR80&gt;=Settings!$J$10,'Invoice Log'!$J80&lt;&gt;"Cancelled"),"Yes","No"))</f>
        <v>No</v>
      </c>
    </row>
    <row r="103" ht="15.75" customHeight="1">
      <c r="A103" s="125" t="str">
        <f>IF('Invoice Log'!$AS81="","",TEXT('Invoice Log'!$AS81,"YYYY-MM"))</f>
        <v>2026-07</v>
      </c>
      <c r="B103" s="45">
        <f>IF('Invoice Log'!$AR81="","",'Invoice Log'!$AR81)</f>
        <v>46221</v>
      </c>
      <c r="C103" s="63">
        <f>IF('Invoice Log'!$D81="","",'Invoice Log'!$D81)</f>
        <v>22004276</v>
      </c>
      <c r="D103" s="126" t="str">
        <f>IF('Invoice Log'!$L81="","",'Invoice Log'!$E81)</f>
        <v>David &amp; Nigel</v>
      </c>
      <c r="E103" s="126" t="str">
        <f>IF('Invoice Log'!$L81="","",'Invoice Log'!$J81)</f>
        <v>Complete</v>
      </c>
      <c r="F103" s="125" t="str">
        <f>IF('Invoice Log'!$L81="","",'Invoice Log'!$Q81)</f>
        <v>Yes</v>
      </c>
      <c r="G103" s="65" t="str">
        <f>IF($M103="Yes",'Invoice Log'!$L81,"")</f>
        <v/>
      </c>
      <c r="H103" s="65" t="str">
        <f>IF($M103="Yes",'Invoice Log'!$S81,"")</f>
        <v/>
      </c>
      <c r="I103" s="65" t="str">
        <f>IF($M103="Yes",'Invoice Log'!$AI81,"")</f>
        <v/>
      </c>
      <c r="J103" s="127" t="str">
        <f>IF($M103="Yes",'Invoice Log'!$AO81,"")</f>
        <v/>
      </c>
      <c r="K103" s="129" t="str">
        <f>IF($M103="Yes",'Invoice Log'!$AP81,"")</f>
        <v/>
      </c>
      <c r="L103" s="65" t="str">
        <f>IF($M103="Yes",ROUND('Invoice Log'!$AP81*Settings!$J$8,2),"")</f>
        <v/>
      </c>
      <c r="M103" s="125" t="str">
        <f>IF(OR('Invoice Log'!$L81="",'Invoice Log'!$AS81=""),"",IF(AND('Invoice Log'!$AR81&lt;=$B$3,'Invoice Log'!$AR81&gt;=Settings!$J$10,'Invoice Log'!$J81&lt;&gt;"Cancelled"),"Yes","No"))</f>
        <v>No</v>
      </c>
    </row>
    <row r="104" ht="15.75" customHeight="1">
      <c r="A104" s="125" t="str">
        <f>IF('Invoice Log'!$AS82="","",TEXT('Invoice Log'!$AS82,"YYYY-MM"))</f>
        <v>2026-06</v>
      </c>
      <c r="B104" s="45">
        <f>IF('Invoice Log'!$AR82="","",'Invoice Log'!$AR82)</f>
        <v>46191</v>
      </c>
      <c r="C104" s="63">
        <f>IF('Invoice Log'!$D82="","",'Invoice Log'!$D82)</f>
        <v>22004277</v>
      </c>
      <c r="D104" s="126" t="str">
        <f>IF('Invoice Log'!$L82="","",'Invoice Log'!$E82)</f>
        <v>Helaba Landesbank Hessen-Thüringen</v>
      </c>
      <c r="E104" s="126" t="str">
        <f>IF('Invoice Log'!$L82="","",'Invoice Log'!$J82)</f>
        <v>Complete</v>
      </c>
      <c r="F104" s="125" t="str">
        <f>IF('Invoice Log'!$L82="","",'Invoice Log'!$Q82)</f>
        <v>Yes</v>
      </c>
      <c r="G104" s="65" t="str">
        <f>IF($M104="Yes",'Invoice Log'!$L82,"")</f>
        <v/>
      </c>
      <c r="H104" s="65" t="str">
        <f>IF($M104="Yes",'Invoice Log'!$S82,"")</f>
        <v/>
      </c>
      <c r="I104" s="65" t="str">
        <f>IF($M104="Yes",'Invoice Log'!$AI82,"")</f>
        <v/>
      </c>
      <c r="J104" s="127" t="str">
        <f>IF($M104="Yes",'Invoice Log'!$AO82,"")</f>
        <v/>
      </c>
      <c r="K104" s="129" t="str">
        <f>IF($M104="Yes",'Invoice Log'!$AP82,"")</f>
        <v/>
      </c>
      <c r="L104" s="65" t="str">
        <f>IF($M104="Yes",ROUND('Invoice Log'!$AP82*Settings!$J$8,2),"")</f>
        <v/>
      </c>
      <c r="M104" s="125" t="str">
        <f>IF(OR('Invoice Log'!$L82="",'Invoice Log'!$AS82=""),"",IF(AND('Invoice Log'!$AR82&lt;=$B$3,'Invoice Log'!$AR82&gt;=Settings!$J$10,'Invoice Log'!$J82&lt;&gt;"Cancelled"),"Yes","No"))</f>
        <v>No</v>
      </c>
    </row>
    <row r="105" ht="15.75" customHeight="1">
      <c r="A105" s="125" t="str">
        <f>IF('Invoice Log'!$AS83="","",TEXT('Invoice Log'!$AS83,"YYYY-MM"))</f>
        <v>2026-07</v>
      </c>
      <c r="B105" s="45">
        <f>IF('Invoice Log'!$AR83="","",'Invoice Log'!$AR83)</f>
        <v>46205</v>
      </c>
      <c r="C105" s="63">
        <f>IF('Invoice Log'!$D83="","",'Invoice Log'!$D83)</f>
        <v>22004278</v>
      </c>
      <c r="D105" s="126" t="str">
        <f>IF('Invoice Log'!$L83="","",'Invoice Log'!$E83)</f>
        <v>WSGR</v>
      </c>
      <c r="E105" s="126" t="str">
        <f>IF('Invoice Log'!$L83="","",'Invoice Log'!$J83)</f>
        <v>Complete</v>
      </c>
      <c r="F105" s="125" t="str">
        <f>IF('Invoice Log'!$L83="","",'Invoice Log'!$Q83)</f>
        <v>Yes</v>
      </c>
      <c r="G105" s="65" t="str">
        <f>IF($M105="Yes",'Invoice Log'!$L83,"")</f>
        <v/>
      </c>
      <c r="H105" s="65" t="str">
        <f>IF($M105="Yes",'Invoice Log'!$S83,"")</f>
        <v/>
      </c>
      <c r="I105" s="65" t="str">
        <f>IF($M105="Yes",'Invoice Log'!$AI83,"")</f>
        <v/>
      </c>
      <c r="J105" s="127" t="str">
        <f>IF($M105="Yes",'Invoice Log'!$AO83,"")</f>
        <v/>
      </c>
      <c r="K105" s="129" t="str">
        <f>IF($M105="Yes",'Invoice Log'!$AP83,"")</f>
        <v/>
      </c>
      <c r="L105" s="65" t="str">
        <f>IF($M105="Yes",ROUND('Invoice Log'!$AP83*Settings!$J$8,2),"")</f>
        <v/>
      </c>
      <c r="M105" s="125" t="str">
        <f>IF(OR('Invoice Log'!$L83="",'Invoice Log'!$AS83=""),"",IF(AND('Invoice Log'!$AR83&lt;=$B$3,'Invoice Log'!$AR83&gt;=Settings!$J$10,'Invoice Log'!$J83&lt;&gt;"Cancelled"),"Yes","No"))</f>
        <v>No</v>
      </c>
    </row>
    <row r="106" ht="15.75" customHeight="1">
      <c r="A106" s="125" t="str">
        <f>IF('Invoice Log'!$AS84="","",TEXT('Invoice Log'!$AS84,"YYYY-MM"))</f>
        <v>2026-06</v>
      </c>
      <c r="B106" s="45">
        <f>IF('Invoice Log'!$AR84="","",'Invoice Log'!$AR84)</f>
        <v>46177</v>
      </c>
      <c r="C106" s="63">
        <f>IF('Invoice Log'!$D84="","",'Invoice Log'!$D84)</f>
        <v>22004279</v>
      </c>
      <c r="D106" s="126" t="str">
        <f>IF('Invoice Log'!$L84="","",'Invoice Log'!$E84)</f>
        <v>TGB</v>
      </c>
      <c r="E106" s="126" t="str">
        <f>IF('Invoice Log'!$L84="","",'Invoice Log'!$J84)</f>
        <v>Complete</v>
      </c>
      <c r="F106" s="125" t="str">
        <f>IF('Invoice Log'!$L84="","",'Invoice Log'!$Q84)</f>
        <v>Yes</v>
      </c>
      <c r="G106" s="65" t="str">
        <f>IF($M106="Yes",'Invoice Log'!$L84,"")</f>
        <v/>
      </c>
      <c r="H106" s="65" t="str">
        <f>IF($M106="Yes",'Invoice Log'!$S84,"")</f>
        <v/>
      </c>
      <c r="I106" s="65" t="str">
        <f>IF($M106="Yes",'Invoice Log'!$AI84,"")</f>
        <v/>
      </c>
      <c r="J106" s="127" t="str">
        <f>IF($M106="Yes",'Invoice Log'!$AO84,"")</f>
        <v/>
      </c>
      <c r="K106" s="129" t="str">
        <f>IF($M106="Yes",'Invoice Log'!$AP84,"")</f>
        <v/>
      </c>
      <c r="L106" s="65" t="str">
        <f>IF($M106="Yes",ROUND('Invoice Log'!$AP84*Settings!$J$8,2),"")</f>
        <v/>
      </c>
      <c r="M106" s="125" t="str">
        <f>IF(OR('Invoice Log'!$L84="",'Invoice Log'!$AS84=""),"",IF(AND('Invoice Log'!$AR84&lt;=$B$3,'Invoice Log'!$AR84&gt;=Settings!$J$10,'Invoice Log'!$J84&lt;&gt;"Cancelled"),"Yes","No"))</f>
        <v>No</v>
      </c>
    </row>
    <row r="107" ht="15.75" customHeight="1">
      <c r="A107" s="125" t="str">
        <f>IF('Invoice Log'!$AS85="","",TEXT('Invoice Log'!$AS85,"YYYY-MM"))</f>
        <v>2026-06</v>
      </c>
      <c r="B107" s="45">
        <f>IF('Invoice Log'!$AR85="","",'Invoice Log'!$AR85)</f>
        <v>46182</v>
      </c>
      <c r="C107" s="63">
        <f>IF('Invoice Log'!$D85="","",'Invoice Log'!$D85)</f>
        <v>22004280</v>
      </c>
      <c r="D107" s="126" t="str">
        <f>IF('Invoice Log'!$L85="","",'Invoice Log'!$E85)</f>
        <v>MaryWard House</v>
      </c>
      <c r="E107" s="126" t="str">
        <f>IF('Invoice Log'!$L85="","",'Invoice Log'!$J85)</f>
        <v>Complete</v>
      </c>
      <c r="F107" s="125" t="str">
        <f>IF('Invoice Log'!$L85="","",'Invoice Log'!$Q85)</f>
        <v>No</v>
      </c>
      <c r="G107" s="65" t="str">
        <f>IF($M107="Yes",'Invoice Log'!$L85,"")</f>
        <v/>
      </c>
      <c r="H107" s="65" t="str">
        <f>IF($M107="Yes",'Invoice Log'!$S85,"")</f>
        <v/>
      </c>
      <c r="I107" s="65" t="str">
        <f>IF($M107="Yes",'Invoice Log'!$AI85,"")</f>
        <v/>
      </c>
      <c r="J107" s="127" t="str">
        <f>IF($M107="Yes",'Invoice Log'!$AO85,"")</f>
        <v/>
      </c>
      <c r="K107" s="129" t="str">
        <f>IF($M107="Yes",'Invoice Log'!$AP85,"")</f>
        <v/>
      </c>
      <c r="L107" s="65" t="str">
        <f>IF($M107="Yes",ROUND('Invoice Log'!$AP85*Settings!$J$8,2),"")</f>
        <v/>
      </c>
      <c r="M107" s="125" t="str">
        <f>IF(OR('Invoice Log'!$L85="",'Invoice Log'!$AS85=""),"",IF(AND('Invoice Log'!$AR85&lt;=$B$3,'Invoice Log'!$AR85&gt;=Settings!$J$10,'Invoice Log'!$J85&lt;&gt;"Cancelled"),"Yes","No"))</f>
        <v>No</v>
      </c>
    </row>
    <row r="108" ht="15.75" customHeight="1">
      <c r="A108" s="125" t="str">
        <f>IF('Invoice Log'!$AS86="","",TEXT('Invoice Log'!$AS86,"YYYY-MM"))</f>
        <v/>
      </c>
      <c r="B108" s="45" t="str">
        <f>IF('Invoice Log'!$AR86="","",'Invoice Log'!$AR86)</f>
        <v/>
      </c>
      <c r="C108" s="63">
        <f>IF('Invoice Log'!$D86="","",'Invoice Log'!$D86)</f>
        <v>22004281</v>
      </c>
      <c r="D108" s="126" t="str">
        <f>IF('Invoice Log'!$L86="","",'Invoice Log'!$E86)</f>
        <v>House of Decant - June</v>
      </c>
      <c r="E108" s="126" t="str">
        <f>IF('Invoice Log'!$L86="","",'Invoice Log'!$J86)</f>
        <v>Complete</v>
      </c>
      <c r="F108" s="125" t="str">
        <f>IF('Invoice Log'!$L86="","",'Invoice Log'!$Q86)</f>
        <v>No</v>
      </c>
      <c r="G108" s="65" t="str">
        <f>IF($M108="Yes",'Invoice Log'!$L86,"")</f>
        <v/>
      </c>
      <c r="H108" s="65" t="str">
        <f>IF($M108="Yes",'Invoice Log'!$S86,"")</f>
        <v/>
      </c>
      <c r="I108" s="65" t="str">
        <f>IF($M108="Yes",'Invoice Log'!$AI86,"")</f>
        <v/>
      </c>
      <c r="J108" s="127" t="str">
        <f>IF($M108="Yes",'Invoice Log'!$AO86,"")</f>
        <v/>
      </c>
      <c r="K108" s="129" t="str">
        <f>IF($M108="Yes",'Invoice Log'!$AP86,"")</f>
        <v/>
      </c>
      <c r="L108" s="65" t="str">
        <f>IF($M108="Yes",ROUND('Invoice Log'!$AP86*Settings!$J$8,2),"")</f>
        <v/>
      </c>
      <c r="M108" s="125" t="str">
        <f>IF(OR('Invoice Log'!$L86="",'Invoice Log'!$AS86=""),"",IF(AND('Invoice Log'!$AR86&lt;=$B$3,'Invoice Log'!$AR86&gt;=Settings!$J$10,'Invoice Log'!$J86&lt;&gt;"Cancelled"),"Yes","No"))</f>
        <v/>
      </c>
    </row>
    <row r="109" ht="15.75" customHeight="1">
      <c r="A109" s="125" t="str">
        <f>IF('Invoice Log'!$AS87="","",TEXT('Invoice Log'!$AS87,"YYYY-MM"))</f>
        <v>2026-06</v>
      </c>
      <c r="B109" s="45">
        <f>IF('Invoice Log'!$AR87="","",'Invoice Log'!$AR87)</f>
        <v>46184</v>
      </c>
      <c r="C109" s="63">
        <f>IF('Invoice Log'!$D87="","",'Invoice Log'!$D87)</f>
        <v>22004282</v>
      </c>
      <c r="D109" s="126" t="str">
        <f>IF('Invoice Log'!$L87="","",'Invoice Log'!$E87)</f>
        <v>Peter Pearson</v>
      </c>
      <c r="E109" s="126" t="str">
        <f>IF('Invoice Log'!$L87="","",'Invoice Log'!$J87)</f>
        <v>Complete</v>
      </c>
      <c r="F109" s="125" t="str">
        <f>IF('Invoice Log'!$L87="","",'Invoice Log'!$Q87)</f>
        <v>Yes</v>
      </c>
      <c r="G109" s="65" t="str">
        <f>IF($M109="Yes",'Invoice Log'!$L87,"")</f>
        <v/>
      </c>
      <c r="H109" s="65" t="str">
        <f>IF($M109="Yes",'Invoice Log'!$S87,"")</f>
        <v/>
      </c>
      <c r="I109" s="65" t="str">
        <f>IF($M109="Yes",'Invoice Log'!$AI87,"")</f>
        <v/>
      </c>
      <c r="J109" s="127" t="str">
        <f>IF($M109="Yes",'Invoice Log'!$AO87,"")</f>
        <v/>
      </c>
      <c r="K109" s="129" t="str">
        <f>IF($M109="Yes",'Invoice Log'!$AP87,"")</f>
        <v/>
      </c>
      <c r="L109" s="65" t="str">
        <f>IF($M109="Yes",ROUND('Invoice Log'!$AP87*Settings!$J$8,2),"")</f>
        <v/>
      </c>
      <c r="M109" s="125" t="str">
        <f>IF(OR('Invoice Log'!$L87="",'Invoice Log'!$AS87=""),"",IF(AND('Invoice Log'!$AR87&lt;=$B$3,'Invoice Log'!$AR87&gt;=Settings!$J$10,'Invoice Log'!$J87&lt;&gt;"Cancelled"),"Yes","No"))</f>
        <v>No</v>
      </c>
    </row>
    <row r="110" ht="15.75" customHeight="1">
      <c r="A110" s="125" t="str">
        <f>IF('Invoice Log'!$AS88="","",TEXT('Invoice Log'!$AS88,"YYYY-MM"))</f>
        <v/>
      </c>
      <c r="B110" s="45" t="str">
        <f>IF('Invoice Log'!$AR88="","",'Invoice Log'!$AR88)</f>
        <v/>
      </c>
      <c r="C110" s="63">
        <f>IF('Invoice Log'!$D88="","",'Invoice Log'!$D88)</f>
        <v>22004283</v>
      </c>
      <c r="D110" s="126" t="str">
        <f>IF('Invoice Log'!$L88="","",'Invoice Log'!$E88)</f>
        <v/>
      </c>
      <c r="E110" s="126" t="str">
        <f>IF('Invoice Log'!$L88="","",'Invoice Log'!$J88)</f>
        <v/>
      </c>
      <c r="F110" s="125" t="str">
        <f>IF('Invoice Log'!$L88="","",'Invoice Log'!$Q88)</f>
        <v/>
      </c>
      <c r="G110" s="65" t="str">
        <f>IF($M110="Yes",'Invoice Log'!$L88,"")</f>
        <v/>
      </c>
      <c r="H110" s="65" t="str">
        <f>IF($M110="Yes",'Invoice Log'!$S88,"")</f>
        <v/>
      </c>
      <c r="I110" s="65" t="str">
        <f>IF($M110="Yes",'Invoice Log'!$AI88,"")</f>
        <v/>
      </c>
      <c r="J110" s="127" t="str">
        <f>IF($M110="Yes",'Invoice Log'!$AO88,"")</f>
        <v/>
      </c>
      <c r="K110" s="129" t="str">
        <f>IF($M110="Yes",'Invoice Log'!$AP88,"")</f>
        <v/>
      </c>
      <c r="L110" s="65" t="str">
        <f>IF($M110="Yes",ROUND('Invoice Log'!$AP88*Settings!$J$8,2),"")</f>
        <v/>
      </c>
      <c r="M110" s="125" t="str">
        <f>IF(OR('Invoice Log'!$L88="",'Invoice Log'!$AS88=""),"",IF(AND('Invoice Log'!$AR88&lt;=$B$3,'Invoice Log'!$AR88&gt;=Settings!$J$10,'Invoice Log'!$J88&lt;&gt;"Cancelled"),"Yes","No"))</f>
        <v/>
      </c>
    </row>
    <row r="111" ht="15.75" customHeight="1">
      <c r="A111" s="125" t="str">
        <f>IF('Invoice Log'!$AS89="","",TEXT('Invoice Log'!$AS89,"YYYY-MM"))</f>
        <v>2026-06</v>
      </c>
      <c r="B111" s="45">
        <f>IF('Invoice Log'!$AR89="","",'Invoice Log'!$AR89)</f>
        <v>46189</v>
      </c>
      <c r="C111" s="63">
        <f>IF('Invoice Log'!$D89="","",'Invoice Log'!$D89)</f>
        <v>22004284</v>
      </c>
      <c r="D111" s="126" t="str">
        <f>IF('Invoice Log'!$L89="","",'Invoice Log'!$E89)</f>
        <v>Small Business Britain</v>
      </c>
      <c r="E111" s="126" t="str">
        <f>IF('Invoice Log'!$L89="","",'Invoice Log'!$J89)</f>
        <v>Complete</v>
      </c>
      <c r="F111" s="125" t="str">
        <f>IF('Invoice Log'!$L89="","",'Invoice Log'!$Q89)</f>
        <v>Yes</v>
      </c>
      <c r="G111" s="65" t="str">
        <f>IF($M111="Yes",'Invoice Log'!$L89,"")</f>
        <v/>
      </c>
      <c r="H111" s="65" t="str">
        <f>IF($M111="Yes",'Invoice Log'!$S89,"")</f>
        <v/>
      </c>
      <c r="I111" s="65" t="str">
        <f>IF($M111="Yes",'Invoice Log'!$AI89,"")</f>
        <v/>
      </c>
      <c r="J111" s="127" t="str">
        <f>IF($M111="Yes",'Invoice Log'!$AO89,"")</f>
        <v/>
      </c>
      <c r="K111" s="129" t="str">
        <f>IF($M111="Yes",'Invoice Log'!$AP89,"")</f>
        <v/>
      </c>
      <c r="L111" s="65" t="str">
        <f>IF($M111="Yes",ROUND('Invoice Log'!$AP89*Settings!$J$8,2),"")</f>
        <v/>
      </c>
      <c r="M111" s="125" t="str">
        <f>IF(OR('Invoice Log'!$L89="",'Invoice Log'!$AS89=""),"",IF(AND('Invoice Log'!$AR89&lt;=$B$3,'Invoice Log'!$AR89&gt;=Settings!$J$10,'Invoice Log'!$J89&lt;&gt;"Cancelled"),"Yes","No"))</f>
        <v>No</v>
      </c>
    </row>
    <row r="112" ht="15.75" customHeight="1">
      <c r="A112" s="125" t="str">
        <f>IF('Invoice Log'!$AS90="","",TEXT('Invoice Log'!$AS90,"YYYY-MM"))</f>
        <v>2026-06</v>
      </c>
      <c r="B112" s="45">
        <f>IF('Invoice Log'!$AR90="","",'Invoice Log'!$AR90)</f>
        <v>46191</v>
      </c>
      <c r="C112" s="63">
        <f>IF('Invoice Log'!$D90="","",'Invoice Log'!$D90)</f>
        <v>22004285</v>
      </c>
      <c r="D112" s="126" t="str">
        <f>IF('Invoice Log'!$L90="","",'Invoice Log'!$E90)</f>
        <v>Trading Technology</v>
      </c>
      <c r="E112" s="126" t="str">
        <f>IF('Invoice Log'!$L90="","",'Invoice Log'!$J90)</f>
        <v>Complete</v>
      </c>
      <c r="F112" s="125" t="str">
        <f>IF('Invoice Log'!$L90="","",'Invoice Log'!$Q90)</f>
        <v>Yes</v>
      </c>
      <c r="G112" s="65" t="str">
        <f>IF($M112="Yes",'Invoice Log'!$L90,"")</f>
        <v/>
      </c>
      <c r="H112" s="65" t="str">
        <f>IF($M112="Yes",'Invoice Log'!$S90,"")</f>
        <v/>
      </c>
      <c r="I112" s="65" t="str">
        <f>IF($M112="Yes",'Invoice Log'!$AI90,"")</f>
        <v/>
      </c>
      <c r="J112" s="127" t="str">
        <f>IF($M112="Yes",'Invoice Log'!$AO90,"")</f>
        <v/>
      </c>
      <c r="K112" s="129" t="str">
        <f>IF($M112="Yes",'Invoice Log'!$AP90,"")</f>
        <v/>
      </c>
      <c r="L112" s="65" t="str">
        <f>IF($M112="Yes",ROUND('Invoice Log'!$AP90*Settings!$J$8,2),"")</f>
        <v/>
      </c>
      <c r="M112" s="125" t="str">
        <f>IF(OR('Invoice Log'!$L90="",'Invoice Log'!$AS90=""),"",IF(AND('Invoice Log'!$AR90&lt;=$B$3,'Invoice Log'!$AR90&gt;=Settings!$J$10,'Invoice Log'!$J90&lt;&gt;"Cancelled"),"Yes","No"))</f>
        <v>No</v>
      </c>
    </row>
    <row r="113" ht="15.75" customHeight="1">
      <c r="A113" s="125" t="str">
        <f>IF('Invoice Log'!$AS91="","",TEXT('Invoice Log'!$AS91,"YYYY-MM"))</f>
        <v>2026-06</v>
      </c>
      <c r="B113" s="45">
        <f>IF('Invoice Log'!$AR91="","",'Invoice Log'!$AR91)</f>
        <v>46192</v>
      </c>
      <c r="C113" s="63">
        <f>IF('Invoice Log'!$D91="","",'Invoice Log'!$D91)</f>
        <v>22004286</v>
      </c>
      <c r="D113" s="126" t="str">
        <f>IF('Invoice Log'!$L91="","",'Invoice Log'!$E91)</f>
        <v>Perenco Holdings</v>
      </c>
      <c r="E113" s="126" t="str">
        <f>IF('Invoice Log'!$L91="","",'Invoice Log'!$J91)</f>
        <v>Complete</v>
      </c>
      <c r="F113" s="125" t="str">
        <f>IF('Invoice Log'!$L91="","",'Invoice Log'!$Q91)</f>
        <v>No</v>
      </c>
      <c r="G113" s="65" t="str">
        <f>IF($M113="Yes",'Invoice Log'!$L91,"")</f>
        <v/>
      </c>
      <c r="H113" s="65" t="str">
        <f>IF($M113="Yes",'Invoice Log'!$S91,"")</f>
        <v/>
      </c>
      <c r="I113" s="65" t="str">
        <f>IF($M113="Yes",'Invoice Log'!$AI91,"")</f>
        <v/>
      </c>
      <c r="J113" s="127" t="str">
        <f>IF($M113="Yes",'Invoice Log'!$AO91,"")</f>
        <v/>
      </c>
      <c r="K113" s="129" t="str">
        <f>IF($M113="Yes",'Invoice Log'!$AP91,"")</f>
        <v/>
      </c>
      <c r="L113" s="65" t="str">
        <f>IF($M113="Yes",ROUND('Invoice Log'!$AP91*Settings!$J$8,2),"")</f>
        <v/>
      </c>
      <c r="M113" s="125" t="str">
        <f>IF(OR('Invoice Log'!$L91="",'Invoice Log'!$AS91=""),"",IF(AND('Invoice Log'!$AR91&lt;=$B$3,'Invoice Log'!$AR91&gt;=Settings!$J$10,'Invoice Log'!$J91&lt;&gt;"Cancelled"),"Yes","No"))</f>
        <v>No</v>
      </c>
    </row>
    <row r="114" ht="15.75" customHeight="1">
      <c r="A114" s="125" t="str">
        <f>IF('Invoice Log'!$AS92="","",TEXT('Invoice Log'!$AS92,"YYYY-MM"))</f>
        <v>2026-06</v>
      </c>
      <c r="B114" s="45">
        <f>IF('Invoice Log'!$AR92="","",'Invoice Log'!$AR92)</f>
        <v>46191</v>
      </c>
      <c r="C114" s="63">
        <f>IF('Invoice Log'!$D92="","",'Invoice Log'!$D92)</f>
        <v>22004287</v>
      </c>
      <c r="D114" s="126" t="str">
        <f>IF('Invoice Log'!$L92="","",'Invoice Log'!$E92)</f>
        <v>Perenco Holdings</v>
      </c>
      <c r="E114" s="126" t="str">
        <f>IF('Invoice Log'!$L92="","",'Invoice Log'!$J92)</f>
        <v>Complete</v>
      </c>
      <c r="F114" s="125" t="str">
        <f>IF('Invoice Log'!$L92="","",'Invoice Log'!$Q92)</f>
        <v>No</v>
      </c>
      <c r="G114" s="65" t="str">
        <f>IF($M114="Yes",'Invoice Log'!$L92,"")</f>
        <v/>
      </c>
      <c r="H114" s="65" t="str">
        <f>IF($M114="Yes",'Invoice Log'!$S92,"")</f>
        <v/>
      </c>
      <c r="I114" s="65" t="str">
        <f>IF($M114="Yes",'Invoice Log'!$AI92,"")</f>
        <v/>
      </c>
      <c r="J114" s="127" t="str">
        <f>IF($M114="Yes",'Invoice Log'!$AO92,"")</f>
        <v/>
      </c>
      <c r="K114" s="129" t="str">
        <f>IF($M114="Yes",'Invoice Log'!$AP92,"")</f>
        <v/>
      </c>
      <c r="L114" s="65" t="str">
        <f>IF($M114="Yes",ROUND('Invoice Log'!$AP92*Settings!$J$8,2),"")</f>
        <v/>
      </c>
      <c r="M114" s="125" t="str">
        <f>IF(OR('Invoice Log'!$L92="",'Invoice Log'!$AS92=""),"",IF(AND('Invoice Log'!$AR92&lt;=$B$3,'Invoice Log'!$AR92&gt;=Settings!$J$10,'Invoice Log'!$J92&lt;&gt;"Cancelled"),"Yes","No"))</f>
        <v>No</v>
      </c>
    </row>
    <row r="115" ht="15.75" customHeight="1">
      <c r="A115" s="125" t="str">
        <f>IF('Invoice Log'!$AS93="","",TEXT('Invoice Log'!$AS93,"YYYY-MM"))</f>
        <v>2026-06</v>
      </c>
      <c r="B115" s="45">
        <f>IF('Invoice Log'!$AR93="","",'Invoice Log'!$AR93)</f>
        <v>46196</v>
      </c>
      <c r="C115" s="63">
        <f>IF('Invoice Log'!$D93="","",'Invoice Log'!$D93)</f>
        <v>22004288</v>
      </c>
      <c r="D115" s="126" t="str">
        <f>IF('Invoice Log'!$L93="","",'Invoice Log'!$E93)</f>
        <v>High Commission of Canada</v>
      </c>
      <c r="E115" s="126" t="str">
        <f>IF('Invoice Log'!$L93="","",'Invoice Log'!$J93)</f>
        <v>Complete</v>
      </c>
      <c r="F115" s="125" t="str">
        <f>IF('Invoice Log'!$L93="","",'Invoice Log'!$Q93)</f>
        <v>Yes</v>
      </c>
      <c r="G115" s="65" t="str">
        <f>IF($M115="Yes",'Invoice Log'!$L93,"")</f>
        <v/>
      </c>
      <c r="H115" s="65" t="str">
        <f>IF($M115="Yes",'Invoice Log'!$S93,"")</f>
        <v/>
      </c>
      <c r="I115" s="65" t="str">
        <f>IF($M115="Yes",'Invoice Log'!$AI93,"")</f>
        <v/>
      </c>
      <c r="J115" s="127" t="str">
        <f>IF($M115="Yes",'Invoice Log'!$AO93,"")</f>
        <v/>
      </c>
      <c r="K115" s="129" t="str">
        <f>IF($M115="Yes",'Invoice Log'!$AP93,"")</f>
        <v/>
      </c>
      <c r="L115" s="65" t="str">
        <f>IF($M115="Yes",ROUND('Invoice Log'!$AP93*Settings!$J$8,2),"")</f>
        <v/>
      </c>
      <c r="M115" s="125" t="str">
        <f>IF(OR('Invoice Log'!$L93="",'Invoice Log'!$AS93=""),"",IF(AND('Invoice Log'!$AR93&lt;=$B$3,'Invoice Log'!$AR93&gt;=Settings!$J$10,'Invoice Log'!$J93&lt;&gt;"Cancelled"),"Yes","No"))</f>
        <v>No</v>
      </c>
    </row>
    <row r="116" ht="15.75" customHeight="1">
      <c r="A116" s="125" t="str">
        <f>IF('Invoice Log'!$AS94="","",TEXT('Invoice Log'!$AS94,"YYYY-MM"))</f>
        <v/>
      </c>
      <c r="B116" s="45" t="str">
        <f>IF('Invoice Log'!$AR94="","",'Invoice Log'!$AR94)</f>
        <v/>
      </c>
      <c r="C116" s="63">
        <f>IF('Invoice Log'!$D94="","",'Invoice Log'!$D94)</f>
        <v>22004289</v>
      </c>
      <c r="D116" s="126" t="str">
        <f>IF('Invoice Log'!$L94="","",'Invoice Log'!$E94)</f>
        <v>House of Decant</v>
      </c>
      <c r="E116" s="126" t="str">
        <f>IF('Invoice Log'!$L94="","",'Invoice Log'!$J94)</f>
        <v>Complete</v>
      </c>
      <c r="F116" s="125" t="str">
        <f>IF('Invoice Log'!$L94="","",'Invoice Log'!$Q94)</f>
        <v>No</v>
      </c>
      <c r="G116" s="65" t="str">
        <f>IF($M116="Yes",'Invoice Log'!$L94,"")</f>
        <v/>
      </c>
      <c r="H116" s="65" t="str">
        <f>IF($M116="Yes",'Invoice Log'!$S94,"")</f>
        <v/>
      </c>
      <c r="I116" s="65" t="str">
        <f>IF($M116="Yes",'Invoice Log'!$AI94,"")</f>
        <v/>
      </c>
      <c r="J116" s="127" t="str">
        <f>IF($M116="Yes",'Invoice Log'!$AO94,"")</f>
        <v/>
      </c>
      <c r="K116" s="129" t="str">
        <f>IF($M116="Yes",'Invoice Log'!$AP94,"")</f>
        <v/>
      </c>
      <c r="L116" s="65" t="str">
        <f>IF($M116="Yes",ROUND('Invoice Log'!$AP94*Settings!$J$8,2),"")</f>
        <v/>
      </c>
      <c r="M116" s="125" t="str">
        <f>IF(OR('Invoice Log'!$L94="",'Invoice Log'!$AS94=""),"",IF(AND('Invoice Log'!$AR94&lt;=$B$3,'Invoice Log'!$AR94&gt;=Settings!$J$10,'Invoice Log'!$J94&lt;&gt;"Cancelled"),"Yes","No"))</f>
        <v/>
      </c>
    </row>
    <row r="117" ht="15.75" customHeight="1">
      <c r="A117" s="125" t="str">
        <f>IF('Invoice Log'!$AS95="","",TEXT('Invoice Log'!$AS95,"YYYY-MM"))</f>
        <v>2026-06</v>
      </c>
      <c r="B117" s="45">
        <f>IF('Invoice Log'!$AR95="","",'Invoice Log'!$AR95)</f>
        <v>46191</v>
      </c>
      <c r="C117" s="63">
        <f>IF('Invoice Log'!$D95="","",'Invoice Log'!$D95)</f>
        <v>22004290</v>
      </c>
      <c r="D117" s="126" t="str">
        <f>IF('Invoice Log'!$L95="","",'Invoice Log'!$E95)</f>
        <v>Chew Events - Generator, Barista</v>
      </c>
      <c r="E117" s="126" t="str">
        <f>IF('Invoice Log'!$L95="","",'Invoice Log'!$J95)</f>
        <v>Complete</v>
      </c>
      <c r="F117" s="125" t="str">
        <f>IF('Invoice Log'!$L95="","",'Invoice Log'!$Q95)</f>
        <v>No</v>
      </c>
      <c r="G117" s="65" t="str">
        <f>IF($M117="Yes",'Invoice Log'!$L95,"")</f>
        <v/>
      </c>
      <c r="H117" s="65" t="str">
        <f>IF($M117="Yes",'Invoice Log'!$S95,"")</f>
        <v/>
      </c>
      <c r="I117" s="65" t="str">
        <f>IF($M117="Yes",'Invoice Log'!$AI95,"")</f>
        <v/>
      </c>
      <c r="J117" s="127" t="str">
        <f>IF($M117="Yes",'Invoice Log'!$AO95,"")</f>
        <v/>
      </c>
      <c r="K117" s="129" t="str">
        <f>IF($M117="Yes",'Invoice Log'!$AP95,"")</f>
        <v/>
      </c>
      <c r="L117" s="65" t="str">
        <f>IF($M117="Yes",ROUND('Invoice Log'!$AP95*Settings!$J$8,2),"")</f>
        <v/>
      </c>
      <c r="M117" s="125" t="str">
        <f>IF(OR('Invoice Log'!$L95="",'Invoice Log'!$AS95=""),"",IF(AND('Invoice Log'!$AR95&lt;=$B$3,'Invoice Log'!$AR95&gt;=Settings!$J$10,'Invoice Log'!$J95&lt;&gt;"Cancelled"),"Yes","No"))</f>
        <v>No</v>
      </c>
    </row>
    <row r="118" ht="15.75" customHeight="1">
      <c r="A118" s="125" t="str">
        <f>IF('Invoice Log'!$AS96="","",TEXT('Invoice Log'!$AS96,"YYYY-MM"))</f>
        <v>2026-06</v>
      </c>
      <c r="B118" s="45">
        <f>IF('Invoice Log'!$AR96="","",'Invoice Log'!$AR96)</f>
        <v>46191</v>
      </c>
      <c r="C118" s="63">
        <f>IF('Invoice Log'!$D96="","",'Invoice Log'!$D96)</f>
        <v>22004291</v>
      </c>
      <c r="D118" s="126" t="str">
        <f>IF('Invoice Log'!$L96="","",'Invoice Log'!$E96)</f>
        <v>Chew Events - Additional guests</v>
      </c>
      <c r="E118" s="126" t="str">
        <f>IF('Invoice Log'!$L96="","",'Invoice Log'!$J96)</f>
        <v>Complete</v>
      </c>
      <c r="F118" s="125" t="str">
        <f>IF('Invoice Log'!$L96="","",'Invoice Log'!$Q96)</f>
        <v>No</v>
      </c>
      <c r="G118" s="65" t="str">
        <f>IF($M118="Yes",'Invoice Log'!$L96,"")</f>
        <v/>
      </c>
      <c r="H118" s="65" t="str">
        <f>IF($M118="Yes",'Invoice Log'!$S96,"")</f>
        <v/>
      </c>
      <c r="I118" s="65" t="str">
        <f>IF($M118="Yes",'Invoice Log'!$AI96,"")</f>
        <v/>
      </c>
      <c r="J118" s="127" t="str">
        <f>IF($M118="Yes",'Invoice Log'!$AO96,"")</f>
        <v/>
      </c>
      <c r="K118" s="129" t="str">
        <f>IF($M118="Yes",'Invoice Log'!$AP96,"")</f>
        <v/>
      </c>
      <c r="L118" s="65" t="str">
        <f>IF($M118="Yes",ROUND('Invoice Log'!$AP96*Settings!$J$8,2),"")</f>
        <v/>
      </c>
      <c r="M118" s="125" t="str">
        <f>IF(OR('Invoice Log'!$L96="",'Invoice Log'!$AS96=""),"",IF(AND('Invoice Log'!$AR96&lt;=$B$3,'Invoice Log'!$AR96&gt;=Settings!$J$10,'Invoice Log'!$J96&lt;&gt;"Cancelled"),"Yes","No"))</f>
        <v>No</v>
      </c>
    </row>
    <row r="119" ht="15.75" customHeight="1">
      <c r="A119" s="125" t="str">
        <f>IF('Invoice Log'!$AS97="","",TEXT('Invoice Log'!$AS97,"YYYY-MM"))</f>
        <v>2026-07</v>
      </c>
      <c r="B119" s="45">
        <f>IF('Invoice Log'!$AR97="","",'Invoice Log'!$AR97)</f>
        <v>46212</v>
      </c>
      <c r="C119" s="63">
        <f>IF('Invoice Log'!$D97="","",'Invoice Log'!$D97)</f>
        <v>22004292</v>
      </c>
      <c r="D119" s="126" t="str">
        <f>IF('Invoice Log'!$L97="","",'Invoice Log'!$E97)</f>
        <v>Zenith Bank</v>
      </c>
      <c r="E119" s="126" t="str">
        <f>IF('Invoice Log'!$L97="","",'Invoice Log'!$J97)</f>
        <v>Complete</v>
      </c>
      <c r="F119" s="125" t="str">
        <f>IF('Invoice Log'!$L97="","",'Invoice Log'!$Q97)</f>
        <v>Yes</v>
      </c>
      <c r="G119" s="65" t="str">
        <f>IF($M119="Yes",'Invoice Log'!$L97,"")</f>
        <v/>
      </c>
      <c r="H119" s="65" t="str">
        <f>IF($M119="Yes",'Invoice Log'!$S97,"")</f>
        <v/>
      </c>
      <c r="I119" s="65" t="str">
        <f>IF($M119="Yes",'Invoice Log'!$AI97,"")</f>
        <v/>
      </c>
      <c r="J119" s="127" t="str">
        <f>IF($M119="Yes",'Invoice Log'!$AO97,"")</f>
        <v/>
      </c>
      <c r="K119" s="129" t="str">
        <f>IF($M119="Yes",'Invoice Log'!$AP97,"")</f>
        <v/>
      </c>
      <c r="L119" s="65" t="str">
        <f>IF($M119="Yes",ROUND('Invoice Log'!$AP97*Settings!$J$8,2),"")</f>
        <v/>
      </c>
      <c r="M119" s="125" t="str">
        <f>IF(OR('Invoice Log'!$L97="",'Invoice Log'!$AS97=""),"",IF(AND('Invoice Log'!$AR97&lt;=$B$3,'Invoice Log'!$AR97&gt;=Settings!$J$10,'Invoice Log'!$J97&lt;&gt;"Cancelled"),"Yes","No"))</f>
        <v>No</v>
      </c>
    </row>
    <row r="120" ht="15.75" customHeight="1">
      <c r="A120" s="125" t="str">
        <f>IF('Invoice Log'!$AS98="","",TEXT('Invoice Log'!$AS98,"YYYY-MM"))</f>
        <v>2026-07</v>
      </c>
      <c r="B120" s="45">
        <f>IF('Invoice Log'!$AR98="","",'Invoice Log'!$AR98)</f>
        <v>46213</v>
      </c>
      <c r="C120" s="63">
        <f>IF('Invoice Log'!$D98="","",'Invoice Log'!$D98)</f>
        <v>22004293</v>
      </c>
      <c r="D120" s="126" t="str">
        <f>IF('Invoice Log'!$L98="","",'Invoice Log'!$E98)</f>
        <v>Zenith Bank</v>
      </c>
      <c r="E120" s="126" t="str">
        <f>IF('Invoice Log'!$L98="","",'Invoice Log'!$J98)</f>
        <v>Complete</v>
      </c>
      <c r="F120" s="125" t="str">
        <f>IF('Invoice Log'!$L98="","",'Invoice Log'!$Q98)</f>
        <v>Yes</v>
      </c>
      <c r="G120" s="65" t="str">
        <f>IF($M120="Yes",'Invoice Log'!$L98,"")</f>
        <v/>
      </c>
      <c r="H120" s="65" t="str">
        <f>IF($M120="Yes",'Invoice Log'!$S98,"")</f>
        <v/>
      </c>
      <c r="I120" s="65" t="str">
        <f>IF($M120="Yes",'Invoice Log'!$AI98,"")</f>
        <v/>
      </c>
      <c r="J120" s="127" t="str">
        <f>IF($M120="Yes",'Invoice Log'!$AO98,"")</f>
        <v/>
      </c>
      <c r="K120" s="129" t="str">
        <f>IF($M120="Yes",'Invoice Log'!$AP98,"")</f>
        <v/>
      </c>
      <c r="L120" s="65" t="str">
        <f>IF($M120="Yes",ROUND('Invoice Log'!$AP98*Settings!$J$8,2),"")</f>
        <v/>
      </c>
      <c r="M120" s="125" t="str">
        <f>IF(OR('Invoice Log'!$L98="",'Invoice Log'!$AS98=""),"",IF(AND('Invoice Log'!$AR98&lt;=$B$3,'Invoice Log'!$AR98&gt;=Settings!$J$10,'Invoice Log'!$J98&lt;&gt;"Cancelled"),"Yes","No"))</f>
        <v>No</v>
      </c>
    </row>
    <row r="121" ht="15.75" customHeight="1">
      <c r="A121" s="125" t="str">
        <f>IF('Invoice Log'!$AS99="","",TEXT('Invoice Log'!$AS99,"YYYY-MM"))</f>
        <v>2026-07</v>
      </c>
      <c r="B121" s="45">
        <f>IF('Invoice Log'!$AR99="","",'Invoice Log'!$AR99)</f>
        <v>46217</v>
      </c>
      <c r="C121" s="63">
        <f>IF('Invoice Log'!$D99="","",'Invoice Log'!$D99)</f>
        <v>22004294</v>
      </c>
      <c r="D121" s="126" t="str">
        <f>IF('Invoice Log'!$L99="","",'Invoice Log'!$E99)</f>
        <v>Xero Day 1</v>
      </c>
      <c r="E121" s="126" t="str">
        <f>IF('Invoice Log'!$L99="","",'Invoice Log'!$J99)</f>
        <v>Complete</v>
      </c>
      <c r="F121" s="125" t="str">
        <f>IF('Invoice Log'!$L99="","",'Invoice Log'!$Q99)</f>
        <v>No</v>
      </c>
      <c r="G121" s="65" t="str">
        <f>IF($M121="Yes",'Invoice Log'!$L99,"")</f>
        <v/>
      </c>
      <c r="H121" s="65" t="str">
        <f>IF($M121="Yes",'Invoice Log'!$S99,"")</f>
        <v/>
      </c>
      <c r="I121" s="65" t="str">
        <f>IF($M121="Yes",'Invoice Log'!$AI99,"")</f>
        <v/>
      </c>
      <c r="J121" s="127" t="str">
        <f>IF($M121="Yes",'Invoice Log'!$AO99,"")</f>
        <v/>
      </c>
      <c r="K121" s="129" t="str">
        <f>IF($M121="Yes",'Invoice Log'!$AP99,"")</f>
        <v/>
      </c>
      <c r="L121" s="65" t="str">
        <f>IF($M121="Yes",ROUND('Invoice Log'!$AP99*Settings!$J$8,2),"")</f>
        <v/>
      </c>
      <c r="M121" s="125" t="str">
        <f>IF(OR('Invoice Log'!$L99="",'Invoice Log'!$AS99=""),"",IF(AND('Invoice Log'!$AR99&lt;=$B$3,'Invoice Log'!$AR99&gt;=Settings!$J$10,'Invoice Log'!$J99&lt;&gt;"Cancelled"),"Yes","No"))</f>
        <v>No</v>
      </c>
    </row>
    <row r="122" ht="15.75" customHeight="1">
      <c r="A122" s="125" t="str">
        <f>IF('Invoice Log'!$AS100="","",TEXT('Invoice Log'!$AS100,"YYYY-MM"))</f>
        <v>2026-07</v>
      </c>
      <c r="B122" s="45">
        <f>IF('Invoice Log'!$AR100="","",'Invoice Log'!$AR100)</f>
        <v>46218</v>
      </c>
      <c r="C122" s="63">
        <f>IF('Invoice Log'!$D100="","",'Invoice Log'!$D100)</f>
        <v>22004295</v>
      </c>
      <c r="D122" s="126" t="str">
        <f>IF('Invoice Log'!$L100="","",'Invoice Log'!$E100)</f>
        <v>Xero Day 2</v>
      </c>
      <c r="E122" s="126" t="str">
        <f>IF('Invoice Log'!$L100="","",'Invoice Log'!$J100)</f>
        <v>Complete</v>
      </c>
      <c r="F122" s="125" t="str">
        <f>IF('Invoice Log'!$L100="","",'Invoice Log'!$Q100)</f>
        <v>No</v>
      </c>
      <c r="G122" s="65" t="str">
        <f>IF($M122="Yes",'Invoice Log'!$L100,"")</f>
        <v/>
      </c>
      <c r="H122" s="65" t="str">
        <f>IF($M122="Yes",'Invoice Log'!$S100,"")</f>
        <v/>
      </c>
      <c r="I122" s="65" t="str">
        <f>IF($M122="Yes",'Invoice Log'!$AI100,"")</f>
        <v/>
      </c>
      <c r="J122" s="127" t="str">
        <f>IF($M122="Yes",'Invoice Log'!$AO100,"")</f>
        <v/>
      </c>
      <c r="K122" s="129" t="str">
        <f>IF($M122="Yes",'Invoice Log'!$AP100,"")</f>
        <v/>
      </c>
      <c r="L122" s="65" t="str">
        <f>IF($M122="Yes",ROUND('Invoice Log'!$AP100*Settings!$J$8,2),"")</f>
        <v/>
      </c>
      <c r="M122" s="125" t="str">
        <f>IF(OR('Invoice Log'!$L100="",'Invoice Log'!$AS100=""),"",IF(AND('Invoice Log'!$AR100&lt;=$B$3,'Invoice Log'!$AR100&gt;=Settings!$J$10,'Invoice Log'!$J100&lt;&gt;"Cancelled"),"Yes","No"))</f>
        <v>No</v>
      </c>
    </row>
    <row r="123" ht="15.75" customHeight="1">
      <c r="A123" s="125" t="str">
        <f>IF('Invoice Log'!$AS101="","",TEXT('Invoice Log'!$AS101,"YYYY-MM"))</f>
        <v>2026-06</v>
      </c>
      <c r="B123" s="45">
        <f>IF('Invoice Log'!$AR101="","",'Invoice Log'!$AR101)</f>
        <v>46193</v>
      </c>
      <c r="C123" s="63">
        <f>IF('Invoice Log'!$D101="","",'Invoice Log'!$D101)</f>
        <v>22004296</v>
      </c>
      <c r="D123" s="126" t="str">
        <f>IF('Invoice Log'!$L101="","",'Invoice Log'!$E101)</f>
        <v>st Williams</v>
      </c>
      <c r="E123" s="126" t="str">
        <f>IF('Invoice Log'!$L101="","",'Invoice Log'!$J101)</f>
        <v>Complete</v>
      </c>
      <c r="F123" s="125" t="str">
        <f>IF('Invoice Log'!$L101="","",'Invoice Log'!$Q101)</f>
        <v>No</v>
      </c>
      <c r="G123" s="65" t="str">
        <f>IF($M123="Yes",'Invoice Log'!$L101,"")</f>
        <v/>
      </c>
      <c r="H123" s="65" t="str">
        <f>IF($M123="Yes",'Invoice Log'!$S101,"")</f>
        <v/>
      </c>
      <c r="I123" s="65" t="str">
        <f>IF($M123="Yes",'Invoice Log'!$AI101,"")</f>
        <v/>
      </c>
      <c r="J123" s="127" t="str">
        <f>IF($M123="Yes",'Invoice Log'!$AO101,"")</f>
        <v/>
      </c>
      <c r="K123" s="129" t="str">
        <f>IF($M123="Yes",'Invoice Log'!$AP101,"")</f>
        <v/>
      </c>
      <c r="L123" s="65" t="str">
        <f>IF($M123="Yes",ROUND('Invoice Log'!$AP101*Settings!$J$8,2),"")</f>
        <v/>
      </c>
      <c r="M123" s="125" t="str">
        <f>IF(OR('Invoice Log'!$L101="",'Invoice Log'!$AS101=""),"",IF(AND('Invoice Log'!$AR101&lt;=$B$3,'Invoice Log'!$AR101&gt;=Settings!$J$10,'Invoice Log'!$J101&lt;&gt;"Cancelled"),"Yes","No"))</f>
        <v>No</v>
      </c>
    </row>
    <row r="124" ht="15.75" customHeight="1">
      <c r="A124" s="125" t="str">
        <f>IF('Invoice Log'!$AS102="","",TEXT('Invoice Log'!$AS102,"YYYY-MM"))</f>
        <v>2026-06</v>
      </c>
      <c r="B124" s="45">
        <f>IF('Invoice Log'!$AR102="","",'Invoice Log'!$AR102)</f>
        <v>46191</v>
      </c>
      <c r="C124" s="63">
        <f>IF('Invoice Log'!$D102="","",'Invoice Log'!$D102)</f>
        <v>22004297</v>
      </c>
      <c r="D124" s="126" t="str">
        <f>IF('Invoice Log'!$L102="","",'Invoice Log'!$E102)</f>
        <v>Chew Events - Additional guests</v>
      </c>
      <c r="E124" s="126" t="str">
        <f>IF('Invoice Log'!$L102="","",'Invoice Log'!$J102)</f>
        <v>Complete</v>
      </c>
      <c r="F124" s="125" t="str">
        <f>IF('Invoice Log'!$L102="","",'Invoice Log'!$Q102)</f>
        <v>No</v>
      </c>
      <c r="G124" s="65" t="str">
        <f>IF($M124="Yes",'Invoice Log'!$L102,"")</f>
        <v/>
      </c>
      <c r="H124" s="65" t="str">
        <f>IF($M124="Yes",'Invoice Log'!$S102,"")</f>
        <v/>
      </c>
      <c r="I124" s="65" t="str">
        <f>IF($M124="Yes",'Invoice Log'!$AI102,"")</f>
        <v/>
      </c>
      <c r="J124" s="127" t="str">
        <f>IF($M124="Yes",'Invoice Log'!$AO102,"")</f>
        <v/>
      </c>
      <c r="K124" s="129" t="str">
        <f>IF($M124="Yes",'Invoice Log'!$AP102,"")</f>
        <v/>
      </c>
      <c r="L124" s="65" t="str">
        <f>IF($M124="Yes",ROUND('Invoice Log'!$AP102*Settings!$J$8,2),"")</f>
        <v/>
      </c>
      <c r="M124" s="125" t="str">
        <f>IF(OR('Invoice Log'!$L102="",'Invoice Log'!$AS102=""),"",IF(AND('Invoice Log'!$AR102&lt;=$B$3,'Invoice Log'!$AR102&gt;=Settings!$J$10,'Invoice Log'!$J102&lt;&gt;"Cancelled"),"Yes","No"))</f>
        <v>No</v>
      </c>
    </row>
    <row r="125" ht="15.75" customHeight="1">
      <c r="A125" s="125" t="str">
        <f>IF('Invoice Log'!$AS103="","",TEXT('Invoice Log'!$AS103,"YYYY-MM"))</f>
        <v>2026-07</v>
      </c>
      <c r="B125" s="45">
        <f>IF('Invoice Log'!$AR103="","",'Invoice Log'!$AR103)</f>
        <v>46205</v>
      </c>
      <c r="C125" s="63">
        <f>IF('Invoice Log'!$D103="","",'Invoice Log'!$D103)</f>
        <v>22004298</v>
      </c>
      <c r="D125" s="126" t="str">
        <f>IF('Invoice Log'!$L103="","",'Invoice Log'!$E103)</f>
        <v>St Williams</v>
      </c>
      <c r="E125" s="126" t="str">
        <f>IF('Invoice Log'!$L103="","",'Invoice Log'!$J103)</f>
        <v>Complete</v>
      </c>
      <c r="F125" s="125" t="str">
        <f>IF('Invoice Log'!$L103="","",'Invoice Log'!$Q103)</f>
        <v>Yes</v>
      </c>
      <c r="G125" s="65" t="str">
        <f>IF($M125="Yes",'Invoice Log'!$L103,"")</f>
        <v/>
      </c>
      <c r="H125" s="65" t="str">
        <f>IF($M125="Yes",'Invoice Log'!$S103,"")</f>
        <v/>
      </c>
      <c r="I125" s="65" t="str">
        <f>IF($M125="Yes",'Invoice Log'!$AI103,"")</f>
        <v/>
      </c>
      <c r="J125" s="127" t="str">
        <f>IF($M125="Yes",'Invoice Log'!$AO103,"")</f>
        <v/>
      </c>
      <c r="K125" s="129" t="str">
        <f>IF($M125="Yes",'Invoice Log'!$AP103,"")</f>
        <v/>
      </c>
      <c r="L125" s="65" t="str">
        <f>IF($M125="Yes",ROUND('Invoice Log'!$AP103*Settings!$J$8,2),"")</f>
        <v/>
      </c>
      <c r="M125" s="125" t="str">
        <f>IF(OR('Invoice Log'!$L103="",'Invoice Log'!$AS103=""),"",IF(AND('Invoice Log'!$AR103&lt;=$B$3,'Invoice Log'!$AR103&gt;=Settings!$J$10,'Invoice Log'!$J103&lt;&gt;"Cancelled"),"Yes","No"))</f>
        <v>No</v>
      </c>
    </row>
    <row r="126" ht="15.75" customHeight="1">
      <c r="A126" s="125" t="str">
        <f>IF('Invoice Log'!$AS104="","",TEXT('Invoice Log'!$AS104,"YYYY-MM"))</f>
        <v>2026-06</v>
      </c>
      <c r="B126" s="45">
        <f>IF('Invoice Log'!$AR104="","",'Invoice Log'!$AR104)</f>
        <v>46203</v>
      </c>
      <c r="C126" s="63">
        <f>IF('Invoice Log'!$D104="","",'Invoice Log'!$D104)</f>
        <v>22004299</v>
      </c>
      <c r="D126" s="126" t="str">
        <f>IF('Invoice Log'!$L104="","",'Invoice Log'!$E104)</f>
        <v>Amazon</v>
      </c>
      <c r="E126" s="126" t="str">
        <f>IF('Invoice Log'!$L104="","",'Invoice Log'!$J104)</f>
        <v>Complete</v>
      </c>
      <c r="F126" s="125" t="str">
        <f>IF('Invoice Log'!$L104="","",'Invoice Log'!$Q104)</f>
        <v>No</v>
      </c>
      <c r="G126" s="65" t="str">
        <f>IF($M126="Yes",'Invoice Log'!$L104,"")</f>
        <v/>
      </c>
      <c r="H126" s="65" t="str">
        <f>IF($M126="Yes",'Invoice Log'!$S104,"")</f>
        <v/>
      </c>
      <c r="I126" s="65" t="str">
        <f>IF($M126="Yes",'Invoice Log'!$AI104,"")</f>
        <v/>
      </c>
      <c r="J126" s="127" t="str">
        <f>IF($M126="Yes",'Invoice Log'!$AO104,"")</f>
        <v/>
      </c>
      <c r="K126" s="129" t="str">
        <f>IF($M126="Yes",'Invoice Log'!$AP104,"")</f>
        <v/>
      </c>
      <c r="L126" s="65" t="str">
        <f>IF($M126="Yes",ROUND('Invoice Log'!$AP104*Settings!$J$8,2),"")</f>
        <v/>
      </c>
      <c r="M126" s="125" t="str">
        <f>IF(OR('Invoice Log'!$L104="",'Invoice Log'!$AS104=""),"",IF(AND('Invoice Log'!$AR104&lt;=$B$3,'Invoice Log'!$AR104&gt;=Settings!$J$10,'Invoice Log'!$J104&lt;&gt;"Cancelled"),"Yes","No"))</f>
        <v>No</v>
      </c>
    </row>
    <row r="127" ht="15.75" customHeight="1">
      <c r="A127" s="125" t="str">
        <f>IF('Invoice Log'!$AS105="","",TEXT('Invoice Log'!$AS105,"YYYY-MM"))</f>
        <v>2026-07</v>
      </c>
      <c r="B127" s="45">
        <f>IF('Invoice Log'!$AR105="","",'Invoice Log'!$AR105)</f>
        <v>46207</v>
      </c>
      <c r="C127" s="63">
        <f>IF('Invoice Log'!$D105="","",'Invoice Log'!$D105)</f>
        <v>22004300</v>
      </c>
      <c r="D127" s="126" t="str">
        <f>IF('Invoice Log'!$L105="","",'Invoice Log'!$E105)</f>
        <v>Kathleen Harris</v>
      </c>
      <c r="E127" s="126" t="str">
        <f>IF('Invoice Log'!$L105="","",'Invoice Log'!$J105)</f>
        <v>Complete</v>
      </c>
      <c r="F127" s="125" t="str">
        <f>IF('Invoice Log'!$L105="","",'Invoice Log'!$Q105)</f>
        <v>Yes</v>
      </c>
      <c r="G127" s="65" t="str">
        <f>IF($M127="Yes",'Invoice Log'!$L105,"")</f>
        <v/>
      </c>
      <c r="H127" s="65" t="str">
        <f>IF($M127="Yes",'Invoice Log'!$S105,"")</f>
        <v/>
      </c>
      <c r="I127" s="65" t="str">
        <f>IF($M127="Yes",'Invoice Log'!$AI105,"")</f>
        <v/>
      </c>
      <c r="J127" s="127" t="str">
        <f>IF($M127="Yes",'Invoice Log'!$AO105,"")</f>
        <v/>
      </c>
      <c r="K127" s="129" t="str">
        <f>IF($M127="Yes",'Invoice Log'!$AP105,"")</f>
        <v/>
      </c>
      <c r="L127" s="65" t="str">
        <f>IF($M127="Yes",ROUND('Invoice Log'!$AP105*Settings!$J$8,2),"")</f>
        <v/>
      </c>
      <c r="M127" s="125" t="str">
        <f>IF(OR('Invoice Log'!$L105="",'Invoice Log'!$AS105=""),"",IF(AND('Invoice Log'!$AR105&lt;=$B$3,'Invoice Log'!$AR105&gt;=Settings!$J$10,'Invoice Log'!$J105&lt;&gt;"Cancelled"),"Yes","No"))</f>
        <v>No</v>
      </c>
    </row>
    <row r="128" ht="15.75" customHeight="1">
      <c r="A128" s="125" t="str">
        <f>IF('Invoice Log'!$AS106="","",TEXT('Invoice Log'!$AS106,"YYYY-MM"))</f>
        <v>2026-07</v>
      </c>
      <c r="B128" s="45">
        <f>IF('Invoice Log'!$AR106="","",'Invoice Log'!$AR106)</f>
        <v>46207</v>
      </c>
      <c r="C128" s="63">
        <f>IF('Invoice Log'!$D106="","",'Invoice Log'!$D106)</f>
        <v>22004301</v>
      </c>
      <c r="D128" s="126" t="str">
        <f>IF('Invoice Log'!$L106="","",'Invoice Log'!$E106)</f>
        <v>Sarah Scarth / Resonate Communications</v>
      </c>
      <c r="E128" s="126" t="str">
        <f>IF('Invoice Log'!$L106="","",'Invoice Log'!$J106)</f>
        <v>Complete</v>
      </c>
      <c r="F128" s="125" t="str">
        <f>IF('Invoice Log'!$L106="","",'Invoice Log'!$Q106)</f>
        <v>Yes</v>
      </c>
      <c r="G128" s="65" t="str">
        <f>IF($M128="Yes",'Invoice Log'!$L106,"")</f>
        <v/>
      </c>
      <c r="H128" s="65" t="str">
        <f>IF($M128="Yes",'Invoice Log'!$S106,"")</f>
        <v/>
      </c>
      <c r="I128" s="65" t="str">
        <f>IF($M128="Yes",'Invoice Log'!$AI106,"")</f>
        <v/>
      </c>
      <c r="J128" s="127" t="str">
        <f>IF($M128="Yes",'Invoice Log'!$AO106,"")</f>
        <v/>
      </c>
      <c r="K128" s="129" t="str">
        <f>IF($M128="Yes",'Invoice Log'!$AP106,"")</f>
        <v/>
      </c>
      <c r="L128" s="65" t="str">
        <f>IF($M128="Yes",ROUND('Invoice Log'!$AP106*Settings!$J$8,2),"")</f>
        <v/>
      </c>
      <c r="M128" s="125" t="str">
        <f>IF(OR('Invoice Log'!$L106="",'Invoice Log'!$AS106=""),"",IF(AND('Invoice Log'!$AR106&lt;=$B$3,'Invoice Log'!$AR106&gt;=Settings!$J$10,'Invoice Log'!$J106&lt;&gt;"Cancelled"),"Yes","No"))</f>
        <v>No</v>
      </c>
    </row>
    <row r="129" ht="15.75" customHeight="1">
      <c r="A129" s="125" t="str">
        <f>IF('Invoice Log'!$AS107="","",TEXT('Invoice Log'!$AS107,"YYYY-MM"))</f>
        <v>2026-06</v>
      </c>
      <c r="B129" s="45">
        <f>IF('Invoice Log'!$AR107="","",'Invoice Log'!$AR107)</f>
        <v>46199</v>
      </c>
      <c r="C129" s="63">
        <f>IF('Invoice Log'!$D107="","",'Invoice Log'!$D107)</f>
        <v>22004302</v>
      </c>
      <c r="D129" s="126" t="str">
        <f>IF('Invoice Log'!$L107="","",'Invoice Log'!$E107)</f>
        <v>Rebecca Hu</v>
      </c>
      <c r="E129" s="126" t="str">
        <f>IF('Invoice Log'!$L107="","",'Invoice Log'!$J107)</f>
        <v>Complete</v>
      </c>
      <c r="F129" s="125" t="str">
        <f>IF('Invoice Log'!$L107="","",'Invoice Log'!$Q107)</f>
        <v>Yes</v>
      </c>
      <c r="G129" s="65" t="str">
        <f>IF($M129="Yes",'Invoice Log'!$L107,"")</f>
        <v/>
      </c>
      <c r="H129" s="65" t="str">
        <f>IF($M129="Yes",'Invoice Log'!$S107,"")</f>
        <v/>
      </c>
      <c r="I129" s="65" t="str">
        <f>IF($M129="Yes",'Invoice Log'!$AI107,"")</f>
        <v/>
      </c>
      <c r="J129" s="127" t="str">
        <f>IF($M129="Yes",'Invoice Log'!$AO107,"")</f>
        <v/>
      </c>
      <c r="K129" s="129" t="str">
        <f>IF($M129="Yes",'Invoice Log'!$AP107,"")</f>
        <v/>
      </c>
      <c r="L129" s="65" t="str">
        <f>IF($M129="Yes",ROUND('Invoice Log'!$AP107*Settings!$J$8,2),"")</f>
        <v/>
      </c>
      <c r="M129" s="125" t="str">
        <f>IF(OR('Invoice Log'!$L107="",'Invoice Log'!$AS107=""),"",IF(AND('Invoice Log'!$AR107&lt;=$B$3,'Invoice Log'!$AR107&gt;=Settings!$J$10,'Invoice Log'!$J107&lt;&gt;"Cancelled"),"Yes","No"))</f>
        <v>No</v>
      </c>
    </row>
    <row r="130" ht="15.75" customHeight="1">
      <c r="A130" s="125" t="str">
        <f>IF('Invoice Log'!$AS108="","",TEXT('Invoice Log'!$AS108,"YYYY-MM"))</f>
        <v>2026-06</v>
      </c>
      <c r="B130" s="45">
        <f>IF('Invoice Log'!$AR108="","",'Invoice Log'!$AR108)</f>
        <v>46203</v>
      </c>
      <c r="C130" s="63">
        <f>IF('Invoice Log'!$D108="","",'Invoice Log'!$D108)</f>
        <v>22004303</v>
      </c>
      <c r="D130" s="126" t="str">
        <f>IF('Invoice Log'!$L108="","",'Invoice Log'!$E108)</f>
        <v>Samantha Armstrong</v>
      </c>
      <c r="E130" s="126" t="str">
        <f>IF('Invoice Log'!$L108="","",'Invoice Log'!$J108)</f>
        <v>Complete</v>
      </c>
      <c r="F130" s="125" t="str">
        <f>IF('Invoice Log'!$L108="","",'Invoice Log'!$Q108)</f>
        <v>No</v>
      </c>
      <c r="G130" s="65" t="str">
        <f>IF($M130="Yes",'Invoice Log'!$L108,"")</f>
        <v/>
      </c>
      <c r="H130" s="65" t="str">
        <f>IF($M130="Yes",'Invoice Log'!$S108,"")</f>
        <v/>
      </c>
      <c r="I130" s="65" t="str">
        <f>IF($M130="Yes",'Invoice Log'!$AI108,"")</f>
        <v/>
      </c>
      <c r="J130" s="127" t="str">
        <f>IF($M130="Yes",'Invoice Log'!$AO108,"")</f>
        <v/>
      </c>
      <c r="K130" s="129" t="str">
        <f>IF($M130="Yes",'Invoice Log'!$AP108,"")</f>
        <v/>
      </c>
      <c r="L130" s="65" t="str">
        <f>IF($M130="Yes",ROUND('Invoice Log'!$AP108*Settings!$J$8,2),"")</f>
        <v/>
      </c>
      <c r="M130" s="125" t="str">
        <f>IF(OR('Invoice Log'!$L108="",'Invoice Log'!$AS108=""),"",IF(AND('Invoice Log'!$AR108&lt;=$B$3,'Invoice Log'!$AR108&gt;=Settings!$J$10,'Invoice Log'!$J108&lt;&gt;"Cancelled"),"Yes","No"))</f>
        <v>No</v>
      </c>
    </row>
    <row r="131" ht="15.75" customHeight="1">
      <c r="A131" s="125" t="str">
        <f>IF('Invoice Log'!$AS109="","",TEXT('Invoice Log'!$AS109,"YYYY-MM"))</f>
        <v>2026-06</v>
      </c>
      <c r="B131" s="45">
        <f>IF('Invoice Log'!$AR109="","",'Invoice Log'!$AR109)</f>
        <v>46198</v>
      </c>
      <c r="C131" s="63">
        <f>IF('Invoice Log'!$D109="","",'Invoice Log'!$D109)</f>
        <v>22004304</v>
      </c>
      <c r="D131" s="126" t="str">
        <f>IF('Invoice Log'!$L109="","",'Invoice Log'!$E109)</f>
        <v>Delegation European Union</v>
      </c>
      <c r="E131" s="126" t="str">
        <f>IF('Invoice Log'!$L109="","",'Invoice Log'!$J109)</f>
        <v>Complete</v>
      </c>
      <c r="F131" s="125" t="str">
        <f>IF('Invoice Log'!$L109="","",'Invoice Log'!$Q109)</f>
        <v>No</v>
      </c>
      <c r="G131" s="65" t="str">
        <f>IF($M131="Yes",'Invoice Log'!$L109,"")</f>
        <v/>
      </c>
      <c r="H131" s="65" t="str">
        <f>IF($M131="Yes",'Invoice Log'!$S109,"")</f>
        <v/>
      </c>
      <c r="I131" s="65" t="str">
        <f>IF($M131="Yes",'Invoice Log'!$AI109,"")</f>
        <v/>
      </c>
      <c r="J131" s="127" t="str">
        <f>IF($M131="Yes",'Invoice Log'!$AO109,"")</f>
        <v/>
      </c>
      <c r="K131" s="129" t="str">
        <f>IF($M131="Yes",'Invoice Log'!$AP109,"")</f>
        <v/>
      </c>
      <c r="L131" s="65" t="str">
        <f>IF($M131="Yes",ROUND('Invoice Log'!$AP109*Settings!$J$8,2),"")</f>
        <v/>
      </c>
      <c r="M131" s="125" t="str">
        <f>IF(OR('Invoice Log'!$L109="",'Invoice Log'!$AS109=""),"",IF(AND('Invoice Log'!$AR109&lt;=$B$3,'Invoice Log'!$AR109&gt;=Settings!$J$10,'Invoice Log'!$J109&lt;&gt;"Cancelled"),"Yes","No"))</f>
        <v>No</v>
      </c>
    </row>
    <row r="132" ht="15.75" customHeight="1">
      <c r="A132" s="125" t="str">
        <f>IF('Invoice Log'!$AS110="","",TEXT('Invoice Log'!$AS110,"YYYY-MM"))</f>
        <v>2026-06</v>
      </c>
      <c r="B132" s="45">
        <f>IF('Invoice Log'!$AR110="","",'Invoice Log'!$AR110)</f>
        <v>46198</v>
      </c>
      <c r="C132" s="63">
        <f>IF('Invoice Log'!$D110="","",'Invoice Log'!$D110)</f>
        <v>22004305</v>
      </c>
      <c r="D132" s="126" t="str">
        <f>IF('Invoice Log'!$L110="","",'Invoice Log'!$E110)</f>
        <v>Prompt Power Solutions</v>
      </c>
      <c r="E132" s="126" t="str">
        <f>IF('Invoice Log'!$L110="","",'Invoice Log'!$J110)</f>
        <v>Complete</v>
      </c>
      <c r="F132" s="125" t="str">
        <f>IF('Invoice Log'!$L110="","",'Invoice Log'!$Q110)</f>
        <v>Yes</v>
      </c>
      <c r="G132" s="65" t="str">
        <f>IF($M132="Yes",'Invoice Log'!$L110,"")</f>
        <v/>
      </c>
      <c r="H132" s="65" t="str">
        <f>IF($M132="Yes",'Invoice Log'!$S110,"")</f>
        <v/>
      </c>
      <c r="I132" s="65" t="str">
        <f>IF($M132="Yes",'Invoice Log'!$AI110,"")</f>
        <v/>
      </c>
      <c r="J132" s="127" t="str">
        <f>IF($M132="Yes",'Invoice Log'!$AO110,"")</f>
        <v/>
      </c>
      <c r="K132" s="129" t="str">
        <f>IF($M132="Yes",'Invoice Log'!$AP110,"")</f>
        <v/>
      </c>
      <c r="L132" s="65" t="str">
        <f>IF($M132="Yes",ROUND('Invoice Log'!$AP110*Settings!$J$8,2),"")</f>
        <v/>
      </c>
      <c r="M132" s="125" t="str">
        <f>IF(OR('Invoice Log'!$L110="",'Invoice Log'!$AS110=""),"",IF(AND('Invoice Log'!$AR110&lt;=$B$3,'Invoice Log'!$AR110&gt;=Settings!$J$10,'Invoice Log'!$J110&lt;&gt;"Cancelled"),"Yes","No"))</f>
        <v>No</v>
      </c>
    </row>
    <row r="133" ht="15.75" customHeight="1">
      <c r="A133" s="125" t="str">
        <f>IF('Invoice Log'!$AS111="","",TEXT('Invoice Log'!$AS111,"YYYY-MM"))</f>
        <v/>
      </c>
      <c r="B133" s="45" t="str">
        <f>IF('Invoice Log'!$AR111="","",'Invoice Log'!$AR111)</f>
        <v/>
      </c>
      <c r="C133" s="63">
        <f>IF('Invoice Log'!$D111="","",'Invoice Log'!$D111)</f>
        <v>22004306</v>
      </c>
      <c r="D133" s="126" t="str">
        <f>IF('Invoice Log'!$L111="","",'Invoice Log'!$E111)</f>
        <v>House of Decant - July</v>
      </c>
      <c r="E133" s="126" t="str">
        <f>IF('Invoice Log'!$L111="","",'Invoice Log'!$J111)</f>
        <v>Complete</v>
      </c>
      <c r="F133" s="125" t="str">
        <f>IF('Invoice Log'!$L111="","",'Invoice Log'!$Q111)</f>
        <v>Yes</v>
      </c>
      <c r="G133" s="65" t="str">
        <f>IF($M133="Yes",'Invoice Log'!$L111,"")</f>
        <v/>
      </c>
      <c r="H133" s="65" t="str">
        <f>IF($M133="Yes",'Invoice Log'!$S111,"")</f>
        <v/>
      </c>
      <c r="I133" s="65" t="str">
        <f>IF($M133="Yes",'Invoice Log'!$AI111,"")</f>
        <v/>
      </c>
      <c r="J133" s="127" t="str">
        <f>IF($M133="Yes",'Invoice Log'!$AO111,"")</f>
        <v/>
      </c>
      <c r="K133" s="129" t="str">
        <f>IF($M133="Yes",'Invoice Log'!$AP111,"")</f>
        <v/>
      </c>
      <c r="L133" s="65" t="str">
        <f>IF($M133="Yes",ROUND('Invoice Log'!$AP111*Settings!$J$8,2),"")</f>
        <v/>
      </c>
      <c r="M133" s="125" t="str">
        <f>IF(OR('Invoice Log'!$L111="",'Invoice Log'!$AS111=""),"",IF(AND('Invoice Log'!$AR111&lt;=$B$3,'Invoice Log'!$AR111&gt;=Settings!$J$10,'Invoice Log'!$J111&lt;&gt;"Cancelled"),"Yes","No"))</f>
        <v/>
      </c>
    </row>
    <row r="134" ht="15.75" customHeight="1">
      <c r="A134" s="125" t="str">
        <f>IF('Invoice Log'!$AS112="","",TEXT('Invoice Log'!$AS112,"YYYY-MM"))</f>
        <v>2026-07</v>
      </c>
      <c r="B134" s="45">
        <f>IF('Invoice Log'!$AR112="","",'Invoice Log'!$AR112)</f>
        <v>46210</v>
      </c>
      <c r="C134" s="63">
        <f>IF('Invoice Log'!$D112="","",'Invoice Log'!$D112)</f>
        <v>22004307</v>
      </c>
      <c r="D134" s="126" t="str">
        <f>IF('Invoice Log'!$L112="","",'Invoice Log'!$E112)</f>
        <v>Europe House</v>
      </c>
      <c r="E134" s="126" t="str">
        <f>IF('Invoice Log'!$L112="","",'Invoice Log'!$J112)</f>
        <v>Complete</v>
      </c>
      <c r="F134" s="125" t="str">
        <f>IF('Invoice Log'!$L112="","",'Invoice Log'!$Q112)</f>
        <v>No</v>
      </c>
      <c r="G134" s="65" t="str">
        <f>IF($M134="Yes",'Invoice Log'!$L112,"")</f>
        <v/>
      </c>
      <c r="H134" s="65" t="str">
        <f>IF($M134="Yes",'Invoice Log'!$S112,"")</f>
        <v/>
      </c>
      <c r="I134" s="65" t="str">
        <f>IF($M134="Yes",'Invoice Log'!$AI112,"")</f>
        <v/>
      </c>
      <c r="J134" s="127" t="str">
        <f>IF($M134="Yes",'Invoice Log'!$AO112,"")</f>
        <v/>
      </c>
      <c r="K134" s="129" t="str">
        <f>IF($M134="Yes",'Invoice Log'!$AP112,"")</f>
        <v/>
      </c>
      <c r="L134" s="65" t="str">
        <f>IF($M134="Yes",ROUND('Invoice Log'!$AP112*Settings!$J$8,2),"")</f>
        <v/>
      </c>
      <c r="M134" s="125" t="str">
        <f>IF(OR('Invoice Log'!$L112="",'Invoice Log'!$AS112=""),"",IF(AND('Invoice Log'!$AR112&lt;=$B$3,'Invoice Log'!$AR112&gt;=Settings!$J$10,'Invoice Log'!$J112&lt;&gt;"Cancelled"),"Yes","No"))</f>
        <v>No</v>
      </c>
    </row>
    <row r="135" ht="15.75" customHeight="1">
      <c r="A135" s="125" t="str">
        <f>IF('Invoice Log'!$AS113="","",TEXT('Invoice Log'!$AS113,"YYYY-MM"))</f>
        <v>2026-07</v>
      </c>
      <c r="B135" s="45">
        <f>IF('Invoice Log'!$AR113="","",'Invoice Log'!$AR113)</f>
        <v>46220</v>
      </c>
      <c r="C135" s="63">
        <f>IF('Invoice Log'!$D113="","",'Invoice Log'!$D113)</f>
        <v>22004308</v>
      </c>
      <c r="D135" s="126" t="str">
        <f>IF('Invoice Log'!$L113="","",'Invoice Log'!$E113)</f>
        <v>George Jensen Limited</v>
      </c>
      <c r="E135" s="126" t="str">
        <f>IF('Invoice Log'!$L113="","",'Invoice Log'!$J113)</f>
        <v>Complete</v>
      </c>
      <c r="F135" s="125" t="str">
        <f>IF('Invoice Log'!$L113="","",'Invoice Log'!$Q113)</f>
        <v>Yes</v>
      </c>
      <c r="G135" s="65" t="str">
        <f>IF($M135="Yes",'Invoice Log'!$L113,"")</f>
        <v/>
      </c>
      <c r="H135" s="65" t="str">
        <f>IF($M135="Yes",'Invoice Log'!$S113,"")</f>
        <v/>
      </c>
      <c r="I135" s="65" t="str">
        <f>IF($M135="Yes",'Invoice Log'!$AI113,"")</f>
        <v/>
      </c>
      <c r="J135" s="127" t="str">
        <f>IF($M135="Yes",'Invoice Log'!$AO113,"")</f>
        <v/>
      </c>
      <c r="K135" s="129" t="str">
        <f>IF($M135="Yes",'Invoice Log'!$AP113,"")</f>
        <v/>
      </c>
      <c r="L135" s="65" t="str">
        <f>IF($M135="Yes",ROUND('Invoice Log'!$AP113*Settings!$J$8,2),"")</f>
        <v/>
      </c>
      <c r="M135" s="125" t="str">
        <f>IF(OR('Invoice Log'!$L113="",'Invoice Log'!$AS113=""),"",IF(AND('Invoice Log'!$AR113&lt;=$B$3,'Invoice Log'!$AR113&gt;=Settings!$J$10,'Invoice Log'!$J113&lt;&gt;"Cancelled"),"Yes","No"))</f>
        <v>No</v>
      </c>
    </row>
    <row r="136" ht="15.75" customHeight="1">
      <c r="A136" s="125" t="str">
        <f>IF('Invoice Log'!$AS114="","",TEXT('Invoice Log'!$AS114,"YYYY-MM"))</f>
        <v>2026-07</v>
      </c>
      <c r="B136" s="45">
        <f>IF('Invoice Log'!$AR114="","",'Invoice Log'!$AR114)</f>
        <v>46212</v>
      </c>
      <c r="C136" s="63">
        <f>IF('Invoice Log'!$D114="","",'Invoice Log'!$D114)</f>
        <v>22004309</v>
      </c>
      <c r="D136" s="126" t="str">
        <f>IF('Invoice Log'!$L114="","",'Invoice Log'!$E114)</f>
        <v>OpenSignal</v>
      </c>
      <c r="E136" s="126" t="str">
        <f>IF('Invoice Log'!$L114="","",'Invoice Log'!$J114)</f>
        <v>Complete</v>
      </c>
      <c r="F136" s="125" t="str">
        <f>IF('Invoice Log'!$L114="","",'Invoice Log'!$Q114)</f>
        <v>Yes</v>
      </c>
      <c r="G136" s="65" t="str">
        <f>IF($M136="Yes",'Invoice Log'!$L114,"")</f>
        <v/>
      </c>
      <c r="H136" s="65" t="str">
        <f>IF($M136="Yes",'Invoice Log'!$S114,"")</f>
        <v/>
      </c>
      <c r="I136" s="65" t="str">
        <f>IF($M136="Yes",'Invoice Log'!$AI114,"")</f>
        <v/>
      </c>
      <c r="J136" s="127" t="str">
        <f>IF($M136="Yes",'Invoice Log'!$AO114,"")</f>
        <v/>
      </c>
      <c r="K136" s="129" t="str">
        <f>IF($M136="Yes",'Invoice Log'!$AP114,"")</f>
        <v/>
      </c>
      <c r="L136" s="65" t="str">
        <f>IF($M136="Yes",ROUND('Invoice Log'!$AP114*Settings!$J$8,2),"")</f>
        <v/>
      </c>
      <c r="M136" s="125" t="str">
        <f>IF(OR('Invoice Log'!$L114="",'Invoice Log'!$AS114=""),"",IF(AND('Invoice Log'!$AR114&lt;=$B$3,'Invoice Log'!$AR114&gt;=Settings!$J$10,'Invoice Log'!$J114&lt;&gt;"Cancelled"),"Yes","No"))</f>
        <v>No</v>
      </c>
    </row>
    <row r="137" ht="15.75" customHeight="1">
      <c r="A137" s="125" t="str">
        <f>IF('Invoice Log'!$AS115="","",TEXT('Invoice Log'!$AS115,"YYYY-MM"))</f>
        <v>2026-07</v>
      </c>
      <c r="B137" s="45">
        <f>IF('Invoice Log'!$AR115="","",'Invoice Log'!$AR115)</f>
        <v>46224</v>
      </c>
      <c r="C137" s="63">
        <f>IF('Invoice Log'!$D115="","",'Invoice Log'!$D115)</f>
        <v>22004310</v>
      </c>
      <c r="D137" s="126" t="str">
        <f>IF('Invoice Log'!$L115="","",'Invoice Log'!$E115)</f>
        <v>Bayerische Landesbank London</v>
      </c>
      <c r="E137" s="126" t="str">
        <f>IF('Invoice Log'!$L115="","",'Invoice Log'!$J115)</f>
        <v>Complete</v>
      </c>
      <c r="F137" s="125" t="str">
        <f>IF('Invoice Log'!$L115="","",'Invoice Log'!$Q115)</f>
        <v>Yes</v>
      </c>
      <c r="G137" s="65" t="str">
        <f>IF($M137="Yes",'Invoice Log'!$L115,"")</f>
        <v/>
      </c>
      <c r="H137" s="65" t="str">
        <f>IF($M137="Yes",'Invoice Log'!$S115,"")</f>
        <v/>
      </c>
      <c r="I137" s="65" t="str">
        <f>IF($M137="Yes",'Invoice Log'!$AI115,"")</f>
        <v/>
      </c>
      <c r="J137" s="127" t="str">
        <f>IF($M137="Yes",'Invoice Log'!$AO115,"")</f>
        <v/>
      </c>
      <c r="K137" s="129" t="str">
        <f>IF($M137="Yes",'Invoice Log'!$AP115,"")</f>
        <v/>
      </c>
      <c r="L137" s="65" t="str">
        <f>IF($M137="Yes",ROUND('Invoice Log'!$AP115*Settings!$J$8,2),"")</f>
        <v/>
      </c>
      <c r="M137" s="125" t="str">
        <f>IF(OR('Invoice Log'!$L115="",'Invoice Log'!$AS115=""),"",IF(AND('Invoice Log'!$AR115&lt;=$B$3,'Invoice Log'!$AR115&gt;=Settings!$J$10,'Invoice Log'!$J115&lt;&gt;"Cancelled"),"Yes","No"))</f>
        <v>No</v>
      </c>
    </row>
    <row r="138" ht="15.75" customHeight="1">
      <c r="A138" s="125" t="str">
        <f>IF('Invoice Log'!$AS116="","",TEXT('Invoice Log'!$AS116,"YYYY-MM"))</f>
        <v>2026-09</v>
      </c>
      <c r="B138" s="45">
        <f>IF('Invoice Log'!$AR116="","",'Invoice Log'!$AR116)</f>
        <v>46270</v>
      </c>
      <c r="C138" s="63">
        <f>IF('Invoice Log'!$D116="","",'Invoice Log'!$D116)</f>
        <v>22004311</v>
      </c>
      <c r="D138" s="126" t="str">
        <f>IF('Invoice Log'!$L116="","",'Invoice Log'!$E116)</f>
        <v>Diana Reed</v>
      </c>
      <c r="E138" s="126" t="str">
        <f>IF('Invoice Log'!$L116="","",'Invoice Log'!$J116)</f>
        <v>Complete</v>
      </c>
      <c r="F138" s="125" t="str">
        <f>IF('Invoice Log'!$L116="","",'Invoice Log'!$Q116)</f>
        <v>No</v>
      </c>
      <c r="G138" s="65">
        <f>IF($M138="Yes",'Invoice Log'!$L116,"")</f>
        <v>1491</v>
      </c>
      <c r="H138" s="65">
        <f>IF($M138="Yes",'Invoice Log'!$S116,"")</f>
        <v>0</v>
      </c>
      <c r="I138" s="65" t="str">
        <f>IF($M138="Yes",'Invoice Log'!$AI116,"")</f>
        <v/>
      </c>
      <c r="J138" s="127">
        <f>IF($M138="Yes",'Invoice Log'!$AO116,"")</f>
        <v>0</v>
      </c>
      <c r="K138" s="129">
        <f>IF($M138="Yes",'Invoice Log'!$AP116,"")</f>
        <v>1491</v>
      </c>
      <c r="L138" s="65">
        <f>IF($M138="Yes",ROUND('Invoice Log'!$AP116*Settings!$J$8,2),"")</f>
        <v>298.2</v>
      </c>
      <c r="M138" s="125" t="str">
        <f>IF(OR('Invoice Log'!$L116="",'Invoice Log'!$AS116=""),"",IF(AND('Invoice Log'!$AR116&lt;=$B$3,'Invoice Log'!$AR116&gt;=Settings!$J$10,'Invoice Log'!$J116&lt;&gt;"Cancelled"),"Yes","No"))</f>
        <v>Yes</v>
      </c>
    </row>
    <row r="139" ht="15.75" customHeight="1">
      <c r="A139" s="125" t="str">
        <f>IF('Invoice Log'!$AS117="","",TEXT('Invoice Log'!$AS117,"YYYY-MM"))</f>
        <v/>
      </c>
      <c r="B139" s="45" t="str">
        <f>IF('Invoice Log'!$AR117="","",'Invoice Log'!$AR117)</f>
        <v/>
      </c>
      <c r="C139" s="63">
        <f>IF('Invoice Log'!$D117="","",'Invoice Log'!$D117)</f>
        <v>22004312</v>
      </c>
      <c r="D139" s="126" t="str">
        <f>IF('Invoice Log'!$L117="","",'Invoice Log'!$E117)</f>
        <v>Xero - Additional picnic boxes</v>
      </c>
      <c r="E139" s="126" t="str">
        <f>IF('Invoice Log'!$L117="","",'Invoice Log'!$J117)</f>
        <v>Complete</v>
      </c>
      <c r="F139" s="125" t="str">
        <f>IF('Invoice Log'!$L117="","",'Invoice Log'!$Q117)</f>
        <v>No</v>
      </c>
      <c r="G139" s="65" t="str">
        <f>IF($M139="Yes",'Invoice Log'!$L117,"")</f>
        <v/>
      </c>
      <c r="H139" s="65" t="str">
        <f>IF($M139="Yes",'Invoice Log'!$S117,"")</f>
        <v/>
      </c>
      <c r="I139" s="65" t="str">
        <f>IF($M139="Yes",'Invoice Log'!$AI117,"")</f>
        <v/>
      </c>
      <c r="J139" s="127" t="str">
        <f>IF($M139="Yes",'Invoice Log'!$AO117,"")</f>
        <v/>
      </c>
      <c r="K139" s="129" t="str">
        <f>IF($M139="Yes",'Invoice Log'!$AP117,"")</f>
        <v/>
      </c>
      <c r="L139" s="65" t="str">
        <f>IF($M139="Yes",ROUND('Invoice Log'!$AP117*Settings!$J$8,2),"")</f>
        <v/>
      </c>
      <c r="M139" s="125" t="str">
        <f>IF(OR('Invoice Log'!$L117="",'Invoice Log'!$AS117=""),"",IF(AND('Invoice Log'!$AR117&lt;=$B$3,'Invoice Log'!$AR117&gt;=Settings!$J$10,'Invoice Log'!$J117&lt;&gt;"Cancelled"),"Yes","No"))</f>
        <v/>
      </c>
    </row>
    <row r="140" ht="15.75" customHeight="1">
      <c r="A140" s="125" t="str">
        <f>IF('Invoice Log'!$AS118="","",TEXT('Invoice Log'!$AS118,"YYYY-MM"))</f>
        <v>2026-09</v>
      </c>
      <c r="B140" s="45">
        <f>IF('Invoice Log'!$AR118="","",'Invoice Log'!$AR118)</f>
        <v>46280</v>
      </c>
      <c r="C140" s="63" t="str">
        <f>IF('Invoice Log'!$D118="","",'Invoice Log'!$D118)</f>
        <v/>
      </c>
      <c r="D140" s="126" t="str">
        <f>IF('Invoice Log'!$L118="","",'Invoice Log'!$E118)</f>
        <v>SGN - Day 1</v>
      </c>
      <c r="E140" s="126" t="str">
        <f>IF('Invoice Log'!$L118="","",'Invoice Log'!$J118)</f>
        <v>Complete</v>
      </c>
      <c r="F140" s="125" t="str">
        <f>IF('Invoice Log'!$L118="","",'Invoice Log'!$Q118)</f>
        <v>No</v>
      </c>
      <c r="G140" s="65">
        <f>IF($M140="Yes",'Invoice Log'!$L118,"")</f>
        <v>1847.2</v>
      </c>
      <c r="H140" s="65">
        <f>IF($M140="Yes",'Invoice Log'!$S118,"")</f>
        <v>0</v>
      </c>
      <c r="I140" s="65" t="str">
        <f>IF($M140="Yes",'Invoice Log'!$AI118,"")</f>
        <v/>
      </c>
      <c r="J140" s="127">
        <f>IF($M140="Yes",'Invoice Log'!$AO118,"")</f>
        <v>0</v>
      </c>
      <c r="K140" s="129">
        <f>IF($M140="Yes",'Invoice Log'!$AP118,"")</f>
        <v>1847.2</v>
      </c>
      <c r="L140" s="65">
        <f>IF($M140="Yes",ROUND('Invoice Log'!$AP118*Settings!$J$8,2),"")</f>
        <v>369.44</v>
      </c>
      <c r="M140" s="125" t="str">
        <f>IF(OR('Invoice Log'!$L118="",'Invoice Log'!$AS118=""),"",IF(AND('Invoice Log'!$AR118&lt;=$B$3,'Invoice Log'!$AR118&gt;=Settings!$J$10,'Invoice Log'!$J118&lt;&gt;"Cancelled"),"Yes","No"))</f>
        <v>Yes</v>
      </c>
    </row>
    <row r="141" ht="15.75" customHeight="1">
      <c r="A141" s="125" t="str">
        <f>IF('Invoice Log'!$AS119="","",TEXT('Invoice Log'!$AS119,"YYYY-MM"))</f>
        <v>2026-09</v>
      </c>
      <c r="B141" s="45">
        <f>IF('Invoice Log'!$AR119="","",'Invoice Log'!$AR119)</f>
        <v>46281</v>
      </c>
      <c r="C141" s="63">
        <f>IF('Invoice Log'!$D119="","",'Invoice Log'!$D119)</f>
        <v>22004314</v>
      </c>
      <c r="D141" s="126" t="str">
        <f>IF('Invoice Log'!$L119="","",'Invoice Log'!$E119)</f>
        <v>SGN - Day 2</v>
      </c>
      <c r="E141" s="126" t="str">
        <f>IF('Invoice Log'!$L119="","",'Invoice Log'!$J119)</f>
        <v>Complete</v>
      </c>
      <c r="F141" s="125" t="str">
        <f>IF('Invoice Log'!$L119="","",'Invoice Log'!$Q119)</f>
        <v>No</v>
      </c>
      <c r="G141" s="65">
        <f>IF($M141="Yes",'Invoice Log'!$L119,"")</f>
        <v>1847.2</v>
      </c>
      <c r="H141" s="65">
        <f>IF($M141="Yes",'Invoice Log'!$S119,"")</f>
        <v>0</v>
      </c>
      <c r="I141" s="65" t="str">
        <f>IF($M141="Yes",'Invoice Log'!$AI119,"")</f>
        <v/>
      </c>
      <c r="J141" s="127">
        <f>IF($M141="Yes",'Invoice Log'!$AO119,"")</f>
        <v>0</v>
      </c>
      <c r="K141" s="129">
        <f>IF($M141="Yes",'Invoice Log'!$AP119,"")</f>
        <v>1847.2</v>
      </c>
      <c r="L141" s="65">
        <f>IF($M141="Yes",ROUND('Invoice Log'!$AP119*Settings!$J$8,2),"")</f>
        <v>369.44</v>
      </c>
      <c r="M141" s="125" t="str">
        <f>IF(OR('Invoice Log'!$L119="",'Invoice Log'!$AS119=""),"",IF(AND('Invoice Log'!$AR119&lt;=$B$3,'Invoice Log'!$AR119&gt;=Settings!$J$10,'Invoice Log'!$J119&lt;&gt;"Cancelled"),"Yes","No"))</f>
        <v>Yes</v>
      </c>
    </row>
    <row r="142" ht="15.75" customHeight="1">
      <c r="A142" s="125" t="str">
        <f>IF('Invoice Log'!$AS120="","",TEXT('Invoice Log'!$AS120,"YYYY-MM"))</f>
        <v>2026-08</v>
      </c>
      <c r="B142" s="45">
        <f>IF('Invoice Log'!$AR120="","",'Invoice Log'!$AR120)</f>
        <v>46240</v>
      </c>
      <c r="C142" s="63">
        <f>IF('Invoice Log'!$D120="","",'Invoice Log'!$D120)</f>
        <v>22004315</v>
      </c>
      <c r="D142" s="126" t="str">
        <f>IF('Invoice Log'!$L120="","",'Invoice Log'!$E120)</f>
        <v>House of Decant</v>
      </c>
      <c r="E142" s="126" t="str">
        <f>IF('Invoice Log'!$L120="","",'Invoice Log'!$J120)</f>
        <v>Complete</v>
      </c>
      <c r="F142" s="125" t="str">
        <f>IF('Invoice Log'!$L120="","",'Invoice Log'!$Q120)</f>
        <v>No</v>
      </c>
      <c r="G142" s="65" t="str">
        <f>IF($M142="Yes",'Invoice Log'!$L120,"")</f>
        <v/>
      </c>
      <c r="H142" s="65" t="str">
        <f>IF($M142="Yes",'Invoice Log'!$S120,"")</f>
        <v/>
      </c>
      <c r="I142" s="65" t="str">
        <f>IF($M142="Yes",'Invoice Log'!$AI120,"")</f>
        <v/>
      </c>
      <c r="J142" s="127" t="str">
        <f>IF($M142="Yes",'Invoice Log'!$AO120,"")</f>
        <v/>
      </c>
      <c r="K142" s="129" t="str">
        <f>IF($M142="Yes",'Invoice Log'!$AP120,"")</f>
        <v/>
      </c>
      <c r="L142" s="65" t="str">
        <f>IF($M142="Yes",ROUND('Invoice Log'!$AP120*Settings!$J$8,2),"")</f>
        <v/>
      </c>
      <c r="M142" s="125" t="str">
        <f>IF(OR('Invoice Log'!$L120="",'Invoice Log'!$AS120=""),"",IF(AND('Invoice Log'!$AR120&lt;=$B$3,'Invoice Log'!$AR120&gt;=Settings!$J$10,'Invoice Log'!$J120&lt;&gt;"Cancelled"),"Yes","No"))</f>
        <v>No</v>
      </c>
    </row>
    <row r="143" ht="15.75" customHeight="1">
      <c r="A143" s="125" t="str">
        <f>IF('Invoice Log'!$AS121="","",TEXT('Invoice Log'!$AS121,"YYYY-MM"))</f>
        <v>2026-08</v>
      </c>
      <c r="B143" s="45">
        <f>IF('Invoice Log'!$AR121="","",'Invoice Log'!$AR121)</f>
        <v>46257</v>
      </c>
      <c r="C143" s="63">
        <f>IF('Invoice Log'!$D121="","",'Invoice Log'!$D121)</f>
        <v>22004316</v>
      </c>
      <c r="D143" s="126" t="str">
        <f>IF('Invoice Log'!$L121="","",'Invoice Log'!$E121)</f>
        <v>Cheryl McDairmid</v>
      </c>
      <c r="E143" s="126" t="str">
        <f>IF('Invoice Log'!$L121="","",'Invoice Log'!$J121)</f>
        <v>Complete</v>
      </c>
      <c r="F143" s="125" t="str">
        <f>IF('Invoice Log'!$L121="","",'Invoice Log'!$Q121)</f>
        <v>No</v>
      </c>
      <c r="G143" s="65" t="str">
        <f>IF($M143="Yes",'Invoice Log'!$L121,"")</f>
        <v/>
      </c>
      <c r="H143" s="65" t="str">
        <f>IF($M143="Yes",'Invoice Log'!$S121,"")</f>
        <v/>
      </c>
      <c r="I143" s="65" t="str">
        <f>IF($M143="Yes",'Invoice Log'!$AI121,"")</f>
        <v/>
      </c>
      <c r="J143" s="127" t="str">
        <f>IF($M143="Yes",'Invoice Log'!$AO121,"")</f>
        <v/>
      </c>
      <c r="K143" s="129" t="str">
        <f>IF($M143="Yes",'Invoice Log'!$AP121,"")</f>
        <v/>
      </c>
      <c r="L143" s="65" t="str">
        <f>IF($M143="Yes",ROUND('Invoice Log'!$AP121*Settings!$J$8,2),"")</f>
        <v/>
      </c>
      <c r="M143" s="125" t="str">
        <f>IF(OR('Invoice Log'!$L121="",'Invoice Log'!$AS121=""),"",IF(AND('Invoice Log'!$AR121&lt;=$B$3,'Invoice Log'!$AR121&gt;=Settings!$J$10,'Invoice Log'!$J121&lt;&gt;"Cancelled"),"Yes","No"))</f>
        <v>No</v>
      </c>
    </row>
    <row r="144" ht="15.75" customHeight="1">
      <c r="A144" s="125" t="str">
        <f>IF('Invoice Log'!$AS122="","",TEXT('Invoice Log'!$AS122,"YYYY-MM"))</f>
        <v>2026-09</v>
      </c>
      <c r="B144" s="45">
        <f>IF('Invoice Log'!$AR122="","",'Invoice Log'!$AR122)</f>
        <v>46282</v>
      </c>
      <c r="C144" s="63">
        <f>IF('Invoice Log'!$D122="","",'Invoice Log'!$D122)</f>
        <v>22004317</v>
      </c>
      <c r="D144" s="126" t="str">
        <f>IF('Invoice Log'!$L122="","",'Invoice Log'!$E122)</f>
        <v>SGN - Day 3</v>
      </c>
      <c r="E144" s="126" t="str">
        <f>IF('Invoice Log'!$L122="","",'Invoice Log'!$J122)</f>
        <v>Complete</v>
      </c>
      <c r="F144" s="125" t="str">
        <f>IF('Invoice Log'!$L122="","",'Invoice Log'!$Q122)</f>
        <v>No</v>
      </c>
      <c r="G144" s="65">
        <f>IF($M144="Yes",'Invoice Log'!$L122,"")</f>
        <v>1847.2</v>
      </c>
      <c r="H144" s="65">
        <f>IF($M144="Yes",'Invoice Log'!$S122,"")</f>
        <v>0</v>
      </c>
      <c r="I144" s="65" t="str">
        <f>IF($M144="Yes",'Invoice Log'!$AI122,"")</f>
        <v/>
      </c>
      <c r="J144" s="127">
        <f>IF($M144="Yes",'Invoice Log'!$AO122,"")</f>
        <v>0</v>
      </c>
      <c r="K144" s="129">
        <f>IF($M144="Yes",'Invoice Log'!$AP122,"")</f>
        <v>1847.2</v>
      </c>
      <c r="L144" s="65">
        <f>IF($M144="Yes",ROUND('Invoice Log'!$AP122*Settings!$J$8,2),"")</f>
        <v>369.44</v>
      </c>
      <c r="M144" s="125" t="str">
        <f>IF(OR('Invoice Log'!$L122="",'Invoice Log'!$AS122=""),"",IF(AND('Invoice Log'!$AR122&lt;=$B$3,'Invoice Log'!$AR122&gt;=Settings!$J$10,'Invoice Log'!$J122&lt;&gt;"Cancelled"),"Yes","No"))</f>
        <v>Yes</v>
      </c>
    </row>
    <row r="145" ht="15.75" customHeight="1">
      <c r="A145" s="125" t="str">
        <f>IF('Invoice Log'!$AS123="","",TEXT('Invoice Log'!$AS123,"YYYY-MM"))</f>
        <v>2026-09</v>
      </c>
      <c r="B145" s="45">
        <f>IF('Invoice Log'!$AR123="","",'Invoice Log'!$AR123)</f>
        <v>46288</v>
      </c>
      <c r="C145" s="63">
        <f>IF('Invoice Log'!$D123="","",'Invoice Log'!$D123)</f>
        <v>22004318</v>
      </c>
      <c r="D145" s="126" t="str">
        <f>IF('Invoice Log'!$L123="","",'Invoice Log'!$E123)</f>
        <v>SGN </v>
      </c>
      <c r="E145" s="126" t="str">
        <f>IF('Invoice Log'!$L123="","",'Invoice Log'!$J123)</f>
        <v>Cancelled</v>
      </c>
      <c r="F145" s="125" t="str">
        <f>IF('Invoice Log'!$L123="","",'Invoice Log'!$Q123)</f>
        <v>No</v>
      </c>
      <c r="G145" s="65" t="str">
        <f>IF($M145="Yes",'Invoice Log'!$L123,"")</f>
        <v/>
      </c>
      <c r="H145" s="65" t="str">
        <f>IF($M145="Yes",'Invoice Log'!$S123,"")</f>
        <v/>
      </c>
      <c r="I145" s="65" t="str">
        <f>IF($M145="Yes",'Invoice Log'!$AI123,"")</f>
        <v/>
      </c>
      <c r="J145" s="127" t="str">
        <f>IF($M145="Yes",'Invoice Log'!$AO123,"")</f>
        <v/>
      </c>
      <c r="K145" s="129" t="str">
        <f>IF($M145="Yes",'Invoice Log'!$AP123,"")</f>
        <v/>
      </c>
      <c r="L145" s="65" t="str">
        <f>IF($M145="Yes",ROUND('Invoice Log'!$AP123*Settings!$J$8,2),"")</f>
        <v/>
      </c>
      <c r="M145" s="125" t="str">
        <f>IF(OR('Invoice Log'!$L123="",'Invoice Log'!$AS123=""),"",IF(AND('Invoice Log'!$AR123&lt;=$B$3,'Invoice Log'!$AR123&gt;=Settings!$J$10,'Invoice Log'!$J123&lt;&gt;"Cancelled"),"Yes","No"))</f>
        <v>No</v>
      </c>
    </row>
    <row r="146" ht="15.75" customHeight="1">
      <c r="A146" s="125" t="str">
        <f>IF('Invoice Log'!$AS124="","",TEXT('Invoice Log'!$AS124,"YYYY-MM"))</f>
        <v>2026-08</v>
      </c>
      <c r="B146" s="45">
        <f>IF('Invoice Log'!$AR124="","",'Invoice Log'!$AR124)</f>
        <v>46253</v>
      </c>
      <c r="C146" s="63">
        <f>IF('Invoice Log'!$D124="","",'Invoice Log'!$D124)</f>
        <v>22004319</v>
      </c>
      <c r="D146" s="126" t="str">
        <f>IF('Invoice Log'!$L124="","",'Invoice Log'!$E124)</f>
        <v>House of Decant</v>
      </c>
      <c r="E146" s="126" t="str">
        <f>IF('Invoice Log'!$L124="","",'Invoice Log'!$J124)</f>
        <v>Complete</v>
      </c>
      <c r="F146" s="125" t="str">
        <f>IF('Invoice Log'!$L124="","",'Invoice Log'!$Q124)</f>
        <v>No</v>
      </c>
      <c r="G146" s="65" t="str">
        <f>IF($M146="Yes",'Invoice Log'!$L124,"")</f>
        <v/>
      </c>
      <c r="H146" s="65" t="str">
        <f>IF($M146="Yes",'Invoice Log'!$S124,"")</f>
        <v/>
      </c>
      <c r="I146" s="65" t="str">
        <f>IF($M146="Yes",'Invoice Log'!$AI124,"")</f>
        <v/>
      </c>
      <c r="J146" s="127" t="str">
        <f>IF($M146="Yes",'Invoice Log'!$AO124,"")</f>
        <v/>
      </c>
      <c r="K146" s="129" t="str">
        <f>IF($M146="Yes",'Invoice Log'!$AP124,"")</f>
        <v/>
      </c>
      <c r="L146" s="65" t="str">
        <f>IF($M146="Yes",ROUND('Invoice Log'!$AP124*Settings!$J$8,2),"")</f>
        <v/>
      </c>
      <c r="M146" s="125" t="str">
        <f>IF(OR('Invoice Log'!$L124="",'Invoice Log'!$AS124=""),"",IF(AND('Invoice Log'!$AR124&lt;=$B$3,'Invoice Log'!$AR124&gt;=Settings!$J$10,'Invoice Log'!$J124&lt;&gt;"Cancelled"),"Yes","No"))</f>
        <v>No</v>
      </c>
    </row>
    <row r="147" ht="15.75" customHeight="1">
      <c r="A147" s="125" t="str">
        <f>IF('Invoice Log'!$AS125="","",TEXT('Invoice Log'!$AS125,"YYYY-MM"))</f>
        <v>2026-08</v>
      </c>
      <c r="B147" s="45">
        <f>IF('Invoice Log'!$AR125="","",'Invoice Log'!$AR125)</f>
        <v>46263</v>
      </c>
      <c r="C147" s="63">
        <f>IF('Invoice Log'!$D125="","",'Invoice Log'!$D125)</f>
        <v>22004320</v>
      </c>
      <c r="D147" s="126" t="str">
        <f>IF('Invoice Log'!$L125="","",'Invoice Log'!$E125)</f>
        <v>Catherine Lipsedge</v>
      </c>
      <c r="E147" s="126" t="str">
        <f>IF('Invoice Log'!$L125="","",'Invoice Log'!$J125)</f>
        <v>Complete</v>
      </c>
      <c r="F147" s="125" t="str">
        <f>IF('Invoice Log'!$L125="","",'Invoice Log'!$Q125)</f>
        <v>Yes</v>
      </c>
      <c r="G147" s="65" t="str">
        <f>IF($M147="Yes",'Invoice Log'!$L125,"")</f>
        <v/>
      </c>
      <c r="H147" s="65" t="str">
        <f>IF($M147="Yes",'Invoice Log'!$S125,"")</f>
        <v/>
      </c>
      <c r="I147" s="65" t="str">
        <f>IF($M147="Yes",'Invoice Log'!$AI125,"")</f>
        <v/>
      </c>
      <c r="J147" s="127" t="str">
        <f>IF($M147="Yes",'Invoice Log'!$AO125,"")</f>
        <v/>
      </c>
      <c r="K147" s="129" t="str">
        <f>IF($M147="Yes",'Invoice Log'!$AP125,"")</f>
        <v/>
      </c>
      <c r="L147" s="65" t="str">
        <f>IF($M147="Yes",ROUND('Invoice Log'!$AP125*Settings!$J$8,2),"")</f>
        <v/>
      </c>
      <c r="M147" s="125" t="str">
        <f>IF(OR('Invoice Log'!$L125="",'Invoice Log'!$AS125=""),"",IF(AND('Invoice Log'!$AR125&lt;=$B$3,'Invoice Log'!$AR125&gt;=Settings!$J$10,'Invoice Log'!$J125&lt;&gt;"Cancelled"),"Yes","No"))</f>
        <v>No</v>
      </c>
    </row>
    <row r="148" ht="15.75" customHeight="1">
      <c r="A148" s="125" t="str">
        <f>IF('Invoice Log'!$AS126="","",TEXT('Invoice Log'!$AS126,"YYYY-MM"))</f>
        <v>2026-09</v>
      </c>
      <c r="B148" s="45">
        <f>IF('Invoice Log'!$AR126="","",'Invoice Log'!$AR126)</f>
        <v>46291</v>
      </c>
      <c r="C148" s="63">
        <f>IF('Invoice Log'!$D126="","",'Invoice Log'!$D126)</f>
        <v>22004321</v>
      </c>
      <c r="D148" s="126" t="str">
        <f>IF('Invoice Log'!$L126="","",'Invoice Log'!$E126)</f>
        <v>Tracey Hall</v>
      </c>
      <c r="E148" s="126" t="str">
        <f>IF('Invoice Log'!$L126="","",'Invoice Log'!$J126)</f>
        <v>Complete</v>
      </c>
      <c r="F148" s="125" t="str">
        <f>IF('Invoice Log'!$L126="","",'Invoice Log'!$Q126)</f>
        <v>Yes</v>
      </c>
      <c r="G148" s="65">
        <f>IF($M148="Yes",'Invoice Log'!$L126,"")</f>
        <v>17199.9</v>
      </c>
      <c r="H148" s="65">
        <f>IF($M148="Yes",'Invoice Log'!$S126,"")</f>
        <v>1719.99</v>
      </c>
      <c r="I148" s="65">
        <f>IF($M148="Yes",'Invoice Log'!$AI126,"")</f>
        <v>1719.99</v>
      </c>
      <c r="J148" s="127">
        <f>IF($M148="Yes",'Invoice Log'!$AO126,"")</f>
        <v>0</v>
      </c>
      <c r="K148" s="129">
        <f>IF($M148="Yes",'Invoice Log'!$AP126,"")</f>
        <v>17199.9</v>
      </c>
      <c r="L148" s="65">
        <f>IF($M148="Yes",ROUND('Invoice Log'!$AP126*Settings!$J$8,2),"")</f>
        <v>3439.98</v>
      </c>
      <c r="M148" s="125" t="str">
        <f>IF(OR('Invoice Log'!$L126="",'Invoice Log'!$AS126=""),"",IF(AND('Invoice Log'!$AR126&lt;=$B$3,'Invoice Log'!$AR126&gt;=Settings!$J$10,'Invoice Log'!$J126&lt;&gt;"Cancelled"),"Yes","No"))</f>
        <v>Yes</v>
      </c>
    </row>
    <row r="149" ht="15.75" customHeight="1">
      <c r="A149" s="125" t="str">
        <f>IF('Invoice Log'!$AS127="","",TEXT('Invoice Log'!$AS127,"YYYY-MM"))</f>
        <v>2026-08</v>
      </c>
      <c r="B149" s="45">
        <f>IF('Invoice Log'!$AR127="","",'Invoice Log'!$AR127)</f>
        <v>46253</v>
      </c>
      <c r="C149" s="63">
        <f>IF('Invoice Log'!$D127="","",'Invoice Log'!$D127)</f>
        <v>22004322</v>
      </c>
      <c r="D149" s="126" t="str">
        <f>IF('Invoice Log'!$L127="","",'Invoice Log'!$E127)</f>
        <v>Fatih Aydin</v>
      </c>
      <c r="E149" s="126" t="str">
        <f>IF('Invoice Log'!$L127="","",'Invoice Log'!$J127)</f>
        <v>Complete</v>
      </c>
      <c r="F149" s="125" t="str">
        <f>IF('Invoice Log'!$L127="","",'Invoice Log'!$Q127)</f>
        <v>No</v>
      </c>
      <c r="G149" s="65" t="str">
        <f>IF($M149="Yes",'Invoice Log'!$L127,"")</f>
        <v/>
      </c>
      <c r="H149" s="65" t="str">
        <f>IF($M149="Yes",'Invoice Log'!$S127,"")</f>
        <v/>
      </c>
      <c r="I149" s="65" t="str">
        <f>IF($M149="Yes",'Invoice Log'!$AI127,"")</f>
        <v/>
      </c>
      <c r="J149" s="127" t="str">
        <f>IF($M149="Yes",'Invoice Log'!$AO127,"")</f>
        <v/>
      </c>
      <c r="K149" s="129" t="str">
        <f>IF($M149="Yes",'Invoice Log'!$AP127,"")</f>
        <v/>
      </c>
      <c r="L149" s="65" t="str">
        <f>IF($M149="Yes",ROUND('Invoice Log'!$AP127*Settings!$J$8,2),"")</f>
        <v/>
      </c>
      <c r="M149" s="125" t="str">
        <f>IF(OR('Invoice Log'!$L127="",'Invoice Log'!$AS127=""),"",IF(AND('Invoice Log'!$AR127&lt;=$B$3,'Invoice Log'!$AR127&gt;=Settings!$J$10,'Invoice Log'!$J127&lt;&gt;"Cancelled"),"Yes","No"))</f>
        <v>No</v>
      </c>
    </row>
    <row r="150" ht="15.75" customHeight="1">
      <c r="A150" s="125" t="str">
        <f>IF('Invoice Log'!$AS128="","",TEXT('Invoice Log'!$AS128,"YYYY-MM"))</f>
        <v>2026-09</v>
      </c>
      <c r="B150" s="45">
        <f>IF('Invoice Log'!$AR128="","",'Invoice Log'!$AR128)</f>
        <v>46282</v>
      </c>
      <c r="C150" s="63">
        <f>IF('Invoice Log'!$D128="","",'Invoice Log'!$D128)</f>
        <v>22004323</v>
      </c>
      <c r="D150" s="126" t="str">
        <f>IF('Invoice Log'!$L128="","",'Invoice Log'!$E128)</f>
        <v>Isokinetic</v>
      </c>
      <c r="E150" s="126" t="str">
        <f>IF('Invoice Log'!$L128="","",'Invoice Log'!$J128)</f>
        <v>Complete</v>
      </c>
      <c r="F150" s="125" t="str">
        <f>IF('Invoice Log'!$L128="","",'Invoice Log'!$Q128)</f>
        <v>Yes</v>
      </c>
      <c r="G150" s="65">
        <f>IF($M150="Yes",'Invoice Log'!$L128,"")</f>
        <v>5432.25</v>
      </c>
      <c r="H150" s="65">
        <f>IF($M150="Yes",'Invoice Log'!$S128,"")</f>
        <v>543.23</v>
      </c>
      <c r="I150" s="65">
        <f>IF($M150="Yes",'Invoice Log'!$AI128,"")</f>
        <v>543.23</v>
      </c>
      <c r="J150" s="127">
        <f>IF($M150="Yes",'Invoice Log'!$AO128,"")</f>
        <v>0</v>
      </c>
      <c r="K150" s="129">
        <f>IF($M150="Yes",'Invoice Log'!$AP128,"")</f>
        <v>5432.25</v>
      </c>
      <c r="L150" s="65">
        <f>IF($M150="Yes",ROUND('Invoice Log'!$AP128*Settings!$J$8,2),"")</f>
        <v>1086.45</v>
      </c>
      <c r="M150" s="125" t="str">
        <f>IF(OR('Invoice Log'!$L128="",'Invoice Log'!$AS128=""),"",IF(AND('Invoice Log'!$AR128&lt;=$B$3,'Invoice Log'!$AR128&gt;=Settings!$J$10,'Invoice Log'!$J128&lt;&gt;"Cancelled"),"Yes","No"))</f>
        <v>Yes</v>
      </c>
    </row>
    <row r="151" ht="15.75" customHeight="1">
      <c r="A151" s="125" t="str">
        <f>IF('Invoice Log'!$AS129="","",TEXT('Invoice Log'!$AS129,"YYYY-MM"))</f>
        <v>2026-09</v>
      </c>
      <c r="B151" s="45">
        <f>IF('Invoice Log'!$AR129="","",'Invoice Log'!$AR129)</f>
        <v>46282</v>
      </c>
      <c r="C151" s="63">
        <f>IF('Invoice Log'!$D129="","",'Invoice Log'!$D129)</f>
        <v>22004324</v>
      </c>
      <c r="D151" s="126" t="str">
        <f>IF('Invoice Log'!$L129="","",'Invoice Log'!$E129)</f>
        <v>TaiPing</v>
      </c>
      <c r="E151" s="126" t="str">
        <f>IF('Invoice Log'!$L129="","",'Invoice Log'!$J129)</f>
        <v>Complete</v>
      </c>
      <c r="F151" s="125" t="str">
        <f>IF('Invoice Log'!$L129="","",'Invoice Log'!$Q129)</f>
        <v>No</v>
      </c>
      <c r="G151" s="65">
        <f>IF($M151="Yes",'Invoice Log'!$L129,"")</f>
        <v>312</v>
      </c>
      <c r="H151" s="65">
        <f>IF($M151="Yes",'Invoice Log'!$S129,"")</f>
        <v>0</v>
      </c>
      <c r="I151" s="65" t="str">
        <f>IF($M151="Yes",'Invoice Log'!$AI129,"")</f>
        <v/>
      </c>
      <c r="J151" s="127">
        <f>IF($M151="Yes",'Invoice Log'!$AO129,"")</f>
        <v>0</v>
      </c>
      <c r="K151" s="129">
        <f>IF($M151="Yes",'Invoice Log'!$AP129,"")</f>
        <v>312</v>
      </c>
      <c r="L151" s="65">
        <f>IF($M151="Yes",ROUND('Invoice Log'!$AP129*Settings!$J$8,2),"")</f>
        <v>62.4</v>
      </c>
      <c r="M151" s="125" t="str">
        <f>IF(OR('Invoice Log'!$L129="",'Invoice Log'!$AS129=""),"",IF(AND('Invoice Log'!$AR129&lt;=$B$3,'Invoice Log'!$AR129&gt;=Settings!$J$10,'Invoice Log'!$J129&lt;&gt;"Cancelled"),"Yes","No"))</f>
        <v>Yes</v>
      </c>
    </row>
    <row r="152" ht="15.75" customHeight="1">
      <c r="A152" s="125" t="str">
        <f>IF('Invoice Log'!$AS130="","",TEXT('Invoice Log'!$AS130,"YYYY-MM"))</f>
        <v/>
      </c>
      <c r="B152" s="45" t="str">
        <f>IF('Invoice Log'!$AR130="","",'Invoice Log'!$AR130)</f>
        <v/>
      </c>
      <c r="C152" s="63">
        <f>IF('Invoice Log'!$D130="","",'Invoice Log'!$D130)</f>
        <v>22004325</v>
      </c>
      <c r="D152" s="126" t="str">
        <f>IF('Invoice Log'!$L130="","",'Invoice Log'!$E130)</f>
        <v/>
      </c>
      <c r="E152" s="126" t="str">
        <f>IF('Invoice Log'!$L130="","",'Invoice Log'!$J130)</f>
        <v/>
      </c>
      <c r="F152" s="125" t="str">
        <f>IF('Invoice Log'!$L130="","",'Invoice Log'!$Q130)</f>
        <v/>
      </c>
      <c r="G152" s="65" t="str">
        <f>IF($M152="Yes",'Invoice Log'!$L130,"")</f>
        <v/>
      </c>
      <c r="H152" s="65" t="str">
        <f>IF($M152="Yes",'Invoice Log'!$S130,"")</f>
        <v/>
      </c>
      <c r="I152" s="65" t="str">
        <f>IF($M152="Yes",'Invoice Log'!$AI130,"")</f>
        <v/>
      </c>
      <c r="J152" s="127" t="str">
        <f>IF($M152="Yes",'Invoice Log'!$AO130,"")</f>
        <v/>
      </c>
      <c r="K152" s="129" t="str">
        <f>IF($M152="Yes",'Invoice Log'!$AP130,"")</f>
        <v/>
      </c>
      <c r="L152" s="65" t="str">
        <f>IF($M152="Yes",ROUND('Invoice Log'!$AP130*Settings!$J$8,2),"")</f>
        <v/>
      </c>
      <c r="M152" s="125" t="str">
        <f>IF(OR('Invoice Log'!$L130="",'Invoice Log'!$AS130=""),"",IF(AND('Invoice Log'!$AR130&lt;=$B$3,'Invoice Log'!$AR130&gt;=Settings!$J$10,'Invoice Log'!$J130&lt;&gt;"Cancelled"),"Yes","No"))</f>
        <v/>
      </c>
    </row>
    <row r="153" ht="15.75" customHeight="1">
      <c r="A153" s="125" t="str">
        <f>IF('Invoice Log'!$AS131="","",TEXT('Invoice Log'!$AS131,"YYYY-MM"))</f>
        <v>2026-08</v>
      </c>
      <c r="B153" s="45">
        <f>IF('Invoice Log'!$AR131="","",'Invoice Log'!$AR131)</f>
        <v>46262</v>
      </c>
      <c r="C153" s="63">
        <f>IF('Invoice Log'!$D131="","",'Invoice Log'!$D131)</f>
        <v>22004326</v>
      </c>
      <c r="D153" s="126" t="str">
        <f>IF('Invoice Log'!$L131="","",'Invoice Log'!$E131)</f>
        <v>Obeetee Tasting box</v>
      </c>
      <c r="E153" s="126" t="str">
        <f>IF('Invoice Log'!$L131="","",'Invoice Log'!$J131)</f>
        <v>Complete</v>
      </c>
      <c r="F153" s="125" t="str">
        <f>IF('Invoice Log'!$L131="","",'Invoice Log'!$Q131)</f>
        <v>No</v>
      </c>
      <c r="G153" s="65" t="str">
        <f>IF($M153="Yes",'Invoice Log'!$L131,"")</f>
        <v/>
      </c>
      <c r="H153" s="65" t="str">
        <f>IF($M153="Yes",'Invoice Log'!$S131,"")</f>
        <v/>
      </c>
      <c r="I153" s="65" t="str">
        <f>IF($M153="Yes",'Invoice Log'!$AI131,"")</f>
        <v/>
      </c>
      <c r="J153" s="127" t="str">
        <f>IF($M153="Yes",'Invoice Log'!$AO131,"")</f>
        <v/>
      </c>
      <c r="K153" s="129" t="str">
        <f>IF($M153="Yes",'Invoice Log'!$AP131,"")</f>
        <v/>
      </c>
      <c r="L153" s="65" t="str">
        <f>IF($M153="Yes",ROUND('Invoice Log'!$AP131*Settings!$J$8,2),"")</f>
        <v/>
      </c>
      <c r="M153" s="125" t="str">
        <f>IF(OR('Invoice Log'!$L131="",'Invoice Log'!$AS131=""),"",IF(AND('Invoice Log'!$AR131&lt;=$B$3,'Invoice Log'!$AR131&gt;=Settings!$J$10,'Invoice Log'!$J131&lt;&gt;"Cancelled"),"Yes","No"))</f>
        <v>No</v>
      </c>
    </row>
    <row r="154" ht="15.75" customHeight="1">
      <c r="A154" s="125" t="str">
        <f>IF('Invoice Log'!$AS132="","",TEXT('Invoice Log'!$AS132,"YYYY-MM"))</f>
        <v>2026-09</v>
      </c>
      <c r="B154" s="45">
        <f>IF('Invoice Log'!$AR132="","",'Invoice Log'!$AR132)</f>
        <v>46266</v>
      </c>
      <c r="C154" s="63">
        <f>IF('Invoice Log'!$D132="","",'Invoice Log'!$D132)</f>
        <v>22004327</v>
      </c>
      <c r="D154" s="126" t="str">
        <f>IF('Invoice Log'!$L132="","",'Invoice Log'!$E132)</f>
        <v>House of Decant</v>
      </c>
      <c r="E154" s="126" t="str">
        <f>IF('Invoice Log'!$L132="","",'Invoice Log'!$J132)</f>
        <v>Complete</v>
      </c>
      <c r="F154" s="125" t="str">
        <f>IF('Invoice Log'!$L132="","",'Invoice Log'!$Q132)</f>
        <v>No</v>
      </c>
      <c r="G154" s="65">
        <f>IF($M154="Yes",'Invoice Log'!$L132,"")</f>
        <v>1010</v>
      </c>
      <c r="H154" s="65">
        <f>IF($M154="Yes",'Invoice Log'!$S132,"")</f>
        <v>0</v>
      </c>
      <c r="I154" s="65" t="str">
        <f>IF($M154="Yes",'Invoice Log'!$AI132,"")</f>
        <v/>
      </c>
      <c r="J154" s="127">
        <f>IF($M154="Yes",'Invoice Log'!$AO132,"")</f>
        <v>0</v>
      </c>
      <c r="K154" s="129">
        <f>IF($M154="Yes",'Invoice Log'!$AP132,"")</f>
        <v>1010</v>
      </c>
      <c r="L154" s="65">
        <f>IF($M154="Yes",ROUND('Invoice Log'!$AP132*Settings!$J$8,2),"")</f>
        <v>202</v>
      </c>
      <c r="M154" s="125" t="str">
        <f>IF(OR('Invoice Log'!$L132="",'Invoice Log'!$AS132=""),"",IF(AND('Invoice Log'!$AR132&lt;=$B$3,'Invoice Log'!$AR132&gt;=Settings!$J$10,'Invoice Log'!$J132&lt;&gt;"Cancelled"),"Yes","No"))</f>
        <v>Yes</v>
      </c>
    </row>
    <row r="155" ht="15.75" customHeight="1">
      <c r="A155" s="125" t="str">
        <f>IF('Invoice Log'!$AS133="","",TEXT('Invoice Log'!$AS133,"YYYY-MM"))</f>
        <v>2026-10</v>
      </c>
      <c r="B155" s="45">
        <f>IF('Invoice Log'!$AR133="","",'Invoice Log'!$AR133)</f>
        <v>46314</v>
      </c>
      <c r="C155" s="63">
        <f>IF('Invoice Log'!$D133="","",'Invoice Log'!$D133)</f>
        <v>22004328</v>
      </c>
      <c r="D155" s="126" t="str">
        <f>IF('Invoice Log'!$L133="","",'Invoice Log'!$E133)</f>
        <v>Perenco Holdings</v>
      </c>
      <c r="E155" s="126" t="str">
        <f>IF('Invoice Log'!$L133="","",'Invoice Log'!$J133)</f>
        <v>Complete</v>
      </c>
      <c r="F155" s="125" t="str">
        <f>IF('Invoice Log'!$L133="","",'Invoice Log'!$Q133)</f>
        <v>No</v>
      </c>
      <c r="G155" s="65" t="str">
        <f>IF($M155="Yes",'Invoice Log'!$L133,"")</f>
        <v/>
      </c>
      <c r="H155" s="65" t="str">
        <f>IF($M155="Yes",'Invoice Log'!$S133,"")</f>
        <v/>
      </c>
      <c r="I155" s="65" t="str">
        <f>IF($M155="Yes",'Invoice Log'!$AI133,"")</f>
        <v/>
      </c>
      <c r="J155" s="127" t="str">
        <f>IF($M155="Yes",'Invoice Log'!$AO133,"")</f>
        <v/>
      </c>
      <c r="K155" s="129" t="str">
        <f>IF($M155="Yes",'Invoice Log'!$AP133,"")</f>
        <v/>
      </c>
      <c r="L155" s="65" t="str">
        <f>IF($M155="Yes",ROUND('Invoice Log'!$AP133*Settings!$J$8,2),"")</f>
        <v/>
      </c>
      <c r="M155" s="125" t="str">
        <f>IF(OR('Invoice Log'!$L133="",'Invoice Log'!$AS133=""),"",IF(AND('Invoice Log'!$AR133&lt;=$B$3,'Invoice Log'!$AR133&gt;=Settings!$J$10,'Invoice Log'!$J133&lt;&gt;"Cancelled"),"Yes","No"))</f>
        <v>No</v>
      </c>
    </row>
    <row r="156" ht="15.75" customHeight="1">
      <c r="A156" s="125" t="str">
        <f>IF('Invoice Log'!$AS134="","",TEXT('Invoice Log'!$AS134,"YYYY-MM"))</f>
        <v>2026-09</v>
      </c>
      <c r="B156" s="45">
        <f>IF('Invoice Log'!$AR134="","",'Invoice Log'!$AR134)</f>
        <v>46274</v>
      </c>
      <c r="C156" s="63">
        <f>IF('Invoice Log'!$D134="","",'Invoice Log'!$D134)</f>
        <v>22004329</v>
      </c>
      <c r="D156" s="126" t="str">
        <f>IF('Invoice Log'!$L134="","",'Invoice Log'!$E134)</f>
        <v>AET Limited</v>
      </c>
      <c r="E156" s="126" t="str">
        <f>IF('Invoice Log'!$L134="","",'Invoice Log'!$J134)</f>
        <v>Complete</v>
      </c>
      <c r="F156" s="125" t="str">
        <f>IF('Invoice Log'!$L134="","",'Invoice Log'!$Q134)</f>
        <v>Yes</v>
      </c>
      <c r="G156" s="65">
        <f>IF($M156="Yes",'Invoice Log'!$L134,"")</f>
        <v>5892.25</v>
      </c>
      <c r="H156" s="65">
        <f>IF($M156="Yes",'Invoice Log'!$S134,"")</f>
        <v>589.23</v>
      </c>
      <c r="I156" s="65">
        <f>IF($M156="Yes",'Invoice Log'!$AI134,"")</f>
        <v>280.8</v>
      </c>
      <c r="J156" s="127">
        <f>IF($M156="Yes",'Invoice Log'!$AO134,"")</f>
        <v>308.43</v>
      </c>
      <c r="K156" s="129">
        <f>IF($M156="Yes",'Invoice Log'!$AP134,"")</f>
        <v>6200.68</v>
      </c>
      <c r="L156" s="65">
        <f>IF($M156="Yes",ROUND('Invoice Log'!$AP134*Settings!$J$8,2),"")</f>
        <v>1240.14</v>
      </c>
      <c r="M156" s="125" t="str">
        <f>IF(OR('Invoice Log'!$L134="",'Invoice Log'!$AS134=""),"",IF(AND('Invoice Log'!$AR134&lt;=$B$3,'Invoice Log'!$AR134&gt;=Settings!$J$10,'Invoice Log'!$J134&lt;&gt;"Cancelled"),"Yes","No"))</f>
        <v>Yes</v>
      </c>
    </row>
    <row r="157" ht="15.75" customHeight="1">
      <c r="A157" s="125" t="str">
        <f>IF('Invoice Log'!$AS135="","",TEXT('Invoice Log'!$AS135,"YYYY-MM"))</f>
        <v>2026-09</v>
      </c>
      <c r="B157" s="45">
        <f>IF('Invoice Log'!$AR135="","",'Invoice Log'!$AR135)</f>
        <v>46270</v>
      </c>
      <c r="C157" s="63">
        <f>IF('Invoice Log'!$D135="","",'Invoice Log'!$D135)</f>
        <v>22004330</v>
      </c>
      <c r="D157" s="126" t="str">
        <f>IF('Invoice Log'!$L135="","",'Invoice Log'!$E135)</f>
        <v>Marsha Rose</v>
      </c>
      <c r="E157" s="126" t="str">
        <f>IF('Invoice Log'!$L135="","",'Invoice Log'!$J135)</f>
        <v>Complete</v>
      </c>
      <c r="F157" s="125" t="str">
        <f>IF('Invoice Log'!$L135="","",'Invoice Log'!$Q135)</f>
        <v>Yes</v>
      </c>
      <c r="G157" s="65">
        <f>IF($M157="Yes",'Invoice Log'!$L135,"")</f>
        <v>2209.6</v>
      </c>
      <c r="H157" s="65">
        <f>IF($M157="Yes",'Invoice Log'!$S135,"")</f>
        <v>220.96</v>
      </c>
      <c r="I157" s="65">
        <f>IF($M157="Yes",'Invoice Log'!$AI135,"")</f>
        <v>220.96</v>
      </c>
      <c r="J157" s="127">
        <f>IF($M157="Yes",'Invoice Log'!$AO135,"")</f>
        <v>0</v>
      </c>
      <c r="K157" s="129">
        <f>IF($M157="Yes",'Invoice Log'!$AP135,"")</f>
        <v>2209.6</v>
      </c>
      <c r="L157" s="65">
        <f>IF($M157="Yes",ROUND('Invoice Log'!$AP135*Settings!$J$8,2),"")</f>
        <v>441.92</v>
      </c>
      <c r="M157" s="125" t="str">
        <f>IF(OR('Invoice Log'!$L135="",'Invoice Log'!$AS135=""),"",IF(AND('Invoice Log'!$AR135&lt;=$B$3,'Invoice Log'!$AR135&gt;=Settings!$J$10,'Invoice Log'!$J135&lt;&gt;"Cancelled"),"Yes","No"))</f>
        <v>Yes</v>
      </c>
    </row>
    <row r="158" ht="15.75" customHeight="1">
      <c r="A158" s="125" t="str">
        <f>IF('Invoice Log'!$AS136="","",TEXT('Invoice Log'!$AS136,"YYYY-MM"))</f>
        <v>2026-09</v>
      </c>
      <c r="B158" s="45">
        <f>IF('Invoice Log'!$AR136="","",'Invoice Log'!$AR136)</f>
        <v>46281</v>
      </c>
      <c r="C158" s="63">
        <f>IF('Invoice Log'!$D136="","",'Invoice Log'!$D136)</f>
        <v>22004331</v>
      </c>
      <c r="D158" s="126" t="str">
        <f>IF('Invoice Log'!$L136="","",'Invoice Log'!$E136)</f>
        <v>Obeetee</v>
      </c>
      <c r="E158" s="126" t="str">
        <f>IF('Invoice Log'!$L136="","",'Invoice Log'!$J136)</f>
        <v>Complete</v>
      </c>
      <c r="F158" s="125" t="str">
        <f>IF('Invoice Log'!$L136="","",'Invoice Log'!$Q136)</f>
        <v>Yes</v>
      </c>
      <c r="G158" s="65">
        <f>IF($M158="Yes",'Invoice Log'!$L136,"")</f>
        <v>1596</v>
      </c>
      <c r="H158" s="65">
        <f>IF($M158="Yes",'Invoice Log'!$S136,"")</f>
        <v>159.6</v>
      </c>
      <c r="I158" s="65">
        <f>IF($M158="Yes",'Invoice Log'!$AI136,"")</f>
        <v>159.6</v>
      </c>
      <c r="J158" s="127">
        <f>IF($M158="Yes",'Invoice Log'!$AO136,"")</f>
        <v>0</v>
      </c>
      <c r="K158" s="129">
        <f>IF($M158="Yes",'Invoice Log'!$AP136,"")</f>
        <v>1596</v>
      </c>
      <c r="L158" s="65">
        <f>IF($M158="Yes",ROUND('Invoice Log'!$AP136*Settings!$J$8,2),"")</f>
        <v>319.2</v>
      </c>
      <c r="M158" s="125" t="str">
        <f>IF(OR('Invoice Log'!$L136="",'Invoice Log'!$AS136=""),"",IF(AND('Invoice Log'!$AR136&lt;=$B$3,'Invoice Log'!$AR136&gt;=Settings!$J$10,'Invoice Log'!$J136&lt;&gt;"Cancelled"),"Yes","No"))</f>
        <v>Yes</v>
      </c>
    </row>
    <row r="159" ht="15.75" customHeight="1">
      <c r="A159" s="125" t="str">
        <f>IF('Invoice Log'!$AS137="","",TEXT('Invoice Log'!$AS137,"YYYY-MM"))</f>
        <v>2026-11</v>
      </c>
      <c r="B159" s="45">
        <f>IF('Invoice Log'!$AR137="","",'Invoice Log'!$AR137)</f>
        <v>46336</v>
      </c>
      <c r="C159" s="63">
        <f>IF('Invoice Log'!$D137="","",'Invoice Log'!$D137)</f>
        <v>22004332</v>
      </c>
      <c r="D159" s="126" t="str">
        <f>IF('Invoice Log'!$L137="","",'Invoice Log'!$E137)</f>
        <v>Canada UK Chambers</v>
      </c>
      <c r="E159" s="126" t="str">
        <f>IF('Invoice Log'!$L137="","",'Invoice Log'!$J137)</f>
        <v/>
      </c>
      <c r="F159" s="125" t="str">
        <f>IF('Invoice Log'!$L137="","",'Invoice Log'!$Q137)</f>
        <v>Yes</v>
      </c>
      <c r="G159" s="65" t="str">
        <f>IF($M159="Yes",'Invoice Log'!$L137,"")</f>
        <v/>
      </c>
      <c r="H159" s="65" t="str">
        <f>IF($M159="Yes",'Invoice Log'!$S137,"")</f>
        <v/>
      </c>
      <c r="I159" s="65" t="str">
        <f>IF($M159="Yes",'Invoice Log'!$AI137,"")</f>
        <v/>
      </c>
      <c r="J159" s="127" t="str">
        <f>IF($M159="Yes",'Invoice Log'!$AO137,"")</f>
        <v/>
      </c>
      <c r="K159" s="129" t="str">
        <f>IF($M159="Yes",'Invoice Log'!$AP137,"")</f>
        <v/>
      </c>
      <c r="L159" s="65" t="str">
        <f>IF($M159="Yes",ROUND('Invoice Log'!$AP137*Settings!$J$8,2),"")</f>
        <v/>
      </c>
      <c r="M159" s="125" t="str">
        <f>IF(OR('Invoice Log'!$L137="",'Invoice Log'!$AS137=""),"",IF(AND('Invoice Log'!$AR137&lt;=$B$3,'Invoice Log'!$AR137&gt;=Settings!$J$10,'Invoice Log'!$J137&lt;&gt;"Cancelled"),"Yes","No"))</f>
        <v>No</v>
      </c>
    </row>
    <row r="160" ht="15.75" customHeight="1">
      <c r="A160" s="125" t="str">
        <f>IF('Invoice Log'!$AS138="","",TEXT('Invoice Log'!$AS138,"YYYY-MM"))</f>
        <v>2026-09</v>
      </c>
      <c r="B160" s="45">
        <f>IF('Invoice Log'!$AR138="","",'Invoice Log'!$AR138)</f>
        <v>46295</v>
      </c>
      <c r="C160" s="63">
        <f>IF('Invoice Log'!$D138="","",'Invoice Log'!$D138)</f>
        <v>22004333</v>
      </c>
      <c r="D160" s="126" t="str">
        <f>IF('Invoice Log'!$L138="","",'Invoice Log'!$E138)</f>
        <v>House of Decant</v>
      </c>
      <c r="E160" s="126" t="str">
        <f>IF('Invoice Log'!$L138="","",'Invoice Log'!$J138)</f>
        <v>Complete</v>
      </c>
      <c r="F160" s="125" t="str">
        <f>IF('Invoice Log'!$L138="","",'Invoice Log'!$Q138)</f>
        <v>No</v>
      </c>
      <c r="G160" s="65">
        <f>IF($M160="Yes",'Invoice Log'!$L138,"")</f>
        <v>576</v>
      </c>
      <c r="H160" s="65">
        <f>IF($M160="Yes",'Invoice Log'!$S138,"")</f>
        <v>0</v>
      </c>
      <c r="I160" s="65" t="str">
        <f>IF($M160="Yes",'Invoice Log'!$AI138,"")</f>
        <v/>
      </c>
      <c r="J160" s="127">
        <f>IF($M160="Yes",'Invoice Log'!$AO138,"")</f>
        <v>0</v>
      </c>
      <c r="K160" s="129">
        <f>IF($M160="Yes",'Invoice Log'!$AP138,"")</f>
        <v>576</v>
      </c>
      <c r="L160" s="65">
        <f>IF($M160="Yes",ROUND('Invoice Log'!$AP138*Settings!$J$8,2),"")</f>
        <v>115.2</v>
      </c>
      <c r="M160" s="125" t="str">
        <f>IF(OR('Invoice Log'!$L138="",'Invoice Log'!$AS138=""),"",IF(AND('Invoice Log'!$AR138&lt;=$B$3,'Invoice Log'!$AR138&gt;=Settings!$J$10,'Invoice Log'!$J138&lt;&gt;"Cancelled"),"Yes","No"))</f>
        <v>Yes</v>
      </c>
    </row>
    <row r="161" ht="15.75" customHeight="1">
      <c r="A161" s="125" t="str">
        <f>IF('Invoice Log'!$AS139="","",TEXT('Invoice Log'!$AS139,"YYYY-MM"))</f>
        <v>2026-09</v>
      </c>
      <c r="B161" s="45">
        <f>IF('Invoice Log'!$AR139="","",'Invoice Log'!$AR139)</f>
        <v>46275</v>
      </c>
      <c r="C161" s="63">
        <f>IF('Invoice Log'!$D139="","",'Invoice Log'!$D139)</f>
        <v>22004334</v>
      </c>
      <c r="D161" s="126" t="str">
        <f>IF('Invoice Log'!$L139="","",'Invoice Log'!$E139)</f>
        <v>Amazon</v>
      </c>
      <c r="E161" s="126" t="str">
        <f>IF('Invoice Log'!$L139="","",'Invoice Log'!$J139)</f>
        <v>Complete</v>
      </c>
      <c r="F161" s="125" t="str">
        <f>IF('Invoice Log'!$L139="","",'Invoice Log'!$Q139)</f>
        <v>No</v>
      </c>
      <c r="G161" s="65">
        <f>IF($M161="Yes",'Invoice Log'!$L139,"")</f>
        <v>1216.5</v>
      </c>
      <c r="H161" s="65">
        <f>IF($M161="Yes",'Invoice Log'!$S139,"")</f>
        <v>0</v>
      </c>
      <c r="I161" s="65" t="str">
        <f>IF($M161="Yes",'Invoice Log'!$AI139,"")</f>
        <v/>
      </c>
      <c r="J161" s="127">
        <f>IF($M161="Yes",'Invoice Log'!$AO139,"")</f>
        <v>0</v>
      </c>
      <c r="K161" s="129">
        <f>IF($M161="Yes",'Invoice Log'!$AP139,"")</f>
        <v>1216.5</v>
      </c>
      <c r="L161" s="65">
        <f>IF($M161="Yes",ROUND('Invoice Log'!$AP139*Settings!$J$8,2),"")</f>
        <v>243.3</v>
      </c>
      <c r="M161" s="125" t="str">
        <f>IF(OR('Invoice Log'!$L139="",'Invoice Log'!$AS139=""),"",IF(AND('Invoice Log'!$AR139&lt;=$B$3,'Invoice Log'!$AR139&gt;=Settings!$J$10,'Invoice Log'!$J139&lt;&gt;"Cancelled"),"Yes","No"))</f>
        <v>Yes</v>
      </c>
    </row>
    <row r="162" ht="15.75" customHeight="1">
      <c r="A162" s="125" t="str">
        <f>IF('Invoice Log'!$AS140="","",TEXT('Invoice Log'!$AS140,"YYYY-MM"))</f>
        <v>2026-09</v>
      </c>
      <c r="B162" s="45">
        <f>IF('Invoice Log'!$AR140="","",'Invoice Log'!$AR140)</f>
        <v>46277</v>
      </c>
      <c r="C162" s="63">
        <f>IF('Invoice Log'!$D140="","",'Invoice Log'!$D140)</f>
        <v>22004335</v>
      </c>
      <c r="D162" s="126" t="str">
        <f>IF('Invoice Log'!$L140="","",'Invoice Log'!$E140)</f>
        <v>Erin  Eisenberg</v>
      </c>
      <c r="E162" s="126" t="str">
        <f>IF('Invoice Log'!$L140="","",'Invoice Log'!$J140)</f>
        <v>Refund Due</v>
      </c>
      <c r="F162" s="125" t="str">
        <f>IF('Invoice Log'!$L140="","",'Invoice Log'!$Q140)</f>
        <v>Yes</v>
      </c>
      <c r="G162" s="65">
        <f>IF($M162="Yes",'Invoice Log'!$L140,"")</f>
        <v>1256</v>
      </c>
      <c r="H162" s="65">
        <f>IF($M162="Yes",'Invoice Log'!$S140,"")</f>
        <v>125.6</v>
      </c>
      <c r="I162" s="65">
        <f>IF($M162="Yes",'Invoice Log'!$AI140,"")</f>
        <v>125.6</v>
      </c>
      <c r="J162" s="127">
        <f>IF($M162="Yes",'Invoice Log'!$AO140,"")</f>
        <v>0</v>
      </c>
      <c r="K162" s="129">
        <f>IF($M162="Yes",'Invoice Log'!$AP140,"")</f>
        <v>1256</v>
      </c>
      <c r="L162" s="65">
        <f>IF($M162="Yes",ROUND('Invoice Log'!$AP140*Settings!$J$8,2),"")</f>
        <v>251.2</v>
      </c>
      <c r="M162" s="125" t="str">
        <f>IF(OR('Invoice Log'!$L140="",'Invoice Log'!$AS140=""),"",IF(AND('Invoice Log'!$AR140&lt;=$B$3,'Invoice Log'!$AR140&gt;=Settings!$J$10,'Invoice Log'!$J140&lt;&gt;"Cancelled"),"Yes","No"))</f>
        <v>Yes</v>
      </c>
    </row>
    <row r="163" ht="15.75" customHeight="1">
      <c r="A163" s="125" t="str">
        <f>IF('Invoice Log'!$AS141="","",TEXT('Invoice Log'!$AS141,"YYYY-MM"))</f>
        <v>2026-10</v>
      </c>
      <c r="B163" s="45">
        <f>IF('Invoice Log'!$AR141="","",'Invoice Log'!$AR141)</f>
        <v>46296</v>
      </c>
      <c r="C163" s="63">
        <f>IF('Invoice Log'!$D141="","",'Invoice Log'!$D141)</f>
        <v>22004336</v>
      </c>
      <c r="D163" s="126" t="str">
        <f>IF('Invoice Log'!$L141="","",'Invoice Log'!$E141)</f>
        <v>Zenith Bank (Day 1 &amp; 2)</v>
      </c>
      <c r="E163" s="126" t="str">
        <f>IF('Invoice Log'!$L141="","",'Invoice Log'!$J141)</f>
        <v>Paid in Full</v>
      </c>
      <c r="F163" s="125" t="str">
        <f>IF('Invoice Log'!$L141="","",'Invoice Log'!$Q141)</f>
        <v>Yes</v>
      </c>
      <c r="G163" s="65">
        <f>IF($M163="Yes",'Invoice Log'!$L141,"")</f>
        <v>3877.6</v>
      </c>
      <c r="H163" s="65">
        <f>IF($M163="Yes",'Invoice Log'!$S141,"")</f>
        <v>387.76</v>
      </c>
      <c r="I163" s="65">
        <f>IF($M163="Yes",'Invoice Log'!$AI141,"")</f>
        <v>387.76</v>
      </c>
      <c r="J163" s="127">
        <f>IF($M163="Yes",'Invoice Log'!$AO141,"")</f>
        <v>0</v>
      </c>
      <c r="K163" s="129">
        <f>IF($M163="Yes",'Invoice Log'!$AP141,"")</f>
        <v>3877.6</v>
      </c>
      <c r="L163" s="65">
        <f>IF($M163="Yes",ROUND('Invoice Log'!$AP141*Settings!$J$8,2),"")</f>
        <v>775.52</v>
      </c>
      <c r="M163" s="125" t="str">
        <f>IF(OR('Invoice Log'!$L141="",'Invoice Log'!$AS141=""),"",IF(AND('Invoice Log'!$AR141&lt;=$B$3,'Invoice Log'!$AR141&gt;=Settings!$J$10,'Invoice Log'!$J141&lt;&gt;"Cancelled"),"Yes","No"))</f>
        <v>Yes</v>
      </c>
    </row>
    <row r="164" ht="15.75" customHeight="1">
      <c r="A164" s="125" t="str">
        <f>IF('Invoice Log'!$AS142="","",TEXT('Invoice Log'!$AS142,"YYYY-MM"))</f>
        <v>2026-09</v>
      </c>
      <c r="B164" s="45">
        <f>IF('Invoice Log'!$AR142="","",'Invoice Log'!$AR142)</f>
        <v>46288</v>
      </c>
      <c r="C164" s="63">
        <f>IF('Invoice Log'!$D142="","",'Invoice Log'!$D142)</f>
        <v>22004337</v>
      </c>
      <c r="D164" s="126" t="str">
        <f>IF('Invoice Log'!$L142="","",'Invoice Log'!$E142)</f>
        <v>SGN</v>
      </c>
      <c r="E164" s="126" t="str">
        <f>IF('Invoice Log'!$L142="","",'Invoice Log'!$J142)</f>
        <v>Complete</v>
      </c>
      <c r="F164" s="125" t="str">
        <f>IF('Invoice Log'!$L142="","",'Invoice Log'!$Q142)</f>
        <v>No</v>
      </c>
      <c r="G164" s="65">
        <f>IF($M164="Yes",'Invoice Log'!$L142,"")</f>
        <v>885</v>
      </c>
      <c r="H164" s="65">
        <f>IF($M164="Yes",'Invoice Log'!$S142,"")</f>
        <v>0</v>
      </c>
      <c r="I164" s="65" t="str">
        <f>IF($M164="Yes",'Invoice Log'!$AI142,"")</f>
        <v/>
      </c>
      <c r="J164" s="127">
        <f>IF($M164="Yes",'Invoice Log'!$AO142,"")</f>
        <v>0</v>
      </c>
      <c r="K164" s="129">
        <f>IF($M164="Yes",'Invoice Log'!$AP142,"")</f>
        <v>885</v>
      </c>
      <c r="L164" s="65">
        <f>IF($M164="Yes",ROUND('Invoice Log'!$AP142*Settings!$J$8,2),"")</f>
        <v>177</v>
      </c>
      <c r="M164" s="125" t="str">
        <f>IF(OR('Invoice Log'!$L142="",'Invoice Log'!$AS142=""),"",IF(AND('Invoice Log'!$AR142&lt;=$B$3,'Invoice Log'!$AR142&gt;=Settings!$J$10,'Invoice Log'!$J142&lt;&gt;"Cancelled"),"Yes","No"))</f>
        <v>Yes</v>
      </c>
    </row>
    <row r="165" ht="15.75" customHeight="1">
      <c r="A165" s="125" t="str">
        <f>IF('Invoice Log'!$AS143="","",TEXT('Invoice Log'!$AS143,"YYYY-MM"))</f>
        <v>2026-09</v>
      </c>
      <c r="B165" s="45">
        <f>IF('Invoice Log'!$AR143="","",'Invoice Log'!$AR143)</f>
        <v>46276</v>
      </c>
      <c r="C165" s="63">
        <f>IF('Invoice Log'!$D143="","",'Invoice Log'!$D143)</f>
        <v>22004338</v>
      </c>
      <c r="D165" s="126" t="str">
        <f>IF('Invoice Log'!$L143="","",'Invoice Log'!$E143)</f>
        <v>Alive Comms</v>
      </c>
      <c r="E165" s="126" t="str">
        <f>IF('Invoice Log'!$L143="","",'Invoice Log'!$J143)</f>
        <v>Complete</v>
      </c>
      <c r="F165" s="125" t="str">
        <f>IF('Invoice Log'!$L143="","",'Invoice Log'!$Q143)</f>
        <v>No</v>
      </c>
      <c r="G165" s="65">
        <f>IF($M165="Yes",'Invoice Log'!$L143,"")</f>
        <v>350</v>
      </c>
      <c r="H165" s="65">
        <f>IF($M165="Yes",'Invoice Log'!$S143,"")</f>
        <v>0</v>
      </c>
      <c r="I165" s="65" t="str">
        <f>IF($M165="Yes",'Invoice Log'!$AI143,"")</f>
        <v/>
      </c>
      <c r="J165" s="127">
        <f>IF($M165="Yes",'Invoice Log'!$AO143,"")</f>
        <v>0</v>
      </c>
      <c r="K165" s="129">
        <f>IF($M165="Yes",'Invoice Log'!$AP143,"")</f>
        <v>350</v>
      </c>
      <c r="L165" s="65">
        <f>IF($M165="Yes",ROUND('Invoice Log'!$AP143*Settings!$J$8,2),"")</f>
        <v>70</v>
      </c>
      <c r="M165" s="125" t="str">
        <f>IF(OR('Invoice Log'!$L143="",'Invoice Log'!$AS143=""),"",IF(AND('Invoice Log'!$AR143&lt;=$B$3,'Invoice Log'!$AR143&gt;=Settings!$J$10,'Invoice Log'!$J143&lt;&gt;"Cancelled"),"Yes","No"))</f>
        <v>Yes</v>
      </c>
    </row>
    <row r="166" ht="15.75" customHeight="1">
      <c r="A166" s="125" t="str">
        <f>IF('Invoice Log'!$AS144="","",TEXT('Invoice Log'!$AS144,"YYYY-MM"))</f>
        <v>2026-09</v>
      </c>
      <c r="B166" s="45">
        <f>IF('Invoice Log'!$AR144="","",'Invoice Log'!$AR144)</f>
        <v>46279</v>
      </c>
      <c r="C166" s="63">
        <f>IF('Invoice Log'!$D144="","",'Invoice Log'!$D144)</f>
        <v>22004339</v>
      </c>
      <c r="D166" s="126" t="str">
        <f>IF('Invoice Log'!$L144="","",'Invoice Log'!$E144)</f>
        <v>TMB</v>
      </c>
      <c r="E166" s="126" t="str">
        <f>IF('Invoice Log'!$L144="","",'Invoice Log'!$J144)</f>
        <v>Complete</v>
      </c>
      <c r="F166" s="125" t="str">
        <f>IF('Invoice Log'!$L144="","",'Invoice Log'!$Q144)</f>
        <v>No</v>
      </c>
      <c r="G166" s="65">
        <f>IF($M166="Yes",'Invoice Log'!$L144,"")</f>
        <v>3355</v>
      </c>
      <c r="H166" s="65">
        <f>IF($M166="Yes",'Invoice Log'!$S144,"")</f>
        <v>0</v>
      </c>
      <c r="I166" s="65" t="str">
        <f>IF($M166="Yes",'Invoice Log'!$AI144,"")</f>
        <v/>
      </c>
      <c r="J166" s="127">
        <f>IF($M166="Yes",'Invoice Log'!$AO144,"")</f>
        <v>0</v>
      </c>
      <c r="K166" s="129">
        <f>IF($M166="Yes",'Invoice Log'!$AP144,"")</f>
        <v>3355</v>
      </c>
      <c r="L166" s="65">
        <f>IF($M166="Yes",ROUND('Invoice Log'!$AP144*Settings!$J$8,2),"")</f>
        <v>671</v>
      </c>
      <c r="M166" s="125" t="str">
        <f>IF(OR('Invoice Log'!$L144="",'Invoice Log'!$AS144=""),"",IF(AND('Invoice Log'!$AR144&lt;=$B$3,'Invoice Log'!$AR144&gt;=Settings!$J$10,'Invoice Log'!$J144&lt;&gt;"Cancelled"),"Yes","No"))</f>
        <v>Yes</v>
      </c>
    </row>
    <row r="167" ht="15.75" customHeight="1">
      <c r="A167" s="125" t="str">
        <f>IF('Invoice Log'!$AS145="","",TEXT('Invoice Log'!$AS145,"YYYY-MM"))</f>
        <v>2026-09</v>
      </c>
      <c r="B167" s="45">
        <f>IF('Invoice Log'!$AR145="","",'Invoice Log'!$AR145)</f>
        <v>46282</v>
      </c>
      <c r="C167" s="63">
        <f>IF('Invoice Log'!$D145="","",'Invoice Log'!$D145)</f>
        <v>22004340</v>
      </c>
      <c r="D167" s="126" t="str">
        <f>IF('Invoice Log'!$L145="","",'Invoice Log'!$E145)</f>
        <v>Symphony</v>
      </c>
      <c r="E167" s="126" t="str">
        <f>IF('Invoice Log'!$L145="","",'Invoice Log'!$J145)</f>
        <v>Complete</v>
      </c>
      <c r="F167" s="125" t="str">
        <f>IF('Invoice Log'!$L145="","",'Invoice Log'!$Q145)</f>
        <v>Yes</v>
      </c>
      <c r="G167" s="65">
        <f>IF($M167="Yes",'Invoice Log'!$L145,"")</f>
        <v>2108</v>
      </c>
      <c r="H167" s="65">
        <f>IF($M167="Yes",'Invoice Log'!$S145,"")</f>
        <v>210.8</v>
      </c>
      <c r="I167" s="65">
        <f>IF($M167="Yes",'Invoice Log'!$AI145,"")</f>
        <v>295.28</v>
      </c>
      <c r="J167" s="127">
        <f>IF($M167="Yes",'Invoice Log'!$AO145,"")</f>
        <v>-84.48</v>
      </c>
      <c r="K167" s="129">
        <f>IF($M167="Yes",'Invoice Log'!$AP145,"")</f>
        <v>2023.52</v>
      </c>
      <c r="L167" s="65">
        <f>IF($M167="Yes",ROUND('Invoice Log'!$AP145*Settings!$J$8,2),"")</f>
        <v>404.7</v>
      </c>
      <c r="M167" s="125" t="str">
        <f>IF(OR('Invoice Log'!$L145="",'Invoice Log'!$AS145=""),"",IF(AND('Invoice Log'!$AR145&lt;=$B$3,'Invoice Log'!$AR145&gt;=Settings!$J$10,'Invoice Log'!$J145&lt;&gt;"Cancelled"),"Yes","No"))</f>
        <v>Yes</v>
      </c>
    </row>
    <row r="168" ht="15.75" customHeight="1">
      <c r="A168" s="125" t="str">
        <f>IF('Invoice Log'!$AS146="","",TEXT('Invoice Log'!$AS146,"YYYY-MM"))</f>
        <v>2026-09</v>
      </c>
      <c r="B168" s="45">
        <f>IF('Invoice Log'!$AR146="","",'Invoice Log'!$AR146)</f>
        <v>46284</v>
      </c>
      <c r="C168" s="63">
        <f>IF('Invoice Log'!$D146="","",'Invoice Log'!$D146)</f>
        <v>22004341</v>
      </c>
      <c r="D168" s="126" t="str">
        <f>IF('Invoice Log'!$L146="","",'Invoice Log'!$E146)</f>
        <v>Rachel Chapman</v>
      </c>
      <c r="E168" s="126" t="str">
        <f>IF('Invoice Log'!$L146="","",'Invoice Log'!$J146)</f>
        <v>Complete</v>
      </c>
      <c r="F168" s="125" t="str">
        <f>IF('Invoice Log'!$L146="","",'Invoice Log'!$Q146)</f>
        <v>Yes</v>
      </c>
      <c r="G168" s="65">
        <f>IF($M168="Yes",'Invoice Log'!$L146,"")</f>
        <v>2317.4</v>
      </c>
      <c r="H168" s="65">
        <f>IF($M168="Yes",'Invoice Log'!$S146,"")</f>
        <v>231.74</v>
      </c>
      <c r="I168" s="65">
        <f>IF($M168="Yes",'Invoice Log'!$AI146,"")</f>
        <v>123.74</v>
      </c>
      <c r="J168" s="127">
        <f>IF($M168="Yes",'Invoice Log'!$AO146,"")</f>
        <v>108</v>
      </c>
      <c r="K168" s="129">
        <f>IF($M168="Yes",'Invoice Log'!$AP146,"")</f>
        <v>2425.4</v>
      </c>
      <c r="L168" s="65">
        <f>IF($M168="Yes",ROUND('Invoice Log'!$AP146*Settings!$J$8,2),"")</f>
        <v>485.08</v>
      </c>
      <c r="M168" s="125" t="str">
        <f>IF(OR('Invoice Log'!$L146="",'Invoice Log'!$AS146=""),"",IF(AND('Invoice Log'!$AR146&lt;=$B$3,'Invoice Log'!$AR146&gt;=Settings!$J$10,'Invoice Log'!$J146&lt;&gt;"Cancelled"),"Yes","No"))</f>
        <v>Yes</v>
      </c>
    </row>
    <row r="169" ht="15.75" customHeight="1">
      <c r="A169" s="125" t="str">
        <f>IF('Invoice Log'!$AS147="","",TEXT('Invoice Log'!$AS147,"YYYY-MM"))</f>
        <v>2026-10</v>
      </c>
      <c r="B169" s="45">
        <f>IF('Invoice Log'!$AR147="","",'Invoice Log'!$AR147)</f>
        <v>46308</v>
      </c>
      <c r="C169" s="63">
        <f>IF('Invoice Log'!$D147="","",'Invoice Log'!$D147)</f>
        <v>22004342</v>
      </c>
      <c r="D169" s="126" t="str">
        <f>IF('Invoice Log'!$L147="","",'Invoice Log'!$E147)</f>
        <v>DarkTrace</v>
      </c>
      <c r="E169" s="126" t="str">
        <f>IF('Invoice Log'!$L147="","",'Invoice Log'!$J147)</f>
        <v/>
      </c>
      <c r="F169" s="125" t="str">
        <f>IF('Invoice Log'!$L147="","",'Invoice Log'!$Q147)</f>
        <v>Yes</v>
      </c>
      <c r="G169" s="65" t="str">
        <f>IF($M169="Yes",'Invoice Log'!$L147,"")</f>
        <v/>
      </c>
      <c r="H169" s="65" t="str">
        <f>IF($M169="Yes",'Invoice Log'!$S147,"")</f>
        <v/>
      </c>
      <c r="I169" s="65" t="str">
        <f>IF($M169="Yes",'Invoice Log'!$AI147,"")</f>
        <v/>
      </c>
      <c r="J169" s="127" t="str">
        <f>IF($M169="Yes",'Invoice Log'!$AO147,"")</f>
        <v/>
      </c>
      <c r="K169" s="129" t="str">
        <f>IF($M169="Yes",'Invoice Log'!$AP147,"")</f>
        <v/>
      </c>
      <c r="L169" s="65" t="str">
        <f>IF($M169="Yes",ROUND('Invoice Log'!$AP147*Settings!$J$8,2),"")</f>
        <v/>
      </c>
      <c r="M169" s="125" t="str">
        <f>IF(OR('Invoice Log'!$L147="",'Invoice Log'!$AS147=""),"",IF(AND('Invoice Log'!$AR147&lt;=$B$3,'Invoice Log'!$AR147&gt;=Settings!$J$10,'Invoice Log'!$J147&lt;&gt;"Cancelled"),"Yes","No"))</f>
        <v>No</v>
      </c>
    </row>
    <row r="170" ht="15.75" customHeight="1">
      <c r="A170" s="125" t="str">
        <f>IF('Invoice Log'!$AS148="","",TEXT('Invoice Log'!$AS148,"YYYY-MM"))</f>
        <v>2026-09</v>
      </c>
      <c r="B170" s="45">
        <f>IF('Invoice Log'!$AR148="","",'Invoice Log'!$AR148)</f>
        <v>46288</v>
      </c>
      <c r="C170" s="63">
        <f>IF('Invoice Log'!$D148="","",'Invoice Log'!$D148)</f>
        <v>22004343</v>
      </c>
      <c r="D170" s="126" t="str">
        <f>IF('Invoice Log'!$L148="","",'Invoice Log'!$E148)</f>
        <v>Amazon</v>
      </c>
      <c r="E170" s="126" t="str">
        <f>IF('Invoice Log'!$L148="","",'Invoice Log'!$J148)</f>
        <v>Complete</v>
      </c>
      <c r="F170" s="125" t="str">
        <f>IF('Invoice Log'!$L148="","",'Invoice Log'!$Q148)</f>
        <v>No</v>
      </c>
      <c r="G170" s="65">
        <f>IF($M170="Yes",'Invoice Log'!$L148,"")</f>
        <v>968.7</v>
      </c>
      <c r="H170" s="65">
        <f>IF($M170="Yes",'Invoice Log'!$S148,"")</f>
        <v>0</v>
      </c>
      <c r="I170" s="65" t="str">
        <f>IF($M170="Yes",'Invoice Log'!$AI148,"")</f>
        <v/>
      </c>
      <c r="J170" s="127">
        <f>IF($M170="Yes",'Invoice Log'!$AO148,"")</f>
        <v>0</v>
      </c>
      <c r="K170" s="129">
        <f>IF($M170="Yes",'Invoice Log'!$AP148,"")</f>
        <v>968.7</v>
      </c>
      <c r="L170" s="65">
        <f>IF($M170="Yes",ROUND('Invoice Log'!$AP148*Settings!$J$8,2),"")</f>
        <v>193.74</v>
      </c>
      <c r="M170" s="125" t="str">
        <f>IF(OR('Invoice Log'!$L148="",'Invoice Log'!$AS148=""),"",IF(AND('Invoice Log'!$AR148&lt;=$B$3,'Invoice Log'!$AR148&gt;=Settings!$J$10,'Invoice Log'!$J148&lt;&gt;"Cancelled"),"Yes","No"))</f>
        <v>Yes</v>
      </c>
    </row>
    <row r="171" ht="15.75" customHeight="1">
      <c r="A171" s="125" t="str">
        <f>IF('Invoice Log'!$AS149="","",TEXT('Invoice Log'!$AS149,"YYYY-MM"))</f>
        <v>2026-10</v>
      </c>
      <c r="B171" s="45">
        <f>IF('Invoice Log'!$AR149="","",'Invoice Log'!$AR149)</f>
        <v>46296</v>
      </c>
      <c r="C171" s="63">
        <f>IF('Invoice Log'!$D149="","",'Invoice Log'!$D149)</f>
        <v>22004344</v>
      </c>
      <c r="D171" s="126" t="str">
        <f>IF('Invoice Log'!$L149="","",'Invoice Log'!$E149)</f>
        <v>Canada-UK Chamber of Commerce</v>
      </c>
      <c r="E171" s="126" t="str">
        <f>IF('Invoice Log'!$L149="","",'Invoice Log'!$J149)</f>
        <v>Paid in Full</v>
      </c>
      <c r="F171" s="125" t="str">
        <f>IF('Invoice Log'!$L149="","",'Invoice Log'!$Q149)</f>
        <v>Yes</v>
      </c>
      <c r="G171" s="65">
        <f>IF($M171="Yes",'Invoice Log'!$L149,"")</f>
        <v>1934</v>
      </c>
      <c r="H171" s="65">
        <f>IF($M171="Yes",'Invoice Log'!$S149,"")</f>
        <v>193.4</v>
      </c>
      <c r="I171" s="65" t="str">
        <f>IF($M171="Yes",'Invoice Log'!$AI149,"")</f>
        <v/>
      </c>
      <c r="J171" s="127">
        <f>IF($M171="Yes",'Invoice Log'!$AO149,"")</f>
        <v>0</v>
      </c>
      <c r="K171" s="129">
        <f>IF($M171="Yes",'Invoice Log'!$AP149,"")</f>
        <v>1934</v>
      </c>
      <c r="L171" s="65">
        <f>IF($M171="Yes",ROUND('Invoice Log'!$AP149*Settings!$J$8,2),"")</f>
        <v>386.8</v>
      </c>
      <c r="M171" s="125" t="str">
        <f>IF(OR('Invoice Log'!$L149="",'Invoice Log'!$AS149=""),"",IF(AND('Invoice Log'!$AR149&lt;=$B$3,'Invoice Log'!$AR149&gt;=Settings!$J$10,'Invoice Log'!$J149&lt;&gt;"Cancelled"),"Yes","No"))</f>
        <v>Yes</v>
      </c>
    </row>
    <row r="172" ht="15.75" customHeight="1">
      <c r="A172" s="125" t="str">
        <f>IF('Invoice Log'!$AS150="","",TEXT('Invoice Log'!$AS150,"YYYY-MM"))</f>
        <v>2026-09</v>
      </c>
      <c r="B172" s="45">
        <f>IF('Invoice Log'!$AR150="","",'Invoice Log'!$AR150)</f>
        <v>46288</v>
      </c>
      <c r="C172" s="63">
        <f>IF('Invoice Log'!$D150="","",'Invoice Log'!$D150)</f>
        <v>22004345</v>
      </c>
      <c r="D172" s="126" t="str">
        <f>IF('Invoice Log'!$L150="","",'Invoice Log'!$E150)</f>
        <v>House of Decant</v>
      </c>
      <c r="E172" s="126" t="str">
        <f>IF('Invoice Log'!$L150="","",'Invoice Log'!$J150)</f>
        <v>Complete</v>
      </c>
      <c r="F172" s="125" t="str">
        <f>IF('Invoice Log'!$L150="","",'Invoice Log'!$Q150)</f>
        <v>No</v>
      </c>
      <c r="G172" s="65">
        <f>IF($M172="Yes",'Invoice Log'!$L150,"")</f>
        <v>1204.5</v>
      </c>
      <c r="H172" s="65">
        <f>IF($M172="Yes",'Invoice Log'!$S150,"")</f>
        <v>0</v>
      </c>
      <c r="I172" s="65" t="str">
        <f>IF($M172="Yes",'Invoice Log'!$AI150,"")</f>
        <v/>
      </c>
      <c r="J172" s="127">
        <f>IF($M172="Yes",'Invoice Log'!$AO150,"")</f>
        <v>0</v>
      </c>
      <c r="K172" s="129">
        <f>IF($M172="Yes",'Invoice Log'!$AP150,"")</f>
        <v>1204.5</v>
      </c>
      <c r="L172" s="65">
        <f>IF($M172="Yes",ROUND('Invoice Log'!$AP150*Settings!$J$8,2),"")</f>
        <v>240.9</v>
      </c>
      <c r="M172" s="125" t="str">
        <f>IF(OR('Invoice Log'!$L150="",'Invoice Log'!$AS150=""),"",IF(AND('Invoice Log'!$AR150&lt;=$B$3,'Invoice Log'!$AR150&gt;=Settings!$J$10,'Invoice Log'!$J150&lt;&gt;"Cancelled"),"Yes","No"))</f>
        <v>Yes</v>
      </c>
    </row>
    <row r="173" ht="15.75" customHeight="1">
      <c r="A173" s="125" t="str">
        <f>IF('Invoice Log'!$AS151="","",TEXT('Invoice Log'!$AS151,"YYYY-MM"))</f>
        <v>2026-09</v>
      </c>
      <c r="B173" s="45">
        <f>IF('Invoice Log'!$AR151="","",'Invoice Log'!$AR151)</f>
        <v>46288</v>
      </c>
      <c r="C173" s="63">
        <f>IF('Invoice Log'!$D151="","",'Invoice Log'!$D151)</f>
        <v>22004346</v>
      </c>
      <c r="D173" s="126" t="str">
        <f>IF('Invoice Log'!$L151="","",'Invoice Log'!$E151)</f>
        <v>InvestCorp</v>
      </c>
      <c r="E173" s="126" t="str">
        <f>IF('Invoice Log'!$L151="","",'Invoice Log'!$J151)</f>
        <v>Complete</v>
      </c>
      <c r="F173" s="125" t="str">
        <f>IF('Invoice Log'!$L151="","",'Invoice Log'!$Q151)</f>
        <v>No</v>
      </c>
      <c r="G173" s="65">
        <f>IF($M173="Yes",'Invoice Log'!$L151,"")</f>
        <v>741</v>
      </c>
      <c r="H173" s="65">
        <f>IF($M173="Yes",'Invoice Log'!$S151,"")</f>
        <v>0</v>
      </c>
      <c r="I173" s="65">
        <f>IF($M173="Yes",'Invoice Log'!$AI151,"")</f>
        <v>889.2</v>
      </c>
      <c r="J173" s="127">
        <f>IF($M173="Yes",'Invoice Log'!$AO151,"")</f>
        <v>0</v>
      </c>
      <c r="K173" s="129">
        <f>IF($M173="Yes",'Invoice Log'!$AP151,"")</f>
        <v>741</v>
      </c>
      <c r="L173" s="65">
        <f>IF($M173="Yes",ROUND('Invoice Log'!$AP151*Settings!$J$8,2),"")</f>
        <v>148.2</v>
      </c>
      <c r="M173" s="125" t="str">
        <f>IF(OR('Invoice Log'!$L151="",'Invoice Log'!$AS151=""),"",IF(AND('Invoice Log'!$AR151&lt;=$B$3,'Invoice Log'!$AR151&gt;=Settings!$J$10,'Invoice Log'!$J151&lt;&gt;"Cancelled"),"Yes","No"))</f>
        <v>Yes</v>
      </c>
    </row>
    <row r="174" ht="15.75" customHeight="1">
      <c r="A174" s="125" t="str">
        <f>IF('Invoice Log'!$AS152="","",TEXT('Invoice Log'!$AS152,"YYYY-MM"))</f>
        <v>2026-09</v>
      </c>
      <c r="B174" s="45">
        <f>IF('Invoice Log'!$AR152="","",'Invoice Log'!$AR152)</f>
        <v>46295</v>
      </c>
      <c r="C174" s="63">
        <f>IF('Invoice Log'!$D152="","",'Invoice Log'!$D152)</f>
        <v>22004347</v>
      </c>
      <c r="D174" s="126" t="str">
        <f>IF('Invoice Log'!$L152="","",'Invoice Log'!$E152)</f>
        <v>Samantha Armstrong</v>
      </c>
      <c r="E174" s="126" t="str">
        <f>IF('Invoice Log'!$L152="","",'Invoice Log'!$J152)</f>
        <v>Complete</v>
      </c>
      <c r="F174" s="125" t="str">
        <f>IF('Invoice Log'!$L152="","",'Invoice Log'!$Q152)</f>
        <v>Yes</v>
      </c>
      <c r="G174" s="65">
        <f>IF($M174="Yes",'Invoice Log'!$L152,"")</f>
        <v>1980.45</v>
      </c>
      <c r="H174" s="65">
        <f>IF($M174="Yes",'Invoice Log'!$S152,"")</f>
        <v>198.05</v>
      </c>
      <c r="I174" s="65">
        <f>IF($M174="Yes",'Invoice Log'!$AI152,"")</f>
        <v>253.96</v>
      </c>
      <c r="J174" s="127">
        <f>IF($M174="Yes",'Invoice Log'!$AO152,"")</f>
        <v>-55.91</v>
      </c>
      <c r="K174" s="129">
        <f>IF($M174="Yes",'Invoice Log'!$AP152,"")</f>
        <v>1924.54</v>
      </c>
      <c r="L174" s="65">
        <f>IF($M174="Yes",ROUND('Invoice Log'!$AP152*Settings!$J$8,2),"")</f>
        <v>384.91</v>
      </c>
      <c r="M174" s="125" t="str">
        <f>IF(OR('Invoice Log'!$L152="",'Invoice Log'!$AS152=""),"",IF(AND('Invoice Log'!$AR152&lt;=$B$3,'Invoice Log'!$AR152&gt;=Settings!$J$10,'Invoice Log'!$J152&lt;&gt;"Cancelled"),"Yes","No"))</f>
        <v>Yes</v>
      </c>
    </row>
    <row r="175" ht="15.75" customHeight="1">
      <c r="A175" s="125" t="str">
        <f>IF('Invoice Log'!$AS153="","",TEXT('Invoice Log'!$AS153,"YYYY-MM"))</f>
        <v>2026-09</v>
      </c>
      <c r="B175" s="45">
        <f>IF('Invoice Log'!$AR153="","",'Invoice Log'!$AR153)</f>
        <v>46266</v>
      </c>
      <c r="C175" s="63">
        <f>IF('Invoice Log'!$D153="","",'Invoice Log'!$D153)</f>
        <v>22004348</v>
      </c>
      <c r="D175" s="126" t="str">
        <f>IF('Invoice Log'!$L153="","",'Invoice Log'!$E153)</f>
        <v>Rubrik</v>
      </c>
      <c r="E175" s="126" t="str">
        <f>IF('Invoice Log'!$L153="","",'Invoice Log'!$J153)</f>
        <v>Complete</v>
      </c>
      <c r="F175" s="125" t="str">
        <f>IF('Invoice Log'!$L153="","",'Invoice Log'!$Q153)</f>
        <v>Yes</v>
      </c>
      <c r="G175" s="65">
        <f>IF($M175="Yes",'Invoice Log'!$L153,"")</f>
        <v>27885.5</v>
      </c>
      <c r="H175" s="65">
        <f>IF($M175="Yes",'Invoice Log'!$S153,"")</f>
        <v>2535</v>
      </c>
      <c r="I175" s="65">
        <f>IF($M175="Yes",'Invoice Log'!$AI153,"")</f>
        <v>2535</v>
      </c>
      <c r="J175" s="127">
        <f>IF($M175="Yes",'Invoice Log'!$AO153,"")</f>
        <v>0</v>
      </c>
      <c r="K175" s="129">
        <f>IF($M175="Yes",'Invoice Log'!$AP153,"")</f>
        <v>27885.5</v>
      </c>
      <c r="L175" s="65">
        <f>IF($M175="Yes",ROUND('Invoice Log'!$AP153*Settings!$J$8,2),"")</f>
        <v>5577.1</v>
      </c>
      <c r="M175" s="125" t="str">
        <f>IF(OR('Invoice Log'!$L153="",'Invoice Log'!$AS153=""),"",IF(AND('Invoice Log'!$AR153&lt;=$B$3,'Invoice Log'!$AR153&gt;=Settings!$J$10,'Invoice Log'!$J153&lt;&gt;"Cancelled"),"Yes","No"))</f>
        <v>Yes</v>
      </c>
    </row>
    <row r="176" ht="15.75" customHeight="1">
      <c r="A176" s="125" t="str">
        <f>IF('Invoice Log'!$AS154="","",TEXT('Invoice Log'!$AS154,"YYYY-MM"))</f>
        <v>2026-09</v>
      </c>
      <c r="B176" s="45">
        <f>IF('Invoice Log'!$AR154="","",'Invoice Log'!$AR154)</f>
        <v>46295</v>
      </c>
      <c r="C176" s="63">
        <f>IF('Invoice Log'!$D154="","",'Invoice Log'!$D154)</f>
        <v>22004349</v>
      </c>
      <c r="D176" s="126" t="str">
        <f>IF('Invoice Log'!$L154="","",'Invoice Log'!$E154)</f>
        <v>George Jensen Limited</v>
      </c>
      <c r="E176" s="126" t="str">
        <f>IF('Invoice Log'!$L154="","",'Invoice Log'!$J154)</f>
        <v>Complete</v>
      </c>
      <c r="F176" s="125" t="str">
        <f>IF('Invoice Log'!$L154="","",'Invoice Log'!$Q154)</f>
        <v>Yes</v>
      </c>
      <c r="G176" s="65">
        <f>IF($M176="Yes",'Invoice Log'!$L154,"")</f>
        <v>2162.25</v>
      </c>
      <c r="H176" s="65">
        <f>IF($M176="Yes",'Invoice Log'!$S154,"")</f>
        <v>216.23</v>
      </c>
      <c r="I176" s="65">
        <f>IF($M176="Yes",'Invoice Log'!$AI154,"")</f>
        <v>301.9</v>
      </c>
      <c r="J176" s="127">
        <f>IF($M176="Yes",'Invoice Log'!$AO154,"")</f>
        <v>-85.67</v>
      </c>
      <c r="K176" s="129">
        <f>IF($M176="Yes",'Invoice Log'!$AP154,"")</f>
        <v>2076.58</v>
      </c>
      <c r="L176" s="65">
        <f>IF($M176="Yes",ROUND('Invoice Log'!$AP154*Settings!$J$8,2),"")</f>
        <v>415.32</v>
      </c>
      <c r="M176" s="125" t="str">
        <f>IF(OR('Invoice Log'!$L154="",'Invoice Log'!$AS154=""),"",IF(AND('Invoice Log'!$AR154&lt;=$B$3,'Invoice Log'!$AR154&gt;=Settings!$J$10,'Invoice Log'!$J154&lt;&gt;"Cancelled"),"Yes","No"))</f>
        <v>Yes</v>
      </c>
    </row>
    <row r="177" ht="15.75" customHeight="1">
      <c r="A177" s="125" t="str">
        <f>IF('Invoice Log'!$AS155="","",TEXT('Invoice Log'!$AS155,"YYYY-MM"))</f>
        <v>2026-12</v>
      </c>
      <c r="B177" s="45">
        <f>IF('Invoice Log'!$AR155="","",'Invoice Log'!$AR155)</f>
        <v>46366</v>
      </c>
      <c r="C177" s="63">
        <f>IF('Invoice Log'!$D155="","",'Invoice Log'!$D155)</f>
        <v>22004350</v>
      </c>
      <c r="D177" s="126" t="str">
        <f>IF('Invoice Log'!$L155="","",'Invoice Log'!$E155)</f>
        <v>LiveScore</v>
      </c>
      <c r="E177" s="126" t="str">
        <f>IF('Invoice Log'!$L155="","",'Invoice Log'!$J155)</f>
        <v/>
      </c>
      <c r="F177" s="125" t="str">
        <f>IF('Invoice Log'!$L155="","",'Invoice Log'!$Q155)</f>
        <v>Yes</v>
      </c>
      <c r="G177" s="65" t="str">
        <f>IF($M177="Yes",'Invoice Log'!$L155,"")</f>
        <v/>
      </c>
      <c r="H177" s="65" t="str">
        <f>IF($M177="Yes",'Invoice Log'!$S155,"")</f>
        <v/>
      </c>
      <c r="I177" s="65" t="str">
        <f>IF($M177="Yes",'Invoice Log'!$AI155,"")</f>
        <v/>
      </c>
      <c r="J177" s="127" t="str">
        <f>IF($M177="Yes",'Invoice Log'!$AO155,"")</f>
        <v/>
      </c>
      <c r="K177" s="129" t="str">
        <f>IF($M177="Yes",'Invoice Log'!$AP155,"")</f>
        <v/>
      </c>
      <c r="L177" s="65" t="str">
        <f>IF($M177="Yes",ROUND('Invoice Log'!$AP155*Settings!$J$8,2),"")</f>
        <v/>
      </c>
      <c r="M177" s="125" t="str">
        <f>IF(OR('Invoice Log'!$L155="",'Invoice Log'!$AS155=""),"",IF(AND('Invoice Log'!$AR155&lt;=$B$3,'Invoice Log'!$AR155&gt;=Settings!$J$10,'Invoice Log'!$J155&lt;&gt;"Cancelled"),"Yes","No"))</f>
        <v>No</v>
      </c>
    </row>
    <row r="178" ht="15.75" customHeight="1">
      <c r="A178" s="125" t="str">
        <f>IF('Invoice Log'!$AS156="","",TEXT('Invoice Log'!$AS156,"YYYY-MM"))</f>
        <v>2026-10</v>
      </c>
      <c r="B178" s="45">
        <f>IF('Invoice Log'!$AR156="","",'Invoice Log'!$AR156)</f>
        <v>46312</v>
      </c>
      <c r="C178" s="63">
        <f>IF('Invoice Log'!$D156="","",'Invoice Log'!$D156)</f>
        <v>22004351</v>
      </c>
      <c r="D178" s="126" t="str">
        <f>IF('Invoice Log'!$L156="","",'Invoice Log'!$E156)</f>
        <v>Britney Oosthuizen</v>
      </c>
      <c r="E178" s="126" t="str">
        <f>IF('Invoice Log'!$L156="","",'Invoice Log'!$J156)</f>
        <v>Complete</v>
      </c>
      <c r="F178" s="125" t="str">
        <f>IF('Invoice Log'!$L156="","",'Invoice Log'!$Q156)</f>
        <v>No</v>
      </c>
      <c r="G178" s="65" t="str">
        <f>IF($M178="Yes",'Invoice Log'!$L156,"")</f>
        <v/>
      </c>
      <c r="H178" s="65" t="str">
        <f>IF($M178="Yes",'Invoice Log'!$S156,"")</f>
        <v/>
      </c>
      <c r="I178" s="65" t="str">
        <f>IF($M178="Yes",'Invoice Log'!$AI156,"")</f>
        <v/>
      </c>
      <c r="J178" s="127" t="str">
        <f>IF($M178="Yes",'Invoice Log'!$AO156,"")</f>
        <v/>
      </c>
      <c r="K178" s="129" t="str">
        <f>IF($M178="Yes",'Invoice Log'!$AP156,"")</f>
        <v/>
      </c>
      <c r="L178" s="65" t="str">
        <f>IF($M178="Yes",ROUND('Invoice Log'!$AP156*Settings!$J$8,2),"")</f>
        <v/>
      </c>
      <c r="M178" s="125" t="str">
        <f>IF(OR('Invoice Log'!$L156="",'Invoice Log'!$AS156=""),"",IF(AND('Invoice Log'!$AR156&lt;=$B$3,'Invoice Log'!$AR156&gt;=Settings!$J$10,'Invoice Log'!$J156&lt;&gt;"Cancelled"),"Yes","No"))</f>
        <v>No</v>
      </c>
    </row>
    <row r="179" ht="15.75" customHeight="1">
      <c r="A179" s="125" t="str">
        <f>IF('Invoice Log'!$AS157="","",TEXT('Invoice Log'!$AS157,"YYYY-MM"))</f>
        <v>2026-11</v>
      </c>
      <c r="B179" s="45">
        <f>IF('Invoice Log'!$AR157="","",'Invoice Log'!$AR157)</f>
        <v>46345</v>
      </c>
      <c r="C179" s="63">
        <f>IF('Invoice Log'!$D157="","",'Invoice Log'!$D157)</f>
        <v>22004352</v>
      </c>
      <c r="D179" s="126" t="str">
        <f>IF('Invoice Log'!$L157="","",'Invoice Log'!$E157)</f>
        <v>JFS Property Services</v>
      </c>
      <c r="E179" s="126" t="str">
        <f>IF('Invoice Log'!$L157="","",'Invoice Log'!$J157)</f>
        <v/>
      </c>
      <c r="F179" s="125" t="str">
        <f>IF('Invoice Log'!$L157="","",'Invoice Log'!$Q157)</f>
        <v>Yes</v>
      </c>
      <c r="G179" s="65" t="str">
        <f>IF($M179="Yes",'Invoice Log'!$L157,"")</f>
        <v/>
      </c>
      <c r="H179" s="65" t="str">
        <f>IF($M179="Yes",'Invoice Log'!$S157,"")</f>
        <v/>
      </c>
      <c r="I179" s="65" t="str">
        <f>IF($M179="Yes",'Invoice Log'!$AI157,"")</f>
        <v/>
      </c>
      <c r="J179" s="127" t="str">
        <f>IF($M179="Yes",'Invoice Log'!$AO157,"")</f>
        <v/>
      </c>
      <c r="K179" s="129" t="str">
        <f>IF($M179="Yes",'Invoice Log'!$AP157,"")</f>
        <v/>
      </c>
      <c r="L179" s="65" t="str">
        <f>IF($M179="Yes",ROUND('Invoice Log'!$AP157*Settings!$J$8,2),"")</f>
        <v/>
      </c>
      <c r="M179" s="125" t="str">
        <f>IF(OR('Invoice Log'!$L157="",'Invoice Log'!$AS157=""),"",IF(AND('Invoice Log'!$AR157&lt;=$B$3,'Invoice Log'!$AR157&gt;=Settings!$J$10,'Invoice Log'!$J157&lt;&gt;"Cancelled"),"Yes","No"))</f>
        <v>No</v>
      </c>
    </row>
    <row r="180" ht="15.75" customHeight="1">
      <c r="A180" s="125" t="str">
        <f>IF('Invoice Log'!$AS158="","",TEXT('Invoice Log'!$AS158,"YYYY-MM"))</f>
        <v>2026-10</v>
      </c>
      <c r="B180" s="45">
        <f>IF('Invoice Log'!$AR158="","",'Invoice Log'!$AR158)</f>
        <v>46302</v>
      </c>
      <c r="C180" s="63">
        <f>IF('Invoice Log'!$D158="","",'Invoice Log'!$D158)</f>
        <v>22004353</v>
      </c>
      <c r="D180" s="126" t="str">
        <f>IF('Invoice Log'!$L158="","",'Invoice Log'!$E158)</f>
        <v>Brands at Work</v>
      </c>
      <c r="E180" s="126" t="str">
        <f>IF('Invoice Log'!$L158="","",'Invoice Log'!$J158)</f>
        <v/>
      </c>
      <c r="F180" s="125" t="str">
        <f>IF('Invoice Log'!$L158="","",'Invoice Log'!$Q158)</f>
        <v>No</v>
      </c>
      <c r="G180" s="65" t="str">
        <f>IF($M180="Yes",'Invoice Log'!$L158,"")</f>
        <v/>
      </c>
      <c r="H180" s="65" t="str">
        <f>IF($M180="Yes",'Invoice Log'!$S158,"")</f>
        <v/>
      </c>
      <c r="I180" s="65" t="str">
        <f>IF($M180="Yes",'Invoice Log'!$AI158,"")</f>
        <v/>
      </c>
      <c r="J180" s="127" t="str">
        <f>IF($M180="Yes",'Invoice Log'!$AO158,"")</f>
        <v/>
      </c>
      <c r="K180" s="129" t="str">
        <f>IF($M180="Yes",'Invoice Log'!$AP158,"")</f>
        <v/>
      </c>
      <c r="L180" s="65" t="str">
        <f>IF($M180="Yes",ROUND('Invoice Log'!$AP158*Settings!$J$8,2),"")</f>
        <v/>
      </c>
      <c r="M180" s="125" t="str">
        <f>IF(OR('Invoice Log'!$L158="",'Invoice Log'!$AS158=""),"",IF(AND('Invoice Log'!$AR158&lt;=$B$3,'Invoice Log'!$AR158&gt;=Settings!$J$10,'Invoice Log'!$J158&lt;&gt;"Cancelled"),"Yes","No"))</f>
        <v>No</v>
      </c>
    </row>
    <row r="181" ht="15.75" customHeight="1">
      <c r="A181" s="125" t="str">
        <f>IF('Invoice Log'!$AS159="","",TEXT('Invoice Log'!$AS159,"YYYY-MM"))</f>
        <v>2026-10</v>
      </c>
      <c r="B181" s="45">
        <f>IF('Invoice Log'!$AR159="","",'Invoice Log'!$AR159)</f>
        <v>46317</v>
      </c>
      <c r="C181" s="63">
        <f>IF('Invoice Log'!$D159="","",'Invoice Log'!$D159)</f>
        <v>22004354</v>
      </c>
      <c r="D181" s="126" t="str">
        <f>IF('Invoice Log'!$L159="","",'Invoice Log'!$E159)</f>
        <v>Katten</v>
      </c>
      <c r="E181" s="126" t="str">
        <f>IF('Invoice Log'!$L159="","",'Invoice Log'!$J159)</f>
        <v/>
      </c>
      <c r="F181" s="125" t="str">
        <f>IF('Invoice Log'!$L159="","",'Invoice Log'!$Q159)</f>
        <v>Yes</v>
      </c>
      <c r="G181" s="65" t="str">
        <f>IF($M181="Yes",'Invoice Log'!$L159,"")</f>
        <v/>
      </c>
      <c r="H181" s="65" t="str">
        <f>IF($M181="Yes",'Invoice Log'!$S159,"")</f>
        <v/>
      </c>
      <c r="I181" s="65" t="str">
        <f>IF($M181="Yes",'Invoice Log'!$AI159,"")</f>
        <v/>
      </c>
      <c r="J181" s="127" t="str">
        <f>IF($M181="Yes",'Invoice Log'!$AO159,"")</f>
        <v/>
      </c>
      <c r="K181" s="129" t="str">
        <f>IF($M181="Yes",'Invoice Log'!$AP159,"")</f>
        <v/>
      </c>
      <c r="L181" s="65" t="str">
        <f>IF($M181="Yes",ROUND('Invoice Log'!$AP159*Settings!$J$8,2),"")</f>
        <v/>
      </c>
      <c r="M181" s="125" t="str">
        <f>IF(OR('Invoice Log'!$L159="",'Invoice Log'!$AS159=""),"",IF(AND('Invoice Log'!$AR159&lt;=$B$3,'Invoice Log'!$AR159&gt;=Settings!$J$10,'Invoice Log'!$J159&lt;&gt;"Cancelled"),"Yes","No"))</f>
        <v>No</v>
      </c>
    </row>
    <row r="182" ht="15.75" customHeight="1">
      <c r="A182" s="125" t="str">
        <f>IF('Invoice Log'!$AS160="","",TEXT('Invoice Log'!$AS160,"YYYY-MM"))</f>
        <v>2026-12</v>
      </c>
      <c r="B182" s="45">
        <f>IF('Invoice Log'!$AR160="","",'Invoice Log'!$AR160)</f>
        <v>46361</v>
      </c>
      <c r="C182" s="63">
        <f>IF('Invoice Log'!$D160="","",'Invoice Log'!$D160)</f>
        <v>22004355</v>
      </c>
      <c r="D182" s="126" t="str">
        <f>IF('Invoice Log'!$L160="","",'Invoice Log'!$E160)</f>
        <v>Stefanie Kotecha</v>
      </c>
      <c r="E182" s="126" t="str">
        <f>IF('Invoice Log'!$L160="","",'Invoice Log'!$J160)</f>
        <v/>
      </c>
      <c r="F182" s="125" t="str">
        <f>IF('Invoice Log'!$L160="","",'Invoice Log'!$Q160)</f>
        <v>Yes</v>
      </c>
      <c r="G182" s="65" t="str">
        <f>IF($M182="Yes",'Invoice Log'!$L160,"")</f>
        <v/>
      </c>
      <c r="H182" s="65" t="str">
        <f>IF($M182="Yes",'Invoice Log'!$S160,"")</f>
        <v/>
      </c>
      <c r="I182" s="65" t="str">
        <f>IF($M182="Yes",'Invoice Log'!$AI160,"")</f>
        <v/>
      </c>
      <c r="J182" s="127" t="str">
        <f>IF($M182="Yes",'Invoice Log'!$AO160,"")</f>
        <v/>
      </c>
      <c r="K182" s="129" t="str">
        <f>IF($M182="Yes",'Invoice Log'!$AP160,"")</f>
        <v/>
      </c>
      <c r="L182" s="65" t="str">
        <f>IF($M182="Yes",ROUND('Invoice Log'!$AP160*Settings!$J$8,2),"")</f>
        <v/>
      </c>
      <c r="M182" s="125" t="str">
        <f>IF(OR('Invoice Log'!$L160="",'Invoice Log'!$AS160=""),"",IF(AND('Invoice Log'!$AR160&lt;=$B$3,'Invoice Log'!$AR160&gt;=Settings!$J$10,'Invoice Log'!$J160&lt;&gt;"Cancelled"),"Yes","No"))</f>
        <v>No</v>
      </c>
    </row>
    <row r="183" ht="15.75" customHeight="1">
      <c r="A183" s="125" t="str">
        <f>IF('Invoice Log'!$AS161="","",TEXT('Invoice Log'!$AS161,"YYYY-MM"))</f>
        <v/>
      </c>
      <c r="B183" s="45" t="str">
        <f>IF('Invoice Log'!$AR161="","",'Invoice Log'!$AR161)</f>
        <v/>
      </c>
      <c r="C183" s="63" t="str">
        <f>IF('Invoice Log'!$D161="","",'Invoice Log'!$D161)</f>
        <v/>
      </c>
      <c r="D183" s="126" t="str">
        <f>IF('Invoice Log'!$L161="","",'Invoice Log'!$E161)</f>
        <v/>
      </c>
      <c r="E183" s="126" t="str">
        <f>IF('Invoice Log'!$L161="","",'Invoice Log'!$J161)</f>
        <v/>
      </c>
      <c r="F183" s="125" t="str">
        <f>IF('Invoice Log'!$L161="","",'Invoice Log'!$Q161)</f>
        <v/>
      </c>
      <c r="G183" s="65" t="str">
        <f>IF($M183="Yes",'Invoice Log'!$L161,"")</f>
        <v/>
      </c>
      <c r="H183" s="65" t="str">
        <f>IF($M183="Yes",'Invoice Log'!$S161,"")</f>
        <v/>
      </c>
      <c r="I183" s="65" t="str">
        <f>IF($M183="Yes",'Invoice Log'!$AI161,"")</f>
        <v/>
      </c>
      <c r="J183" s="127" t="str">
        <f>IF($M183="Yes",'Invoice Log'!$AO161,"")</f>
        <v/>
      </c>
      <c r="K183" s="129" t="str">
        <f>IF($M183="Yes",'Invoice Log'!$AP161,"")</f>
        <v/>
      </c>
      <c r="L183" s="65" t="str">
        <f>IF($M183="Yes",ROUND('Invoice Log'!$AP161*Settings!$J$8,2),"")</f>
        <v/>
      </c>
      <c r="M183" s="125" t="str">
        <f>IF(OR('Invoice Log'!$L161="",'Invoice Log'!$AS161=""),"",IF(AND('Invoice Log'!$AR161&lt;=$B$3,'Invoice Log'!$AR161&gt;=Settings!$J$10,'Invoice Log'!$J161&lt;&gt;"Cancelled"),"Yes","No"))</f>
        <v/>
      </c>
    </row>
    <row r="184" ht="15.75" customHeight="1">
      <c r="A184" s="125" t="str">
        <f>IF('Invoice Log'!$AS162="","",TEXT('Invoice Log'!$AS162,"YYYY-MM"))</f>
        <v/>
      </c>
      <c r="B184" s="45" t="str">
        <f>IF('Invoice Log'!$AR162="","",'Invoice Log'!$AR162)</f>
        <v/>
      </c>
      <c r="C184" s="63" t="str">
        <f>IF('Invoice Log'!$D162="","",'Invoice Log'!$D162)</f>
        <v/>
      </c>
      <c r="D184" s="126" t="str">
        <f>IF('Invoice Log'!$L162="","",'Invoice Log'!$E162)</f>
        <v/>
      </c>
      <c r="E184" s="126" t="str">
        <f>IF('Invoice Log'!$L162="","",'Invoice Log'!$J162)</f>
        <v/>
      </c>
      <c r="F184" s="125" t="str">
        <f>IF('Invoice Log'!$L162="","",'Invoice Log'!$Q162)</f>
        <v/>
      </c>
      <c r="G184" s="65" t="str">
        <f>IF($M184="Yes",'Invoice Log'!$L162,"")</f>
        <v/>
      </c>
      <c r="H184" s="65" t="str">
        <f>IF($M184="Yes",'Invoice Log'!$S162,"")</f>
        <v/>
      </c>
      <c r="I184" s="65" t="str">
        <f>IF($M184="Yes",'Invoice Log'!$AI162,"")</f>
        <v/>
      </c>
      <c r="J184" s="127" t="str">
        <f>IF($M184="Yes",'Invoice Log'!$AO162,"")</f>
        <v/>
      </c>
      <c r="K184" s="129" t="str">
        <f>IF($M184="Yes",'Invoice Log'!$AP162,"")</f>
        <v/>
      </c>
      <c r="L184" s="65" t="str">
        <f>IF($M184="Yes",ROUND('Invoice Log'!$AP162*Settings!$J$8,2),"")</f>
        <v/>
      </c>
      <c r="M184" s="125" t="str">
        <f>IF(OR('Invoice Log'!$L162="",'Invoice Log'!$AS162=""),"",IF(AND('Invoice Log'!$AR162&lt;=$B$3,'Invoice Log'!$AR162&gt;=Settings!$J$10,'Invoice Log'!$J162&lt;&gt;"Cancelled"),"Yes","No"))</f>
        <v/>
      </c>
    </row>
    <row r="185" ht="15.75" customHeight="1">
      <c r="A185" s="125" t="str">
        <f>IF('Invoice Log'!$AS163="","",TEXT('Invoice Log'!$AS163,"YYYY-MM"))</f>
        <v/>
      </c>
      <c r="B185" s="45" t="str">
        <f>IF('Invoice Log'!$AR163="","",'Invoice Log'!$AR163)</f>
        <v/>
      </c>
      <c r="C185" s="63" t="str">
        <f>IF('Invoice Log'!$D163="","",'Invoice Log'!$D163)</f>
        <v/>
      </c>
      <c r="D185" s="126" t="str">
        <f>IF('Invoice Log'!$L163="","",'Invoice Log'!$E163)</f>
        <v/>
      </c>
      <c r="E185" s="126" t="str">
        <f>IF('Invoice Log'!$L163="","",'Invoice Log'!$J163)</f>
        <v/>
      </c>
      <c r="F185" s="125" t="str">
        <f>IF('Invoice Log'!$L163="","",'Invoice Log'!$Q163)</f>
        <v/>
      </c>
      <c r="G185" s="65" t="str">
        <f>IF($M185="Yes",'Invoice Log'!$L163,"")</f>
        <v/>
      </c>
      <c r="H185" s="65" t="str">
        <f>IF($M185="Yes",'Invoice Log'!$S163,"")</f>
        <v/>
      </c>
      <c r="I185" s="65" t="str">
        <f>IF($M185="Yes",'Invoice Log'!$AI163,"")</f>
        <v/>
      </c>
      <c r="J185" s="127" t="str">
        <f>IF($M185="Yes",'Invoice Log'!$AO163,"")</f>
        <v/>
      </c>
      <c r="K185" s="129" t="str">
        <f>IF($M185="Yes",'Invoice Log'!$AP163,"")</f>
        <v/>
      </c>
      <c r="L185" s="65" t="str">
        <f>IF($M185="Yes",ROUND('Invoice Log'!$AP163*Settings!$J$8,2),"")</f>
        <v/>
      </c>
      <c r="M185" s="125" t="str">
        <f>IF(OR('Invoice Log'!$L163="",'Invoice Log'!$AS163=""),"",IF(AND('Invoice Log'!$AR163&lt;=$B$3,'Invoice Log'!$AR163&gt;=Settings!$J$10,'Invoice Log'!$J163&lt;&gt;"Cancelled"),"Yes","No"))</f>
        <v/>
      </c>
    </row>
    <row r="186" ht="15.75" customHeight="1">
      <c r="A186" s="125" t="str">
        <f>IF('Invoice Log'!$AS164="","",TEXT('Invoice Log'!$AS164,"YYYY-MM"))</f>
        <v/>
      </c>
      <c r="B186" s="45" t="str">
        <f>IF('Invoice Log'!$AR164="","",'Invoice Log'!$AR164)</f>
        <v/>
      </c>
      <c r="C186" s="63" t="str">
        <f>IF('Invoice Log'!$D164="","",'Invoice Log'!$D164)</f>
        <v/>
      </c>
      <c r="D186" s="126" t="str">
        <f>IF('Invoice Log'!$L164="","",'Invoice Log'!$E164)</f>
        <v/>
      </c>
      <c r="E186" s="126" t="str">
        <f>IF('Invoice Log'!$L164="","",'Invoice Log'!$J164)</f>
        <v/>
      </c>
      <c r="F186" s="125" t="str">
        <f>IF('Invoice Log'!$L164="","",'Invoice Log'!$Q164)</f>
        <v/>
      </c>
      <c r="G186" s="65" t="str">
        <f>IF($M186="Yes",'Invoice Log'!$L164,"")</f>
        <v/>
      </c>
      <c r="H186" s="65" t="str">
        <f>IF($M186="Yes",'Invoice Log'!$S164,"")</f>
        <v/>
      </c>
      <c r="I186" s="65" t="str">
        <f>IF($M186="Yes",'Invoice Log'!$AI164,"")</f>
        <v/>
      </c>
      <c r="J186" s="127" t="str">
        <f>IF($M186="Yes",'Invoice Log'!$AO164,"")</f>
        <v/>
      </c>
      <c r="K186" s="129" t="str">
        <f>IF($M186="Yes",'Invoice Log'!$AP164,"")</f>
        <v/>
      </c>
      <c r="L186" s="65" t="str">
        <f>IF($M186="Yes",ROUND('Invoice Log'!$AP164*Settings!$J$8,2),"")</f>
        <v/>
      </c>
      <c r="M186" s="125" t="str">
        <f>IF(OR('Invoice Log'!$L164="",'Invoice Log'!$AS164=""),"",IF(AND('Invoice Log'!$AR164&lt;=$B$3,'Invoice Log'!$AR164&gt;=Settings!$J$10,'Invoice Log'!$J164&lt;&gt;"Cancelled"),"Yes","No"))</f>
        <v/>
      </c>
    </row>
    <row r="187" ht="15.75" customHeight="1">
      <c r="A187" s="125" t="str">
        <f>IF('Invoice Log'!$AS165="","",TEXT('Invoice Log'!$AS165,"YYYY-MM"))</f>
        <v/>
      </c>
      <c r="B187" s="45" t="str">
        <f>IF('Invoice Log'!$AR165="","",'Invoice Log'!$AR165)</f>
        <v/>
      </c>
      <c r="C187" s="63" t="str">
        <f>IF('Invoice Log'!$D165="","",'Invoice Log'!$D165)</f>
        <v/>
      </c>
      <c r="D187" s="126" t="str">
        <f>IF('Invoice Log'!$L165="","",'Invoice Log'!$E165)</f>
        <v/>
      </c>
      <c r="E187" s="126" t="str">
        <f>IF('Invoice Log'!$L165="","",'Invoice Log'!$J165)</f>
        <v/>
      </c>
      <c r="F187" s="125" t="str">
        <f>IF('Invoice Log'!$L165="","",'Invoice Log'!$Q165)</f>
        <v/>
      </c>
      <c r="G187" s="65" t="str">
        <f>IF($M187="Yes",'Invoice Log'!$L165,"")</f>
        <v/>
      </c>
      <c r="H187" s="65" t="str">
        <f>IF($M187="Yes",'Invoice Log'!$S165,"")</f>
        <v/>
      </c>
      <c r="I187" s="65" t="str">
        <f>IF($M187="Yes",'Invoice Log'!$AI165,"")</f>
        <v/>
      </c>
      <c r="J187" s="127" t="str">
        <f>IF($M187="Yes",'Invoice Log'!$AO165,"")</f>
        <v/>
      </c>
      <c r="K187" s="129" t="str">
        <f>IF($M187="Yes",'Invoice Log'!$AP165,"")</f>
        <v/>
      </c>
      <c r="L187" s="65" t="str">
        <f>IF($M187="Yes",ROUND('Invoice Log'!$AP165*Settings!$J$8,2),"")</f>
        <v/>
      </c>
      <c r="M187" s="125" t="str">
        <f>IF(OR('Invoice Log'!$L165="",'Invoice Log'!$AS165=""),"",IF(AND('Invoice Log'!$AR165&lt;=$B$3,'Invoice Log'!$AR165&gt;=Settings!$J$10,'Invoice Log'!$J165&lt;&gt;"Cancelled"),"Yes","No"))</f>
        <v/>
      </c>
    </row>
    <row r="188" ht="15.75" customHeight="1">
      <c r="A188" s="125" t="str">
        <f>IF('Invoice Log'!$AS166="","",TEXT('Invoice Log'!$AS166,"YYYY-MM"))</f>
        <v/>
      </c>
      <c r="B188" s="45" t="str">
        <f>IF('Invoice Log'!$AR166="","",'Invoice Log'!$AR166)</f>
        <v/>
      </c>
      <c r="C188" s="63" t="str">
        <f>IF('Invoice Log'!$D166="","",'Invoice Log'!$D166)</f>
        <v/>
      </c>
      <c r="D188" s="126" t="str">
        <f>IF('Invoice Log'!$L166="","",'Invoice Log'!$E166)</f>
        <v/>
      </c>
      <c r="E188" s="126" t="str">
        <f>IF('Invoice Log'!$L166="","",'Invoice Log'!$J166)</f>
        <v/>
      </c>
      <c r="F188" s="125" t="str">
        <f>IF('Invoice Log'!$L166="","",'Invoice Log'!$Q166)</f>
        <v/>
      </c>
      <c r="G188" s="65" t="str">
        <f>IF($M188="Yes",'Invoice Log'!$L166,"")</f>
        <v/>
      </c>
      <c r="H188" s="65" t="str">
        <f>IF($M188="Yes",'Invoice Log'!$S166,"")</f>
        <v/>
      </c>
      <c r="I188" s="65" t="str">
        <f>IF($M188="Yes",'Invoice Log'!$AI166,"")</f>
        <v/>
      </c>
      <c r="J188" s="127" t="str">
        <f>IF($M188="Yes",'Invoice Log'!$AO166,"")</f>
        <v/>
      </c>
      <c r="K188" s="129" t="str">
        <f>IF($M188="Yes",'Invoice Log'!$AP166,"")</f>
        <v/>
      </c>
      <c r="L188" s="65" t="str">
        <f>IF($M188="Yes",ROUND('Invoice Log'!$AP166*Settings!$J$8,2),"")</f>
        <v/>
      </c>
      <c r="M188" s="125" t="str">
        <f>IF(OR('Invoice Log'!$L166="",'Invoice Log'!$AS166=""),"",IF(AND('Invoice Log'!$AR166&lt;=$B$3,'Invoice Log'!$AR166&gt;=Settings!$J$10,'Invoice Log'!$J166&lt;&gt;"Cancelled"),"Yes","No"))</f>
        <v/>
      </c>
    </row>
    <row r="189" ht="15.75" customHeight="1">
      <c r="A189" s="125" t="str">
        <f>IF('Invoice Log'!$AS167="","",TEXT('Invoice Log'!$AS167,"YYYY-MM"))</f>
        <v/>
      </c>
      <c r="B189" s="45" t="str">
        <f>IF('Invoice Log'!$AR167="","",'Invoice Log'!$AR167)</f>
        <v/>
      </c>
      <c r="C189" s="63" t="str">
        <f>IF('Invoice Log'!$D167="","",'Invoice Log'!$D167)</f>
        <v/>
      </c>
      <c r="D189" s="126" t="str">
        <f>IF('Invoice Log'!$L167="","",'Invoice Log'!$E167)</f>
        <v/>
      </c>
      <c r="E189" s="126" t="str">
        <f>IF('Invoice Log'!$L167="","",'Invoice Log'!$J167)</f>
        <v/>
      </c>
      <c r="F189" s="125" t="str">
        <f>IF('Invoice Log'!$L167="","",'Invoice Log'!$Q167)</f>
        <v/>
      </c>
      <c r="G189" s="65" t="str">
        <f>IF($M189="Yes",'Invoice Log'!$L167,"")</f>
        <v/>
      </c>
      <c r="H189" s="65" t="str">
        <f>IF($M189="Yes",'Invoice Log'!$S167,"")</f>
        <v/>
      </c>
      <c r="I189" s="65" t="str">
        <f>IF($M189="Yes",'Invoice Log'!$AI167,"")</f>
        <v/>
      </c>
      <c r="J189" s="127" t="str">
        <f>IF($M189="Yes",'Invoice Log'!$AO167,"")</f>
        <v/>
      </c>
      <c r="K189" s="129" t="str">
        <f>IF($M189="Yes",'Invoice Log'!$AP167,"")</f>
        <v/>
      </c>
      <c r="L189" s="65" t="str">
        <f>IF($M189="Yes",ROUND('Invoice Log'!$AP167*Settings!$J$8,2),"")</f>
        <v/>
      </c>
      <c r="M189" s="125" t="str">
        <f>IF(OR('Invoice Log'!$L167="",'Invoice Log'!$AS167=""),"",IF(AND('Invoice Log'!$AR167&lt;=$B$3,'Invoice Log'!$AR167&gt;=Settings!$J$10,'Invoice Log'!$J167&lt;&gt;"Cancelled"),"Yes","No"))</f>
        <v/>
      </c>
    </row>
    <row r="190" ht="15.75" customHeight="1">
      <c r="A190" s="125" t="str">
        <f>IF('Invoice Log'!$AS168="","",TEXT('Invoice Log'!$AS168,"YYYY-MM"))</f>
        <v/>
      </c>
      <c r="B190" s="45" t="str">
        <f>IF('Invoice Log'!$AR168="","",'Invoice Log'!$AR168)</f>
        <v/>
      </c>
      <c r="C190" s="63" t="str">
        <f>IF('Invoice Log'!$D168="","",'Invoice Log'!$D168)</f>
        <v/>
      </c>
      <c r="D190" s="126" t="str">
        <f>IF('Invoice Log'!$L168="","",'Invoice Log'!$E168)</f>
        <v/>
      </c>
      <c r="E190" s="126" t="str">
        <f>IF('Invoice Log'!$L168="","",'Invoice Log'!$J168)</f>
        <v/>
      </c>
      <c r="F190" s="125" t="str">
        <f>IF('Invoice Log'!$L168="","",'Invoice Log'!$Q168)</f>
        <v/>
      </c>
      <c r="G190" s="65" t="str">
        <f>IF($M190="Yes",'Invoice Log'!$L168,"")</f>
        <v/>
      </c>
      <c r="H190" s="65" t="str">
        <f>IF($M190="Yes",'Invoice Log'!$S168,"")</f>
        <v/>
      </c>
      <c r="I190" s="65" t="str">
        <f>IF($M190="Yes",'Invoice Log'!$AI168,"")</f>
        <v/>
      </c>
      <c r="J190" s="127" t="str">
        <f>IF($M190="Yes",'Invoice Log'!$AO168,"")</f>
        <v/>
      </c>
      <c r="K190" s="129" t="str">
        <f>IF($M190="Yes",'Invoice Log'!$AP168,"")</f>
        <v/>
      </c>
      <c r="L190" s="65" t="str">
        <f>IF($M190="Yes",ROUND('Invoice Log'!$AP168*Settings!$J$8,2),"")</f>
        <v/>
      </c>
      <c r="M190" s="125" t="str">
        <f>IF(OR('Invoice Log'!$L168="",'Invoice Log'!$AS168=""),"",IF(AND('Invoice Log'!$AR168&lt;=$B$3,'Invoice Log'!$AR168&gt;=Settings!$J$10,'Invoice Log'!$J168&lt;&gt;"Cancelled"),"Yes","No"))</f>
        <v/>
      </c>
    </row>
    <row r="191" ht="15.75" customHeight="1">
      <c r="A191" s="125" t="str">
        <f>IF('Invoice Log'!$AS169="","",TEXT('Invoice Log'!$AS169,"YYYY-MM"))</f>
        <v/>
      </c>
      <c r="B191" s="45" t="str">
        <f>IF('Invoice Log'!$AR169="","",'Invoice Log'!$AR169)</f>
        <v/>
      </c>
      <c r="C191" s="63" t="str">
        <f>IF('Invoice Log'!$D169="","",'Invoice Log'!$D169)</f>
        <v/>
      </c>
      <c r="D191" s="126" t="str">
        <f>IF('Invoice Log'!$L169="","",'Invoice Log'!$E169)</f>
        <v/>
      </c>
      <c r="E191" s="126" t="str">
        <f>IF('Invoice Log'!$L169="","",'Invoice Log'!$J169)</f>
        <v/>
      </c>
      <c r="F191" s="125" t="str">
        <f>IF('Invoice Log'!$L169="","",'Invoice Log'!$Q169)</f>
        <v/>
      </c>
      <c r="G191" s="65" t="str">
        <f>IF($M191="Yes",'Invoice Log'!$L169,"")</f>
        <v/>
      </c>
      <c r="H191" s="65" t="str">
        <f>IF($M191="Yes",'Invoice Log'!$S169,"")</f>
        <v/>
      </c>
      <c r="I191" s="65" t="str">
        <f>IF($M191="Yes",'Invoice Log'!$AI169,"")</f>
        <v/>
      </c>
      <c r="J191" s="127" t="str">
        <f>IF($M191="Yes",'Invoice Log'!$AO169,"")</f>
        <v/>
      </c>
      <c r="K191" s="129" t="str">
        <f>IF($M191="Yes",'Invoice Log'!$AP169,"")</f>
        <v/>
      </c>
      <c r="L191" s="65" t="str">
        <f>IF($M191="Yes",ROUND('Invoice Log'!$AP169*Settings!$J$8,2),"")</f>
        <v/>
      </c>
      <c r="M191" s="125" t="str">
        <f>IF(OR('Invoice Log'!$L169="",'Invoice Log'!$AS169=""),"",IF(AND('Invoice Log'!$AR169&lt;=$B$3,'Invoice Log'!$AR169&gt;=Settings!$J$10,'Invoice Log'!$J169&lt;&gt;"Cancelled"),"Yes","No"))</f>
        <v/>
      </c>
    </row>
    <row r="192" ht="15.75" customHeight="1">
      <c r="A192" s="125" t="str">
        <f>IF('Invoice Log'!$AS170="","",TEXT('Invoice Log'!$AS170,"YYYY-MM"))</f>
        <v/>
      </c>
      <c r="B192" s="45" t="str">
        <f>IF('Invoice Log'!$AR170="","",'Invoice Log'!$AR170)</f>
        <v/>
      </c>
      <c r="C192" s="63" t="str">
        <f>IF('Invoice Log'!$D170="","",'Invoice Log'!$D170)</f>
        <v/>
      </c>
      <c r="D192" s="126" t="str">
        <f>IF('Invoice Log'!$L170="","",'Invoice Log'!$E170)</f>
        <v/>
      </c>
      <c r="E192" s="126" t="str">
        <f>IF('Invoice Log'!$L170="","",'Invoice Log'!$J170)</f>
        <v/>
      </c>
      <c r="F192" s="125" t="str">
        <f>IF('Invoice Log'!$L170="","",'Invoice Log'!$Q170)</f>
        <v/>
      </c>
      <c r="G192" s="65" t="str">
        <f>IF($M192="Yes",'Invoice Log'!$L170,"")</f>
        <v/>
      </c>
      <c r="H192" s="65" t="str">
        <f>IF($M192="Yes",'Invoice Log'!$S170,"")</f>
        <v/>
      </c>
      <c r="I192" s="65" t="str">
        <f>IF($M192="Yes",'Invoice Log'!$AI170,"")</f>
        <v/>
      </c>
      <c r="J192" s="127" t="str">
        <f>IF($M192="Yes",'Invoice Log'!$AO170,"")</f>
        <v/>
      </c>
      <c r="K192" s="129" t="str">
        <f>IF($M192="Yes",'Invoice Log'!$AP170,"")</f>
        <v/>
      </c>
      <c r="L192" s="65" t="str">
        <f>IF($M192="Yes",ROUND('Invoice Log'!$AP170*Settings!$J$8,2),"")</f>
        <v/>
      </c>
      <c r="M192" s="125" t="str">
        <f>IF(OR('Invoice Log'!$L170="",'Invoice Log'!$AS170=""),"",IF(AND('Invoice Log'!$AR170&lt;=$B$3,'Invoice Log'!$AR170&gt;=Settings!$J$10,'Invoice Log'!$J170&lt;&gt;"Cancelled"),"Yes","No"))</f>
        <v/>
      </c>
    </row>
    <row r="193" ht="15.75" customHeight="1">
      <c r="A193" s="125" t="str">
        <f>IF('Invoice Log'!$AS171="","",TEXT('Invoice Log'!$AS171,"YYYY-MM"))</f>
        <v/>
      </c>
      <c r="B193" s="45" t="str">
        <f>IF('Invoice Log'!$AR171="","",'Invoice Log'!$AR171)</f>
        <v/>
      </c>
      <c r="C193" s="63" t="str">
        <f>IF('Invoice Log'!$D171="","",'Invoice Log'!$D171)</f>
        <v/>
      </c>
      <c r="D193" s="126" t="str">
        <f>IF('Invoice Log'!$L171="","",'Invoice Log'!$E171)</f>
        <v/>
      </c>
      <c r="E193" s="126" t="str">
        <f>IF('Invoice Log'!$L171="","",'Invoice Log'!$J171)</f>
        <v/>
      </c>
      <c r="F193" s="125" t="str">
        <f>IF('Invoice Log'!$L171="","",'Invoice Log'!$Q171)</f>
        <v/>
      </c>
      <c r="G193" s="65" t="str">
        <f>IF($M193="Yes",'Invoice Log'!$L171,"")</f>
        <v/>
      </c>
      <c r="H193" s="65" t="str">
        <f>IF($M193="Yes",'Invoice Log'!$S171,"")</f>
        <v/>
      </c>
      <c r="I193" s="65" t="str">
        <f>IF($M193="Yes",'Invoice Log'!$AI171,"")</f>
        <v/>
      </c>
      <c r="J193" s="127" t="str">
        <f>IF($M193="Yes",'Invoice Log'!$AO171,"")</f>
        <v/>
      </c>
      <c r="K193" s="129" t="str">
        <f>IF($M193="Yes",'Invoice Log'!$AP171,"")</f>
        <v/>
      </c>
      <c r="L193" s="65" t="str">
        <f>IF($M193="Yes",ROUND('Invoice Log'!$AP171*Settings!$J$8,2),"")</f>
        <v/>
      </c>
      <c r="M193" s="125" t="str">
        <f>IF(OR('Invoice Log'!$L171="",'Invoice Log'!$AS171=""),"",IF(AND('Invoice Log'!$AR171&lt;=$B$3,'Invoice Log'!$AR171&gt;=Settings!$J$10,'Invoice Log'!$J171&lt;&gt;"Cancelled"),"Yes","No"))</f>
        <v/>
      </c>
    </row>
    <row r="194" ht="15.75" customHeight="1">
      <c r="A194" s="125" t="str">
        <f>IF('Invoice Log'!$AS172="","",TEXT('Invoice Log'!$AS172,"YYYY-MM"))</f>
        <v/>
      </c>
      <c r="B194" s="45" t="str">
        <f>IF('Invoice Log'!$AR172="","",'Invoice Log'!$AR172)</f>
        <v/>
      </c>
      <c r="C194" s="63" t="str">
        <f>IF('Invoice Log'!$D172="","",'Invoice Log'!$D172)</f>
        <v/>
      </c>
      <c r="D194" s="126" t="str">
        <f>IF('Invoice Log'!$L172="","",'Invoice Log'!$E172)</f>
        <v/>
      </c>
      <c r="E194" s="126" t="str">
        <f>IF('Invoice Log'!$L172="","",'Invoice Log'!$J172)</f>
        <v/>
      </c>
      <c r="F194" s="125" t="str">
        <f>IF('Invoice Log'!$L172="","",'Invoice Log'!$Q172)</f>
        <v/>
      </c>
      <c r="G194" s="65" t="str">
        <f>IF($M194="Yes",'Invoice Log'!$L172,"")</f>
        <v/>
      </c>
      <c r="H194" s="65" t="str">
        <f>IF($M194="Yes",'Invoice Log'!$S172,"")</f>
        <v/>
      </c>
      <c r="I194" s="65" t="str">
        <f>IF($M194="Yes",'Invoice Log'!$AI172,"")</f>
        <v/>
      </c>
      <c r="J194" s="127" t="str">
        <f>IF($M194="Yes",'Invoice Log'!$AO172,"")</f>
        <v/>
      </c>
      <c r="K194" s="129" t="str">
        <f>IF($M194="Yes",'Invoice Log'!$AP172,"")</f>
        <v/>
      </c>
      <c r="L194" s="65" t="str">
        <f>IF($M194="Yes",ROUND('Invoice Log'!$AP172*Settings!$J$8,2),"")</f>
        <v/>
      </c>
      <c r="M194" s="125" t="str">
        <f>IF(OR('Invoice Log'!$L172="",'Invoice Log'!$AS172=""),"",IF(AND('Invoice Log'!$AR172&lt;=$B$3,'Invoice Log'!$AR172&gt;=Settings!$J$10,'Invoice Log'!$J172&lt;&gt;"Cancelled"),"Yes","No"))</f>
        <v/>
      </c>
    </row>
    <row r="195" ht="15.75" customHeight="1">
      <c r="A195" s="125" t="str">
        <f>IF('Invoice Log'!$AS173="","",TEXT('Invoice Log'!$AS173,"YYYY-MM"))</f>
        <v/>
      </c>
      <c r="B195" s="45" t="str">
        <f>IF('Invoice Log'!$AR173="","",'Invoice Log'!$AR173)</f>
        <v/>
      </c>
      <c r="C195" s="63" t="str">
        <f>IF('Invoice Log'!$D173="","",'Invoice Log'!$D173)</f>
        <v/>
      </c>
      <c r="D195" s="126" t="str">
        <f>IF('Invoice Log'!$L173="","",'Invoice Log'!$E173)</f>
        <v/>
      </c>
      <c r="E195" s="126" t="str">
        <f>IF('Invoice Log'!$L173="","",'Invoice Log'!$J173)</f>
        <v/>
      </c>
      <c r="F195" s="125" t="str">
        <f>IF('Invoice Log'!$L173="","",'Invoice Log'!$Q173)</f>
        <v/>
      </c>
      <c r="G195" s="65" t="str">
        <f>IF($M195="Yes",'Invoice Log'!$L173,"")</f>
        <v/>
      </c>
      <c r="H195" s="65" t="str">
        <f>IF($M195="Yes",'Invoice Log'!$S173,"")</f>
        <v/>
      </c>
      <c r="I195" s="65" t="str">
        <f>IF($M195="Yes",'Invoice Log'!$AI173,"")</f>
        <v/>
      </c>
      <c r="J195" s="127" t="str">
        <f>IF($M195="Yes",'Invoice Log'!$AO173,"")</f>
        <v/>
      </c>
      <c r="K195" s="129" t="str">
        <f>IF($M195="Yes",'Invoice Log'!$AP173,"")</f>
        <v/>
      </c>
      <c r="L195" s="65" t="str">
        <f>IF($M195="Yes",ROUND('Invoice Log'!$AP173*Settings!$J$8,2),"")</f>
        <v/>
      </c>
      <c r="M195" s="125" t="str">
        <f>IF(OR('Invoice Log'!$L173="",'Invoice Log'!$AS173=""),"",IF(AND('Invoice Log'!$AR173&lt;=$B$3,'Invoice Log'!$AR173&gt;=Settings!$J$10,'Invoice Log'!$J173&lt;&gt;"Cancelled"),"Yes","No"))</f>
        <v/>
      </c>
    </row>
    <row r="196" ht="15.75" customHeight="1">
      <c r="A196" s="125" t="str">
        <f>IF('Invoice Log'!$AS174="","",TEXT('Invoice Log'!$AS174,"YYYY-MM"))</f>
        <v/>
      </c>
      <c r="B196" s="45" t="str">
        <f>IF('Invoice Log'!$AR174="","",'Invoice Log'!$AR174)</f>
        <v/>
      </c>
      <c r="C196" s="63" t="str">
        <f>IF('Invoice Log'!$D174="","",'Invoice Log'!$D174)</f>
        <v/>
      </c>
      <c r="D196" s="126" t="str">
        <f>IF('Invoice Log'!$L174="","",'Invoice Log'!$E174)</f>
        <v/>
      </c>
      <c r="E196" s="126" t="str">
        <f>IF('Invoice Log'!$L174="","",'Invoice Log'!$J174)</f>
        <v/>
      </c>
      <c r="F196" s="125" t="str">
        <f>IF('Invoice Log'!$L174="","",'Invoice Log'!$Q174)</f>
        <v/>
      </c>
      <c r="G196" s="65" t="str">
        <f>IF($M196="Yes",'Invoice Log'!$L174,"")</f>
        <v/>
      </c>
      <c r="H196" s="65" t="str">
        <f>IF($M196="Yes",'Invoice Log'!$S174,"")</f>
        <v/>
      </c>
      <c r="I196" s="65" t="str">
        <f>IF($M196="Yes",'Invoice Log'!$AI174,"")</f>
        <v/>
      </c>
      <c r="J196" s="127" t="str">
        <f>IF($M196="Yes",'Invoice Log'!$AO174,"")</f>
        <v/>
      </c>
      <c r="K196" s="129" t="str">
        <f>IF($M196="Yes",'Invoice Log'!$AP174,"")</f>
        <v/>
      </c>
      <c r="L196" s="65" t="str">
        <f>IF($M196="Yes",ROUND('Invoice Log'!$AP174*Settings!$J$8,2),"")</f>
        <v/>
      </c>
      <c r="M196" s="125" t="str">
        <f>IF(OR('Invoice Log'!$L174="",'Invoice Log'!$AS174=""),"",IF(AND('Invoice Log'!$AR174&lt;=$B$3,'Invoice Log'!$AR174&gt;=Settings!$J$10,'Invoice Log'!$J174&lt;&gt;"Cancelled"),"Yes","No"))</f>
        <v/>
      </c>
    </row>
    <row r="197" ht="15.75" customHeight="1">
      <c r="A197" s="125" t="str">
        <f>IF('Invoice Log'!$AS175="","",TEXT('Invoice Log'!$AS175,"YYYY-MM"))</f>
        <v/>
      </c>
      <c r="B197" s="45" t="str">
        <f>IF('Invoice Log'!$AR175="","",'Invoice Log'!$AR175)</f>
        <v/>
      </c>
      <c r="C197" s="63" t="str">
        <f>IF('Invoice Log'!$D175="","",'Invoice Log'!$D175)</f>
        <v/>
      </c>
      <c r="D197" s="126" t="str">
        <f>IF('Invoice Log'!$L175="","",'Invoice Log'!$E175)</f>
        <v/>
      </c>
      <c r="E197" s="126" t="str">
        <f>IF('Invoice Log'!$L175="","",'Invoice Log'!$J175)</f>
        <v/>
      </c>
      <c r="F197" s="125" t="str">
        <f>IF('Invoice Log'!$L175="","",'Invoice Log'!$Q175)</f>
        <v/>
      </c>
      <c r="G197" s="65" t="str">
        <f>IF($M197="Yes",'Invoice Log'!$L175,"")</f>
        <v/>
      </c>
      <c r="H197" s="65" t="str">
        <f>IF($M197="Yes",'Invoice Log'!$S175,"")</f>
        <v/>
      </c>
      <c r="I197" s="65" t="str">
        <f>IF($M197="Yes",'Invoice Log'!$AI175,"")</f>
        <v/>
      </c>
      <c r="J197" s="127" t="str">
        <f>IF($M197="Yes",'Invoice Log'!$AO175,"")</f>
        <v/>
      </c>
      <c r="K197" s="129" t="str">
        <f>IF($M197="Yes",'Invoice Log'!$AP175,"")</f>
        <v/>
      </c>
      <c r="L197" s="65" t="str">
        <f>IF($M197="Yes",ROUND('Invoice Log'!$AP175*Settings!$J$8,2),"")</f>
        <v/>
      </c>
      <c r="M197" s="125" t="str">
        <f>IF(OR('Invoice Log'!$L175="",'Invoice Log'!$AS175=""),"",IF(AND('Invoice Log'!$AR175&lt;=$B$3,'Invoice Log'!$AR175&gt;=Settings!$J$10,'Invoice Log'!$J175&lt;&gt;"Cancelled"),"Yes","No"))</f>
        <v/>
      </c>
    </row>
    <row r="198" ht="15.75" customHeight="1">
      <c r="A198" s="125" t="str">
        <f>IF('Invoice Log'!$AS176="","",TEXT('Invoice Log'!$AS176,"YYYY-MM"))</f>
        <v/>
      </c>
      <c r="B198" s="45" t="str">
        <f>IF('Invoice Log'!$AR176="","",'Invoice Log'!$AR176)</f>
        <v/>
      </c>
      <c r="C198" s="63" t="str">
        <f>IF('Invoice Log'!$D176="","",'Invoice Log'!$D176)</f>
        <v/>
      </c>
      <c r="D198" s="126" t="str">
        <f>IF('Invoice Log'!$L176="","",'Invoice Log'!$E176)</f>
        <v/>
      </c>
      <c r="E198" s="126" t="str">
        <f>IF('Invoice Log'!$L176="","",'Invoice Log'!$J176)</f>
        <v/>
      </c>
      <c r="F198" s="125" t="str">
        <f>IF('Invoice Log'!$L176="","",'Invoice Log'!$Q176)</f>
        <v/>
      </c>
      <c r="G198" s="65" t="str">
        <f>IF($M198="Yes",'Invoice Log'!$L176,"")</f>
        <v/>
      </c>
      <c r="H198" s="65" t="str">
        <f>IF($M198="Yes",'Invoice Log'!$S176,"")</f>
        <v/>
      </c>
      <c r="I198" s="65" t="str">
        <f>IF($M198="Yes",'Invoice Log'!$AI176,"")</f>
        <v/>
      </c>
      <c r="J198" s="127" t="str">
        <f>IF($M198="Yes",'Invoice Log'!$AO176,"")</f>
        <v/>
      </c>
      <c r="K198" s="129" t="str">
        <f>IF($M198="Yes",'Invoice Log'!$AP176,"")</f>
        <v/>
      </c>
      <c r="L198" s="65" t="str">
        <f>IF($M198="Yes",ROUND('Invoice Log'!$AP176*Settings!$J$8,2),"")</f>
        <v/>
      </c>
      <c r="M198" s="125" t="str">
        <f>IF(OR('Invoice Log'!$L176="",'Invoice Log'!$AS176=""),"",IF(AND('Invoice Log'!$AR176&lt;=$B$3,'Invoice Log'!$AR176&gt;=Settings!$J$10,'Invoice Log'!$J176&lt;&gt;"Cancelled"),"Yes","No"))</f>
        <v/>
      </c>
    </row>
    <row r="199" ht="15.75" customHeight="1">
      <c r="A199" s="125" t="str">
        <f>IF('Invoice Log'!$AS177="","",TEXT('Invoice Log'!$AS177,"YYYY-MM"))</f>
        <v/>
      </c>
      <c r="B199" s="45" t="str">
        <f>IF('Invoice Log'!$AR177="","",'Invoice Log'!$AR177)</f>
        <v/>
      </c>
      <c r="C199" s="63" t="str">
        <f>IF('Invoice Log'!$D177="","",'Invoice Log'!$D177)</f>
        <v/>
      </c>
      <c r="D199" s="126" t="str">
        <f>IF('Invoice Log'!$L177="","",'Invoice Log'!$E177)</f>
        <v/>
      </c>
      <c r="E199" s="126" t="str">
        <f>IF('Invoice Log'!$L177="","",'Invoice Log'!$J177)</f>
        <v/>
      </c>
      <c r="F199" s="125" t="str">
        <f>IF('Invoice Log'!$L177="","",'Invoice Log'!$Q177)</f>
        <v/>
      </c>
      <c r="G199" s="65" t="str">
        <f>IF($M199="Yes",'Invoice Log'!$L177,"")</f>
        <v/>
      </c>
      <c r="H199" s="65" t="str">
        <f>IF($M199="Yes",'Invoice Log'!$S177,"")</f>
        <v/>
      </c>
      <c r="I199" s="65" t="str">
        <f>IF($M199="Yes",'Invoice Log'!$AI177,"")</f>
        <v/>
      </c>
      <c r="J199" s="127" t="str">
        <f>IF($M199="Yes",'Invoice Log'!$AO177,"")</f>
        <v/>
      </c>
      <c r="K199" s="129" t="str">
        <f>IF($M199="Yes",'Invoice Log'!$AP177,"")</f>
        <v/>
      </c>
      <c r="L199" s="65" t="str">
        <f>IF($M199="Yes",ROUND('Invoice Log'!$AP177*Settings!$J$8,2),"")</f>
        <v/>
      </c>
      <c r="M199" s="125" t="str">
        <f>IF(OR('Invoice Log'!$L177="",'Invoice Log'!$AS177=""),"",IF(AND('Invoice Log'!$AR177&lt;=$B$3,'Invoice Log'!$AR177&gt;=Settings!$J$10,'Invoice Log'!$J177&lt;&gt;"Cancelled"),"Yes","No"))</f>
        <v/>
      </c>
    </row>
    <row r="200" ht="15.75" customHeight="1">
      <c r="A200" s="125" t="str">
        <f>IF('Invoice Log'!$AS178="","",TEXT('Invoice Log'!$AS178,"YYYY-MM"))</f>
        <v/>
      </c>
      <c r="B200" s="45" t="str">
        <f>IF('Invoice Log'!$AR178="","",'Invoice Log'!$AR178)</f>
        <v/>
      </c>
      <c r="C200" s="63" t="str">
        <f>IF('Invoice Log'!$D178="","",'Invoice Log'!$D178)</f>
        <v/>
      </c>
      <c r="D200" s="126" t="str">
        <f>IF('Invoice Log'!$L178="","",'Invoice Log'!$E178)</f>
        <v/>
      </c>
      <c r="E200" s="126" t="str">
        <f>IF('Invoice Log'!$L178="","",'Invoice Log'!$J178)</f>
        <v/>
      </c>
      <c r="F200" s="125" t="str">
        <f>IF('Invoice Log'!$L178="","",'Invoice Log'!$Q178)</f>
        <v/>
      </c>
      <c r="G200" s="65" t="str">
        <f>IF($M200="Yes",'Invoice Log'!$L178,"")</f>
        <v/>
      </c>
      <c r="H200" s="65" t="str">
        <f>IF($M200="Yes",'Invoice Log'!$S178,"")</f>
        <v/>
      </c>
      <c r="I200" s="65" t="str">
        <f>IF($M200="Yes",'Invoice Log'!$AI178,"")</f>
        <v/>
      </c>
      <c r="J200" s="127" t="str">
        <f>IF($M200="Yes",'Invoice Log'!$AO178,"")</f>
        <v/>
      </c>
      <c r="K200" s="129" t="str">
        <f>IF($M200="Yes",'Invoice Log'!$AP178,"")</f>
        <v/>
      </c>
      <c r="L200" s="65" t="str">
        <f>IF($M200="Yes",ROUND('Invoice Log'!$AP178*Settings!$J$8,2),"")</f>
        <v/>
      </c>
      <c r="M200" s="125" t="str">
        <f>IF(OR('Invoice Log'!$L178="",'Invoice Log'!$AS178=""),"",IF(AND('Invoice Log'!$AR178&lt;=$B$3,'Invoice Log'!$AR178&gt;=Settings!$J$10,'Invoice Log'!$J178&lt;&gt;"Cancelled"),"Yes","No"))</f>
        <v/>
      </c>
    </row>
    <row r="201" ht="15.75" customHeight="1">
      <c r="A201" s="125" t="str">
        <f>IF('Invoice Log'!$AS179="","",TEXT('Invoice Log'!$AS179,"YYYY-MM"))</f>
        <v/>
      </c>
      <c r="B201" s="45" t="str">
        <f>IF('Invoice Log'!$AR179="","",'Invoice Log'!$AR179)</f>
        <v/>
      </c>
      <c r="C201" s="63" t="str">
        <f>IF('Invoice Log'!$D179="","",'Invoice Log'!$D179)</f>
        <v/>
      </c>
      <c r="D201" s="126" t="str">
        <f>IF('Invoice Log'!$L179="","",'Invoice Log'!$E179)</f>
        <v/>
      </c>
      <c r="E201" s="126" t="str">
        <f>IF('Invoice Log'!$L179="","",'Invoice Log'!$J179)</f>
        <v/>
      </c>
      <c r="F201" s="125" t="str">
        <f>IF('Invoice Log'!$L179="","",'Invoice Log'!$Q179)</f>
        <v/>
      </c>
      <c r="G201" s="65" t="str">
        <f>IF($M201="Yes",'Invoice Log'!$L179,"")</f>
        <v/>
      </c>
      <c r="H201" s="65" t="str">
        <f>IF($M201="Yes",'Invoice Log'!$S179,"")</f>
        <v/>
      </c>
      <c r="I201" s="65" t="str">
        <f>IF($M201="Yes",'Invoice Log'!$AI179,"")</f>
        <v/>
      </c>
      <c r="J201" s="127" t="str">
        <f>IF($M201="Yes",'Invoice Log'!$AO179,"")</f>
        <v/>
      </c>
      <c r="K201" s="129" t="str">
        <f>IF($M201="Yes",'Invoice Log'!$AP179,"")</f>
        <v/>
      </c>
      <c r="L201" s="65" t="str">
        <f>IF($M201="Yes",ROUND('Invoice Log'!$AP179*Settings!$J$8,2),"")</f>
        <v/>
      </c>
      <c r="M201" s="125" t="str">
        <f>IF(OR('Invoice Log'!$L179="",'Invoice Log'!$AS179=""),"",IF(AND('Invoice Log'!$AR179&lt;=$B$3,'Invoice Log'!$AR179&gt;=Settings!$J$10,'Invoice Log'!$J179&lt;&gt;"Cancelled"),"Yes","No"))</f>
        <v/>
      </c>
    </row>
    <row r="202" ht="15.75" customHeight="1">
      <c r="A202" s="125" t="str">
        <f>IF('Invoice Log'!$AS180="","",TEXT('Invoice Log'!$AS180,"YYYY-MM"))</f>
        <v/>
      </c>
      <c r="B202" s="45" t="str">
        <f>IF('Invoice Log'!$AR180="","",'Invoice Log'!$AR180)</f>
        <v/>
      </c>
      <c r="C202" s="63" t="str">
        <f>IF('Invoice Log'!$D180="","",'Invoice Log'!$D180)</f>
        <v/>
      </c>
      <c r="D202" s="126" t="str">
        <f>IF('Invoice Log'!$L180="","",'Invoice Log'!$E180)</f>
        <v/>
      </c>
      <c r="E202" s="126" t="str">
        <f>IF('Invoice Log'!$L180="","",'Invoice Log'!$J180)</f>
        <v/>
      </c>
      <c r="F202" s="125" t="str">
        <f>IF('Invoice Log'!$L180="","",'Invoice Log'!$Q180)</f>
        <v/>
      </c>
      <c r="G202" s="65" t="str">
        <f>IF($M202="Yes",'Invoice Log'!$L180,"")</f>
        <v/>
      </c>
      <c r="H202" s="65" t="str">
        <f>IF($M202="Yes",'Invoice Log'!$S180,"")</f>
        <v/>
      </c>
      <c r="I202" s="65" t="str">
        <f>IF($M202="Yes",'Invoice Log'!$AI180,"")</f>
        <v/>
      </c>
      <c r="J202" s="127" t="str">
        <f>IF($M202="Yes",'Invoice Log'!$AO180,"")</f>
        <v/>
      </c>
      <c r="K202" s="129" t="str">
        <f>IF($M202="Yes",'Invoice Log'!$AP180,"")</f>
        <v/>
      </c>
      <c r="L202" s="65" t="str">
        <f>IF($M202="Yes",ROUND('Invoice Log'!$AP180*Settings!$J$8,2),"")</f>
        <v/>
      </c>
      <c r="M202" s="125" t="str">
        <f>IF(OR('Invoice Log'!$L180="",'Invoice Log'!$AS180=""),"",IF(AND('Invoice Log'!$AR180&lt;=$B$3,'Invoice Log'!$AR180&gt;=Settings!$J$10,'Invoice Log'!$J180&lt;&gt;"Cancelled"),"Yes","No"))</f>
        <v/>
      </c>
    </row>
    <row r="203" ht="15.75" customHeight="1">
      <c r="A203" s="125" t="str">
        <f>IF('Invoice Log'!$AS181="","",TEXT('Invoice Log'!$AS181,"YYYY-MM"))</f>
        <v/>
      </c>
      <c r="B203" s="45" t="str">
        <f>IF('Invoice Log'!$AR181="","",'Invoice Log'!$AR181)</f>
        <v/>
      </c>
      <c r="C203" s="63" t="str">
        <f>IF('Invoice Log'!$D181="","",'Invoice Log'!$D181)</f>
        <v/>
      </c>
      <c r="D203" s="126" t="str">
        <f>IF('Invoice Log'!$L181="","",'Invoice Log'!$E181)</f>
        <v/>
      </c>
      <c r="E203" s="126" t="str">
        <f>IF('Invoice Log'!$L181="","",'Invoice Log'!$J181)</f>
        <v/>
      </c>
      <c r="F203" s="125" t="str">
        <f>IF('Invoice Log'!$L181="","",'Invoice Log'!$Q181)</f>
        <v/>
      </c>
      <c r="G203" s="65" t="str">
        <f>IF($M203="Yes",'Invoice Log'!$L181,"")</f>
        <v/>
      </c>
      <c r="H203" s="65" t="str">
        <f>IF($M203="Yes",'Invoice Log'!$S181,"")</f>
        <v/>
      </c>
      <c r="I203" s="65" t="str">
        <f>IF($M203="Yes",'Invoice Log'!$AI181,"")</f>
        <v/>
      </c>
      <c r="J203" s="127" t="str">
        <f>IF($M203="Yes",'Invoice Log'!$AO181,"")</f>
        <v/>
      </c>
      <c r="K203" s="129" t="str">
        <f>IF($M203="Yes",'Invoice Log'!$AP181,"")</f>
        <v/>
      </c>
      <c r="L203" s="65" t="str">
        <f>IF($M203="Yes",ROUND('Invoice Log'!$AP181*Settings!$J$8,2),"")</f>
        <v/>
      </c>
      <c r="M203" s="125" t="str">
        <f>IF(OR('Invoice Log'!$L181="",'Invoice Log'!$AS181=""),"",IF(AND('Invoice Log'!$AR181&lt;=$B$3,'Invoice Log'!$AR181&gt;=Settings!$J$10,'Invoice Log'!$J181&lt;&gt;"Cancelled"),"Yes","No"))</f>
        <v/>
      </c>
    </row>
    <row r="204" ht="15.75" customHeight="1">
      <c r="A204" s="125" t="str">
        <f>IF('Invoice Log'!$AS182="","",TEXT('Invoice Log'!$AS182,"YYYY-MM"))</f>
        <v/>
      </c>
      <c r="B204" s="45" t="str">
        <f>IF('Invoice Log'!$AR182="","",'Invoice Log'!$AR182)</f>
        <v/>
      </c>
      <c r="C204" s="63" t="str">
        <f>IF('Invoice Log'!$D182="","",'Invoice Log'!$D182)</f>
        <v/>
      </c>
      <c r="D204" s="126" t="str">
        <f>IF('Invoice Log'!$L182="","",'Invoice Log'!$E182)</f>
        <v/>
      </c>
      <c r="E204" s="126" t="str">
        <f>IF('Invoice Log'!$L182="","",'Invoice Log'!$J182)</f>
        <v/>
      </c>
      <c r="F204" s="125" t="str">
        <f>IF('Invoice Log'!$L182="","",'Invoice Log'!$Q182)</f>
        <v/>
      </c>
      <c r="G204" s="65" t="str">
        <f>IF($M204="Yes",'Invoice Log'!$L182,"")</f>
        <v/>
      </c>
      <c r="H204" s="65" t="str">
        <f>IF($M204="Yes",'Invoice Log'!$S182,"")</f>
        <v/>
      </c>
      <c r="I204" s="65" t="str">
        <f>IF($M204="Yes",'Invoice Log'!$AI182,"")</f>
        <v/>
      </c>
      <c r="J204" s="127" t="str">
        <f>IF($M204="Yes",'Invoice Log'!$AO182,"")</f>
        <v/>
      </c>
      <c r="K204" s="129" t="str">
        <f>IF($M204="Yes",'Invoice Log'!$AP182,"")</f>
        <v/>
      </c>
      <c r="L204" s="65" t="str">
        <f>IF($M204="Yes",ROUND('Invoice Log'!$AP182*Settings!$J$8,2),"")</f>
        <v/>
      </c>
      <c r="M204" s="125" t="str">
        <f>IF(OR('Invoice Log'!$L182="",'Invoice Log'!$AS182=""),"",IF(AND('Invoice Log'!$AR182&lt;=$B$3,'Invoice Log'!$AR182&gt;=Settings!$J$10,'Invoice Log'!$J182&lt;&gt;"Cancelled"),"Yes","No"))</f>
        <v/>
      </c>
    </row>
    <row r="205" ht="15.75" customHeight="1">
      <c r="A205" s="125" t="str">
        <f>IF('Invoice Log'!$AS183="","",TEXT('Invoice Log'!$AS183,"YYYY-MM"))</f>
        <v/>
      </c>
      <c r="B205" s="45" t="str">
        <f>IF('Invoice Log'!$AR183="","",'Invoice Log'!$AR183)</f>
        <v/>
      </c>
      <c r="C205" s="63" t="str">
        <f>IF('Invoice Log'!$D183="","",'Invoice Log'!$D183)</f>
        <v/>
      </c>
      <c r="D205" s="126" t="str">
        <f>IF('Invoice Log'!$L183="","",'Invoice Log'!$E183)</f>
        <v/>
      </c>
      <c r="E205" s="126" t="str">
        <f>IF('Invoice Log'!$L183="","",'Invoice Log'!$J183)</f>
        <v/>
      </c>
      <c r="F205" s="125" t="str">
        <f>IF('Invoice Log'!$L183="","",'Invoice Log'!$Q183)</f>
        <v/>
      </c>
      <c r="G205" s="65" t="str">
        <f>IF($M205="Yes",'Invoice Log'!$L183,"")</f>
        <v/>
      </c>
      <c r="H205" s="65" t="str">
        <f>IF($M205="Yes",'Invoice Log'!$S183,"")</f>
        <v/>
      </c>
      <c r="I205" s="65" t="str">
        <f>IF($M205="Yes",'Invoice Log'!$AI183,"")</f>
        <v/>
      </c>
      <c r="J205" s="127" t="str">
        <f>IF($M205="Yes",'Invoice Log'!$AO183,"")</f>
        <v/>
      </c>
      <c r="K205" s="129" t="str">
        <f>IF($M205="Yes",'Invoice Log'!$AP183,"")</f>
        <v/>
      </c>
      <c r="L205" s="65" t="str">
        <f>IF($M205="Yes",ROUND('Invoice Log'!$AP183*Settings!$J$8,2),"")</f>
        <v/>
      </c>
      <c r="M205" s="125" t="str">
        <f>IF(OR('Invoice Log'!$L183="",'Invoice Log'!$AS183=""),"",IF(AND('Invoice Log'!$AR183&lt;=$B$3,'Invoice Log'!$AR183&gt;=Settings!$J$10,'Invoice Log'!$J183&lt;&gt;"Cancelled"),"Yes","No"))</f>
        <v/>
      </c>
    </row>
    <row r="206" ht="15.75" customHeight="1">
      <c r="A206" s="125" t="str">
        <f>IF('Invoice Log'!$AS184="","",TEXT('Invoice Log'!$AS184,"YYYY-MM"))</f>
        <v/>
      </c>
      <c r="B206" s="45" t="str">
        <f>IF('Invoice Log'!$AR184="","",'Invoice Log'!$AR184)</f>
        <v/>
      </c>
      <c r="C206" s="63" t="str">
        <f>IF('Invoice Log'!$D184="","",'Invoice Log'!$D184)</f>
        <v/>
      </c>
      <c r="D206" s="126" t="str">
        <f>IF('Invoice Log'!$L184="","",'Invoice Log'!$E184)</f>
        <v/>
      </c>
      <c r="E206" s="126" t="str">
        <f>IF('Invoice Log'!$L184="","",'Invoice Log'!$J184)</f>
        <v/>
      </c>
      <c r="F206" s="125" t="str">
        <f>IF('Invoice Log'!$L184="","",'Invoice Log'!$Q184)</f>
        <v/>
      </c>
      <c r="G206" s="65" t="str">
        <f>IF($M206="Yes",'Invoice Log'!$L184,"")</f>
        <v/>
      </c>
      <c r="H206" s="65" t="str">
        <f>IF($M206="Yes",'Invoice Log'!$S184,"")</f>
        <v/>
      </c>
      <c r="I206" s="65" t="str">
        <f>IF($M206="Yes",'Invoice Log'!$AI184,"")</f>
        <v/>
      </c>
      <c r="J206" s="127" t="str">
        <f>IF($M206="Yes",'Invoice Log'!$AO184,"")</f>
        <v/>
      </c>
      <c r="K206" s="129" t="str">
        <f>IF($M206="Yes",'Invoice Log'!$AP184,"")</f>
        <v/>
      </c>
      <c r="L206" s="65" t="str">
        <f>IF($M206="Yes",ROUND('Invoice Log'!$AP184*Settings!$J$8,2),"")</f>
        <v/>
      </c>
      <c r="M206" s="125" t="str">
        <f>IF(OR('Invoice Log'!$L184="",'Invoice Log'!$AS184=""),"",IF(AND('Invoice Log'!$AR184&lt;=$B$3,'Invoice Log'!$AR184&gt;=Settings!$J$10,'Invoice Log'!$J184&lt;&gt;"Cancelled"),"Yes","No"))</f>
        <v/>
      </c>
    </row>
    <row r="207" ht="15.75" customHeight="1">
      <c r="A207" s="125" t="str">
        <f>IF('Invoice Log'!$AS185="","",TEXT('Invoice Log'!$AS185,"YYYY-MM"))</f>
        <v/>
      </c>
      <c r="B207" s="45" t="str">
        <f>IF('Invoice Log'!$AR185="","",'Invoice Log'!$AR185)</f>
        <v/>
      </c>
      <c r="C207" s="63" t="str">
        <f>IF('Invoice Log'!$D185="","",'Invoice Log'!$D185)</f>
        <v/>
      </c>
      <c r="D207" s="126" t="str">
        <f>IF('Invoice Log'!$L185="","",'Invoice Log'!$E185)</f>
        <v/>
      </c>
      <c r="E207" s="126" t="str">
        <f>IF('Invoice Log'!$L185="","",'Invoice Log'!$J185)</f>
        <v/>
      </c>
      <c r="F207" s="125" t="str">
        <f>IF('Invoice Log'!$L185="","",'Invoice Log'!$Q185)</f>
        <v/>
      </c>
      <c r="G207" s="65" t="str">
        <f>IF($M207="Yes",'Invoice Log'!$L185,"")</f>
        <v/>
      </c>
      <c r="H207" s="65" t="str">
        <f>IF($M207="Yes",'Invoice Log'!$S185,"")</f>
        <v/>
      </c>
      <c r="I207" s="65" t="str">
        <f>IF($M207="Yes",'Invoice Log'!$AI185,"")</f>
        <v/>
      </c>
      <c r="J207" s="127" t="str">
        <f>IF($M207="Yes",'Invoice Log'!$AO185,"")</f>
        <v/>
      </c>
      <c r="K207" s="129" t="str">
        <f>IF($M207="Yes",'Invoice Log'!$AP185,"")</f>
        <v/>
      </c>
      <c r="L207" s="65" t="str">
        <f>IF($M207="Yes",ROUND('Invoice Log'!$AP185*Settings!$J$8,2),"")</f>
        <v/>
      </c>
      <c r="M207" s="125" t="str">
        <f>IF(OR('Invoice Log'!$L185="",'Invoice Log'!$AS185=""),"",IF(AND('Invoice Log'!$AR185&lt;=$B$3,'Invoice Log'!$AR185&gt;=Settings!$J$10,'Invoice Log'!$J185&lt;&gt;"Cancelled"),"Yes","No"))</f>
        <v/>
      </c>
    </row>
    <row r="208" ht="15.75" customHeight="1">
      <c r="A208" s="125" t="str">
        <f>IF('Invoice Log'!$AS186="","",TEXT('Invoice Log'!$AS186,"YYYY-MM"))</f>
        <v/>
      </c>
      <c r="B208" s="45" t="str">
        <f>IF('Invoice Log'!$AR186="","",'Invoice Log'!$AR186)</f>
        <v/>
      </c>
      <c r="C208" s="63" t="str">
        <f>IF('Invoice Log'!$D186="","",'Invoice Log'!$D186)</f>
        <v/>
      </c>
      <c r="D208" s="126" t="str">
        <f>IF('Invoice Log'!$L186="","",'Invoice Log'!$E186)</f>
        <v/>
      </c>
      <c r="E208" s="126" t="str">
        <f>IF('Invoice Log'!$L186="","",'Invoice Log'!$J186)</f>
        <v/>
      </c>
      <c r="F208" s="125" t="str">
        <f>IF('Invoice Log'!$L186="","",'Invoice Log'!$Q186)</f>
        <v/>
      </c>
      <c r="G208" s="65" t="str">
        <f>IF($M208="Yes",'Invoice Log'!$L186,"")</f>
        <v/>
      </c>
      <c r="H208" s="65" t="str">
        <f>IF($M208="Yes",'Invoice Log'!$S186,"")</f>
        <v/>
      </c>
      <c r="I208" s="65" t="str">
        <f>IF($M208="Yes",'Invoice Log'!$AI186,"")</f>
        <v/>
      </c>
      <c r="J208" s="127" t="str">
        <f>IF($M208="Yes",'Invoice Log'!$AO186,"")</f>
        <v/>
      </c>
      <c r="K208" s="129" t="str">
        <f>IF($M208="Yes",'Invoice Log'!$AP186,"")</f>
        <v/>
      </c>
      <c r="L208" s="65" t="str">
        <f>IF($M208="Yes",ROUND('Invoice Log'!$AP186*Settings!$J$8,2),"")</f>
        <v/>
      </c>
      <c r="M208" s="125" t="str">
        <f>IF(OR('Invoice Log'!$L186="",'Invoice Log'!$AS186=""),"",IF(AND('Invoice Log'!$AR186&lt;=$B$3,'Invoice Log'!$AR186&gt;=Settings!$J$10,'Invoice Log'!$J186&lt;&gt;"Cancelled"),"Yes","No"))</f>
        <v/>
      </c>
    </row>
    <row r="209" ht="15.75" customHeight="1">
      <c r="A209" s="125" t="str">
        <f>IF('Invoice Log'!$AS187="","",TEXT('Invoice Log'!$AS187,"YYYY-MM"))</f>
        <v/>
      </c>
      <c r="B209" s="45" t="str">
        <f>IF('Invoice Log'!$AR187="","",'Invoice Log'!$AR187)</f>
        <v/>
      </c>
      <c r="C209" s="63" t="str">
        <f>IF('Invoice Log'!$D187="","",'Invoice Log'!$D187)</f>
        <v/>
      </c>
      <c r="D209" s="126" t="str">
        <f>IF('Invoice Log'!$L187="","",'Invoice Log'!$E187)</f>
        <v/>
      </c>
      <c r="E209" s="126" t="str">
        <f>IF('Invoice Log'!$L187="","",'Invoice Log'!$J187)</f>
        <v/>
      </c>
      <c r="F209" s="125" t="str">
        <f>IF('Invoice Log'!$L187="","",'Invoice Log'!$Q187)</f>
        <v/>
      </c>
      <c r="G209" s="65" t="str">
        <f>IF($M209="Yes",'Invoice Log'!$L187,"")</f>
        <v/>
      </c>
      <c r="H209" s="65" t="str">
        <f>IF($M209="Yes",'Invoice Log'!$S187,"")</f>
        <v/>
      </c>
      <c r="I209" s="65" t="str">
        <f>IF($M209="Yes",'Invoice Log'!$AI187,"")</f>
        <v/>
      </c>
      <c r="J209" s="127" t="str">
        <f>IF($M209="Yes",'Invoice Log'!$AO187,"")</f>
        <v/>
      </c>
      <c r="K209" s="129" t="str">
        <f>IF($M209="Yes",'Invoice Log'!$AP187,"")</f>
        <v/>
      </c>
      <c r="L209" s="65" t="str">
        <f>IF($M209="Yes",ROUND('Invoice Log'!$AP187*Settings!$J$8,2),"")</f>
        <v/>
      </c>
      <c r="M209" s="125" t="str">
        <f>IF(OR('Invoice Log'!$L187="",'Invoice Log'!$AS187=""),"",IF(AND('Invoice Log'!$AR187&lt;=$B$3,'Invoice Log'!$AR187&gt;=Settings!$J$10,'Invoice Log'!$J187&lt;&gt;"Cancelled"),"Yes","No"))</f>
        <v/>
      </c>
    </row>
    <row r="210" ht="15.75" customHeight="1">
      <c r="A210" s="125" t="str">
        <f>IF('Invoice Log'!$AS188="","",TEXT('Invoice Log'!$AS188,"YYYY-MM"))</f>
        <v/>
      </c>
      <c r="B210" s="45" t="str">
        <f>IF('Invoice Log'!$AR188="","",'Invoice Log'!$AR188)</f>
        <v/>
      </c>
      <c r="C210" s="63" t="str">
        <f>IF('Invoice Log'!$D188="","",'Invoice Log'!$D188)</f>
        <v/>
      </c>
      <c r="D210" s="126" t="str">
        <f>IF('Invoice Log'!$L188="","",'Invoice Log'!$E188)</f>
        <v/>
      </c>
      <c r="E210" s="126" t="str">
        <f>IF('Invoice Log'!$L188="","",'Invoice Log'!$J188)</f>
        <v/>
      </c>
      <c r="F210" s="125" t="str">
        <f>IF('Invoice Log'!$L188="","",'Invoice Log'!$Q188)</f>
        <v/>
      </c>
      <c r="G210" s="65" t="str">
        <f>IF($M210="Yes",'Invoice Log'!$L188,"")</f>
        <v/>
      </c>
      <c r="H210" s="65" t="str">
        <f>IF($M210="Yes",'Invoice Log'!$S188,"")</f>
        <v/>
      </c>
      <c r="I210" s="65" t="str">
        <f>IF($M210="Yes",'Invoice Log'!$AI188,"")</f>
        <v/>
      </c>
      <c r="J210" s="127" t="str">
        <f>IF($M210="Yes",'Invoice Log'!$AO188,"")</f>
        <v/>
      </c>
      <c r="K210" s="129" t="str">
        <f>IF($M210="Yes",'Invoice Log'!$AP188,"")</f>
        <v/>
      </c>
      <c r="L210" s="65" t="str">
        <f>IF($M210="Yes",ROUND('Invoice Log'!$AP188*Settings!$J$8,2),"")</f>
        <v/>
      </c>
      <c r="M210" s="125" t="str">
        <f>IF(OR('Invoice Log'!$L188="",'Invoice Log'!$AS188=""),"",IF(AND('Invoice Log'!$AR188&lt;=$B$3,'Invoice Log'!$AR188&gt;=Settings!$J$10,'Invoice Log'!$J188&lt;&gt;"Cancelled"),"Yes","No"))</f>
        <v/>
      </c>
    </row>
    <row r="211" ht="15.75" customHeight="1">
      <c r="A211" s="125" t="str">
        <f>IF('Invoice Log'!$AS189="","",TEXT('Invoice Log'!$AS189,"YYYY-MM"))</f>
        <v/>
      </c>
      <c r="B211" s="45" t="str">
        <f>IF('Invoice Log'!$AR189="","",'Invoice Log'!$AR189)</f>
        <v/>
      </c>
      <c r="C211" s="63" t="str">
        <f>IF('Invoice Log'!$D189="","",'Invoice Log'!$D189)</f>
        <v/>
      </c>
      <c r="D211" s="126" t="str">
        <f>IF('Invoice Log'!$L189="","",'Invoice Log'!$E189)</f>
        <v/>
      </c>
      <c r="E211" s="126" t="str">
        <f>IF('Invoice Log'!$L189="","",'Invoice Log'!$J189)</f>
        <v/>
      </c>
      <c r="F211" s="125" t="str">
        <f>IF('Invoice Log'!$L189="","",'Invoice Log'!$Q189)</f>
        <v/>
      </c>
      <c r="G211" s="65" t="str">
        <f>IF($M211="Yes",'Invoice Log'!$L189,"")</f>
        <v/>
      </c>
      <c r="H211" s="65" t="str">
        <f>IF($M211="Yes",'Invoice Log'!$S189,"")</f>
        <v/>
      </c>
      <c r="I211" s="65" t="str">
        <f>IF($M211="Yes",'Invoice Log'!$AI189,"")</f>
        <v/>
      </c>
      <c r="J211" s="127" t="str">
        <f>IF($M211="Yes",'Invoice Log'!$AO189,"")</f>
        <v/>
      </c>
      <c r="K211" s="129" t="str">
        <f>IF($M211="Yes",'Invoice Log'!$AP189,"")</f>
        <v/>
      </c>
      <c r="L211" s="65" t="str">
        <f>IF($M211="Yes",ROUND('Invoice Log'!$AP189*Settings!$J$8,2),"")</f>
        <v/>
      </c>
      <c r="M211" s="125" t="str">
        <f>IF(OR('Invoice Log'!$L189="",'Invoice Log'!$AS189=""),"",IF(AND('Invoice Log'!$AR189&lt;=$B$3,'Invoice Log'!$AR189&gt;=Settings!$J$10,'Invoice Log'!$J189&lt;&gt;"Cancelled"),"Yes","No"))</f>
        <v/>
      </c>
    </row>
    <row r="212" ht="15.75" customHeight="1">
      <c r="A212" s="125" t="str">
        <f>IF('Invoice Log'!$AS190="","",TEXT('Invoice Log'!$AS190,"YYYY-MM"))</f>
        <v/>
      </c>
      <c r="B212" s="45" t="str">
        <f>IF('Invoice Log'!$AR190="","",'Invoice Log'!$AR190)</f>
        <v/>
      </c>
      <c r="C212" s="63" t="str">
        <f>IF('Invoice Log'!$D190="","",'Invoice Log'!$D190)</f>
        <v/>
      </c>
      <c r="D212" s="126" t="str">
        <f>IF('Invoice Log'!$L190="","",'Invoice Log'!$E190)</f>
        <v/>
      </c>
      <c r="E212" s="126" t="str">
        <f>IF('Invoice Log'!$L190="","",'Invoice Log'!$J190)</f>
        <v/>
      </c>
      <c r="F212" s="125" t="str">
        <f>IF('Invoice Log'!$L190="","",'Invoice Log'!$Q190)</f>
        <v/>
      </c>
      <c r="G212" s="65" t="str">
        <f>IF($M212="Yes",'Invoice Log'!$L190,"")</f>
        <v/>
      </c>
      <c r="H212" s="65" t="str">
        <f>IF($M212="Yes",'Invoice Log'!$S190,"")</f>
        <v/>
      </c>
      <c r="I212" s="65" t="str">
        <f>IF($M212="Yes",'Invoice Log'!$AI190,"")</f>
        <v/>
      </c>
      <c r="J212" s="127" t="str">
        <f>IF($M212="Yes",'Invoice Log'!$AO190,"")</f>
        <v/>
      </c>
      <c r="K212" s="129" t="str">
        <f>IF($M212="Yes",'Invoice Log'!$AP190,"")</f>
        <v/>
      </c>
      <c r="L212" s="65" t="str">
        <f>IF($M212="Yes",ROUND('Invoice Log'!$AP190*Settings!$J$8,2),"")</f>
        <v/>
      </c>
      <c r="M212" s="125" t="str">
        <f>IF(OR('Invoice Log'!$L190="",'Invoice Log'!$AS190=""),"",IF(AND('Invoice Log'!$AR190&lt;=$B$3,'Invoice Log'!$AR190&gt;=Settings!$J$10,'Invoice Log'!$J190&lt;&gt;"Cancelled"),"Yes","No"))</f>
        <v/>
      </c>
    </row>
    <row r="213" ht="15.75" customHeight="1">
      <c r="A213" s="125" t="str">
        <f>IF('Invoice Log'!$AS191="","",TEXT('Invoice Log'!$AS191,"YYYY-MM"))</f>
        <v/>
      </c>
      <c r="B213" s="45" t="str">
        <f>IF('Invoice Log'!$AR191="","",'Invoice Log'!$AR191)</f>
        <v/>
      </c>
      <c r="C213" s="63" t="str">
        <f>IF('Invoice Log'!$D191="","",'Invoice Log'!$D191)</f>
        <v/>
      </c>
      <c r="D213" s="126" t="str">
        <f>IF('Invoice Log'!$L191="","",'Invoice Log'!$E191)</f>
        <v/>
      </c>
      <c r="E213" s="126" t="str">
        <f>IF('Invoice Log'!$L191="","",'Invoice Log'!$J191)</f>
        <v/>
      </c>
      <c r="F213" s="125" t="str">
        <f>IF('Invoice Log'!$L191="","",'Invoice Log'!$Q191)</f>
        <v/>
      </c>
      <c r="G213" s="65" t="str">
        <f>IF($M213="Yes",'Invoice Log'!$L191,"")</f>
        <v/>
      </c>
      <c r="H213" s="65" t="str">
        <f>IF($M213="Yes",'Invoice Log'!$S191,"")</f>
        <v/>
      </c>
      <c r="I213" s="65" t="str">
        <f>IF($M213="Yes",'Invoice Log'!$AI191,"")</f>
        <v/>
      </c>
      <c r="J213" s="127" t="str">
        <f>IF($M213="Yes",'Invoice Log'!$AO191,"")</f>
        <v/>
      </c>
      <c r="K213" s="129" t="str">
        <f>IF($M213="Yes",'Invoice Log'!$AP191,"")</f>
        <v/>
      </c>
      <c r="L213" s="65" t="str">
        <f>IF($M213="Yes",ROUND('Invoice Log'!$AP191*Settings!$J$8,2),"")</f>
        <v/>
      </c>
      <c r="M213" s="125" t="str">
        <f>IF(OR('Invoice Log'!$L191="",'Invoice Log'!$AS191=""),"",IF(AND('Invoice Log'!$AR191&lt;=$B$3,'Invoice Log'!$AR191&gt;=Settings!$J$10,'Invoice Log'!$J191&lt;&gt;"Cancelled"),"Yes","No"))</f>
        <v/>
      </c>
    </row>
    <row r="214" ht="15.75" customHeight="1">
      <c r="A214" s="125" t="str">
        <f>IF('Invoice Log'!$AS192="","",TEXT('Invoice Log'!$AS192,"YYYY-MM"))</f>
        <v/>
      </c>
      <c r="B214" s="45" t="str">
        <f>IF('Invoice Log'!$AR192="","",'Invoice Log'!$AR192)</f>
        <v/>
      </c>
      <c r="C214" s="63" t="str">
        <f>IF('Invoice Log'!$D192="","",'Invoice Log'!$D192)</f>
        <v/>
      </c>
      <c r="D214" s="126" t="str">
        <f>IF('Invoice Log'!$L192="","",'Invoice Log'!$E192)</f>
        <v/>
      </c>
      <c r="E214" s="126" t="str">
        <f>IF('Invoice Log'!$L192="","",'Invoice Log'!$J192)</f>
        <v/>
      </c>
      <c r="F214" s="125" t="str">
        <f>IF('Invoice Log'!$L192="","",'Invoice Log'!$Q192)</f>
        <v/>
      </c>
      <c r="G214" s="65" t="str">
        <f>IF($M214="Yes",'Invoice Log'!$L192,"")</f>
        <v/>
      </c>
      <c r="H214" s="65" t="str">
        <f>IF($M214="Yes",'Invoice Log'!$S192,"")</f>
        <v/>
      </c>
      <c r="I214" s="65" t="str">
        <f>IF($M214="Yes",'Invoice Log'!$AI192,"")</f>
        <v/>
      </c>
      <c r="J214" s="127" t="str">
        <f>IF($M214="Yes",'Invoice Log'!$AO192,"")</f>
        <v/>
      </c>
      <c r="K214" s="129" t="str">
        <f>IF($M214="Yes",'Invoice Log'!$AP192,"")</f>
        <v/>
      </c>
      <c r="L214" s="65" t="str">
        <f>IF($M214="Yes",ROUND('Invoice Log'!$AP192*Settings!$J$8,2),"")</f>
        <v/>
      </c>
      <c r="M214" s="125" t="str">
        <f>IF(OR('Invoice Log'!$L192="",'Invoice Log'!$AS192=""),"",IF(AND('Invoice Log'!$AR192&lt;=$B$3,'Invoice Log'!$AR192&gt;=Settings!$J$10,'Invoice Log'!$J192&lt;&gt;"Cancelled"),"Yes","No"))</f>
        <v/>
      </c>
    </row>
    <row r="215" ht="15.75" customHeight="1">
      <c r="A215" s="125" t="str">
        <f>IF('Invoice Log'!$AS193="","",TEXT('Invoice Log'!$AS193,"YYYY-MM"))</f>
        <v/>
      </c>
      <c r="B215" s="45" t="str">
        <f>IF('Invoice Log'!$AR193="","",'Invoice Log'!$AR193)</f>
        <v/>
      </c>
      <c r="C215" s="63" t="str">
        <f>IF('Invoice Log'!$D193="","",'Invoice Log'!$D193)</f>
        <v/>
      </c>
      <c r="D215" s="126" t="str">
        <f>IF('Invoice Log'!$L193="","",'Invoice Log'!$E193)</f>
        <v/>
      </c>
      <c r="E215" s="126" t="str">
        <f>IF('Invoice Log'!$L193="","",'Invoice Log'!$J193)</f>
        <v/>
      </c>
      <c r="F215" s="125" t="str">
        <f>IF('Invoice Log'!$L193="","",'Invoice Log'!$Q193)</f>
        <v/>
      </c>
      <c r="G215" s="65" t="str">
        <f>IF($M215="Yes",'Invoice Log'!$L193,"")</f>
        <v/>
      </c>
      <c r="H215" s="65" t="str">
        <f>IF($M215="Yes",'Invoice Log'!$S193,"")</f>
        <v/>
      </c>
      <c r="I215" s="65" t="str">
        <f>IF($M215="Yes",'Invoice Log'!$AI193,"")</f>
        <v/>
      </c>
      <c r="J215" s="127" t="str">
        <f>IF($M215="Yes",'Invoice Log'!$AO193,"")</f>
        <v/>
      </c>
      <c r="K215" s="129" t="str">
        <f>IF($M215="Yes",'Invoice Log'!$AP193,"")</f>
        <v/>
      </c>
      <c r="L215" s="65" t="str">
        <f>IF($M215="Yes",ROUND('Invoice Log'!$AP193*Settings!$J$8,2),"")</f>
        <v/>
      </c>
      <c r="M215" s="125" t="str">
        <f>IF(OR('Invoice Log'!$L193="",'Invoice Log'!$AS193=""),"",IF(AND('Invoice Log'!$AR193&lt;=$B$3,'Invoice Log'!$AR193&gt;=Settings!$J$10,'Invoice Log'!$J193&lt;&gt;"Cancelled"),"Yes","No"))</f>
        <v/>
      </c>
    </row>
    <row r="216" ht="15.75" customHeight="1">
      <c r="A216" s="125" t="str">
        <f>IF('Invoice Log'!$AS194="","",TEXT('Invoice Log'!$AS194,"YYYY-MM"))</f>
        <v/>
      </c>
      <c r="B216" s="45" t="str">
        <f>IF('Invoice Log'!$AR194="","",'Invoice Log'!$AR194)</f>
        <v/>
      </c>
      <c r="C216" s="63" t="str">
        <f>IF('Invoice Log'!$D194="","",'Invoice Log'!$D194)</f>
        <v/>
      </c>
      <c r="D216" s="126" t="str">
        <f>IF('Invoice Log'!$L194="","",'Invoice Log'!$E194)</f>
        <v/>
      </c>
      <c r="E216" s="126" t="str">
        <f>IF('Invoice Log'!$L194="","",'Invoice Log'!$J194)</f>
        <v/>
      </c>
      <c r="F216" s="125" t="str">
        <f>IF('Invoice Log'!$L194="","",'Invoice Log'!$Q194)</f>
        <v/>
      </c>
      <c r="G216" s="65" t="str">
        <f>IF($M216="Yes",'Invoice Log'!$L194,"")</f>
        <v/>
      </c>
      <c r="H216" s="65" t="str">
        <f>IF($M216="Yes",'Invoice Log'!$S194,"")</f>
        <v/>
      </c>
      <c r="I216" s="65" t="str">
        <f>IF($M216="Yes",'Invoice Log'!$AI194,"")</f>
        <v/>
      </c>
      <c r="J216" s="127" t="str">
        <f>IF($M216="Yes",'Invoice Log'!$AO194,"")</f>
        <v/>
      </c>
      <c r="K216" s="129" t="str">
        <f>IF($M216="Yes",'Invoice Log'!$AP194,"")</f>
        <v/>
      </c>
      <c r="L216" s="65" t="str">
        <f>IF($M216="Yes",ROUND('Invoice Log'!$AP194*Settings!$J$8,2),"")</f>
        <v/>
      </c>
      <c r="M216" s="125" t="str">
        <f>IF(OR('Invoice Log'!$L194="",'Invoice Log'!$AS194=""),"",IF(AND('Invoice Log'!$AR194&lt;=$B$3,'Invoice Log'!$AR194&gt;=Settings!$J$10,'Invoice Log'!$J194&lt;&gt;"Cancelled"),"Yes","No"))</f>
        <v/>
      </c>
    </row>
    <row r="217" ht="15.75" customHeight="1">
      <c r="A217" s="125" t="str">
        <f>IF('Invoice Log'!$AS195="","",TEXT('Invoice Log'!$AS195,"YYYY-MM"))</f>
        <v/>
      </c>
      <c r="B217" s="45" t="str">
        <f>IF('Invoice Log'!$AR195="","",'Invoice Log'!$AR195)</f>
        <v/>
      </c>
      <c r="C217" s="63" t="str">
        <f>IF('Invoice Log'!$D195="","",'Invoice Log'!$D195)</f>
        <v/>
      </c>
      <c r="D217" s="126" t="str">
        <f>IF('Invoice Log'!$L195="","",'Invoice Log'!$E195)</f>
        <v/>
      </c>
      <c r="E217" s="126" t="str">
        <f>IF('Invoice Log'!$L195="","",'Invoice Log'!$J195)</f>
        <v/>
      </c>
      <c r="F217" s="125" t="str">
        <f>IF('Invoice Log'!$L195="","",'Invoice Log'!$Q195)</f>
        <v/>
      </c>
      <c r="G217" s="65" t="str">
        <f>IF($M217="Yes",'Invoice Log'!$L195,"")</f>
        <v/>
      </c>
      <c r="H217" s="65" t="str">
        <f>IF($M217="Yes",'Invoice Log'!$S195,"")</f>
        <v/>
      </c>
      <c r="I217" s="65" t="str">
        <f>IF($M217="Yes",'Invoice Log'!$AI195,"")</f>
        <v/>
      </c>
      <c r="J217" s="127" t="str">
        <f>IF($M217="Yes",'Invoice Log'!$AO195,"")</f>
        <v/>
      </c>
      <c r="K217" s="129" t="str">
        <f>IF($M217="Yes",'Invoice Log'!$AP195,"")</f>
        <v/>
      </c>
      <c r="L217" s="65" t="str">
        <f>IF($M217="Yes",ROUND('Invoice Log'!$AP195*Settings!$J$8,2),"")</f>
        <v/>
      </c>
      <c r="M217" s="125" t="str">
        <f>IF(OR('Invoice Log'!$L195="",'Invoice Log'!$AS195=""),"",IF(AND('Invoice Log'!$AR195&lt;=$B$3,'Invoice Log'!$AR195&gt;=Settings!$J$10,'Invoice Log'!$J195&lt;&gt;"Cancelled"),"Yes","No"))</f>
        <v/>
      </c>
    </row>
    <row r="218" ht="15.75" customHeight="1">
      <c r="A218" s="125" t="str">
        <f>IF('Invoice Log'!$AS196="","",TEXT('Invoice Log'!$AS196,"YYYY-MM"))</f>
        <v/>
      </c>
      <c r="B218" s="45" t="str">
        <f>IF('Invoice Log'!$AR196="","",'Invoice Log'!$AR196)</f>
        <v/>
      </c>
      <c r="C218" s="63" t="str">
        <f>IF('Invoice Log'!$D196="","",'Invoice Log'!$D196)</f>
        <v/>
      </c>
      <c r="D218" s="126" t="str">
        <f>IF('Invoice Log'!$L196="","",'Invoice Log'!$E196)</f>
        <v/>
      </c>
      <c r="E218" s="126" t="str">
        <f>IF('Invoice Log'!$L196="","",'Invoice Log'!$J196)</f>
        <v/>
      </c>
      <c r="F218" s="125" t="str">
        <f>IF('Invoice Log'!$L196="","",'Invoice Log'!$Q196)</f>
        <v/>
      </c>
      <c r="G218" s="65" t="str">
        <f>IF($M218="Yes",'Invoice Log'!$L196,"")</f>
        <v/>
      </c>
      <c r="H218" s="65" t="str">
        <f>IF($M218="Yes",'Invoice Log'!$S196,"")</f>
        <v/>
      </c>
      <c r="I218" s="65" t="str">
        <f>IF($M218="Yes",'Invoice Log'!$AI196,"")</f>
        <v/>
      </c>
      <c r="J218" s="127" t="str">
        <f>IF($M218="Yes",'Invoice Log'!$AO196,"")</f>
        <v/>
      </c>
      <c r="K218" s="129" t="str">
        <f>IF($M218="Yes",'Invoice Log'!$AP196,"")</f>
        <v/>
      </c>
      <c r="L218" s="65" t="str">
        <f>IF($M218="Yes",ROUND('Invoice Log'!$AP196*Settings!$J$8,2),"")</f>
        <v/>
      </c>
      <c r="M218" s="125" t="str">
        <f>IF(OR('Invoice Log'!$L196="",'Invoice Log'!$AS196=""),"",IF(AND('Invoice Log'!$AR196&lt;=$B$3,'Invoice Log'!$AR196&gt;=Settings!$J$10,'Invoice Log'!$J196&lt;&gt;"Cancelled"),"Yes","No"))</f>
        <v/>
      </c>
    </row>
    <row r="219" ht="15.75" customHeight="1">
      <c r="A219" s="125" t="str">
        <f>IF('Invoice Log'!$AS197="","",TEXT('Invoice Log'!$AS197,"YYYY-MM"))</f>
        <v/>
      </c>
      <c r="B219" s="45" t="str">
        <f>IF('Invoice Log'!$AR197="","",'Invoice Log'!$AR197)</f>
        <v/>
      </c>
      <c r="C219" s="63" t="str">
        <f>IF('Invoice Log'!$D197="","",'Invoice Log'!$D197)</f>
        <v/>
      </c>
      <c r="D219" s="126" t="str">
        <f>IF('Invoice Log'!$L197="","",'Invoice Log'!$E197)</f>
        <v/>
      </c>
      <c r="E219" s="126" t="str">
        <f>IF('Invoice Log'!$L197="","",'Invoice Log'!$J197)</f>
        <v/>
      </c>
      <c r="F219" s="125" t="str">
        <f>IF('Invoice Log'!$L197="","",'Invoice Log'!$Q197)</f>
        <v/>
      </c>
      <c r="G219" s="65" t="str">
        <f>IF($M219="Yes",'Invoice Log'!$L197,"")</f>
        <v/>
      </c>
      <c r="H219" s="65" t="str">
        <f>IF($M219="Yes",'Invoice Log'!$S197,"")</f>
        <v/>
      </c>
      <c r="I219" s="65" t="str">
        <f>IF($M219="Yes",'Invoice Log'!$AI197,"")</f>
        <v/>
      </c>
      <c r="J219" s="127" t="str">
        <f>IF($M219="Yes",'Invoice Log'!$AO197,"")</f>
        <v/>
      </c>
      <c r="K219" s="129" t="str">
        <f>IF($M219="Yes",'Invoice Log'!$AP197,"")</f>
        <v/>
      </c>
      <c r="L219" s="65" t="str">
        <f>IF($M219="Yes",ROUND('Invoice Log'!$AP197*Settings!$J$8,2),"")</f>
        <v/>
      </c>
      <c r="M219" s="125" t="str">
        <f>IF(OR('Invoice Log'!$L197="",'Invoice Log'!$AS197=""),"",IF(AND('Invoice Log'!$AR197&lt;=$B$3,'Invoice Log'!$AR197&gt;=Settings!$J$10,'Invoice Log'!$J197&lt;&gt;"Cancelled"),"Yes","No"))</f>
        <v/>
      </c>
    </row>
    <row r="220" ht="15.75" customHeight="1">
      <c r="A220" s="125" t="str">
        <f>IF('Invoice Log'!$AS198="","",TEXT('Invoice Log'!$AS198,"YYYY-MM"))</f>
        <v/>
      </c>
      <c r="B220" s="45" t="str">
        <f>IF('Invoice Log'!$AR198="","",'Invoice Log'!$AR198)</f>
        <v/>
      </c>
      <c r="C220" s="63" t="str">
        <f>IF('Invoice Log'!$D198="","",'Invoice Log'!$D198)</f>
        <v/>
      </c>
      <c r="D220" s="126" t="str">
        <f>IF('Invoice Log'!$L198="","",'Invoice Log'!$E198)</f>
        <v/>
      </c>
      <c r="E220" s="126" t="str">
        <f>IF('Invoice Log'!$L198="","",'Invoice Log'!$J198)</f>
        <v/>
      </c>
      <c r="F220" s="125" t="str">
        <f>IF('Invoice Log'!$L198="","",'Invoice Log'!$Q198)</f>
        <v/>
      </c>
      <c r="G220" s="65" t="str">
        <f>IF($M220="Yes",'Invoice Log'!$L198,"")</f>
        <v/>
      </c>
      <c r="H220" s="65" t="str">
        <f>IF($M220="Yes",'Invoice Log'!$S198,"")</f>
        <v/>
      </c>
      <c r="I220" s="65" t="str">
        <f>IF($M220="Yes",'Invoice Log'!$AI198,"")</f>
        <v/>
      </c>
      <c r="J220" s="127" t="str">
        <f>IF($M220="Yes",'Invoice Log'!$AO198,"")</f>
        <v/>
      </c>
      <c r="K220" s="129" t="str">
        <f>IF($M220="Yes",'Invoice Log'!$AP198,"")</f>
        <v/>
      </c>
      <c r="L220" s="65" t="str">
        <f>IF($M220="Yes",ROUND('Invoice Log'!$AP198*Settings!$J$8,2),"")</f>
        <v/>
      </c>
      <c r="M220" s="125" t="str">
        <f>IF(OR('Invoice Log'!$L198="",'Invoice Log'!$AS198=""),"",IF(AND('Invoice Log'!$AR198&lt;=$B$3,'Invoice Log'!$AR198&gt;=Settings!$J$10,'Invoice Log'!$J198&lt;&gt;"Cancelled"),"Yes","No"))</f>
        <v/>
      </c>
    </row>
    <row r="221" ht="15.75" customHeight="1">
      <c r="A221" s="125" t="str">
        <f>IF('Invoice Log'!$AS199="","",TEXT('Invoice Log'!$AS199,"YYYY-MM"))</f>
        <v/>
      </c>
      <c r="B221" s="45" t="str">
        <f>IF('Invoice Log'!$AR199="","",'Invoice Log'!$AR199)</f>
        <v/>
      </c>
      <c r="C221" s="63" t="str">
        <f>IF('Invoice Log'!$D199="","",'Invoice Log'!$D199)</f>
        <v/>
      </c>
      <c r="D221" s="126" t="str">
        <f>IF('Invoice Log'!$L199="","",'Invoice Log'!$E199)</f>
        <v/>
      </c>
      <c r="E221" s="126" t="str">
        <f>IF('Invoice Log'!$L199="","",'Invoice Log'!$J199)</f>
        <v/>
      </c>
      <c r="F221" s="125" t="str">
        <f>IF('Invoice Log'!$L199="","",'Invoice Log'!$Q199)</f>
        <v/>
      </c>
      <c r="G221" s="65" t="str">
        <f>IF($M221="Yes",'Invoice Log'!$L199,"")</f>
        <v/>
      </c>
      <c r="H221" s="65" t="str">
        <f>IF($M221="Yes",'Invoice Log'!$S199,"")</f>
        <v/>
      </c>
      <c r="I221" s="65" t="str">
        <f>IF($M221="Yes",'Invoice Log'!$AI199,"")</f>
        <v/>
      </c>
      <c r="J221" s="127" t="str">
        <f>IF($M221="Yes",'Invoice Log'!$AO199,"")</f>
        <v/>
      </c>
      <c r="K221" s="129" t="str">
        <f>IF($M221="Yes",'Invoice Log'!$AP199,"")</f>
        <v/>
      </c>
      <c r="L221" s="65" t="str">
        <f>IF($M221="Yes",ROUND('Invoice Log'!$AP199*Settings!$J$8,2),"")</f>
        <v/>
      </c>
      <c r="M221" s="125" t="str">
        <f>IF(OR('Invoice Log'!$L199="",'Invoice Log'!$AS199=""),"",IF(AND('Invoice Log'!$AR199&lt;=$B$3,'Invoice Log'!$AR199&gt;=Settings!$J$10,'Invoice Log'!$J199&lt;&gt;"Cancelled"),"Yes","No"))</f>
        <v/>
      </c>
    </row>
    <row r="222" ht="15.75" customHeight="1">
      <c r="A222" s="125" t="str">
        <f>IF('Invoice Log'!$AS200="","",TEXT('Invoice Log'!$AS200,"YYYY-MM"))</f>
        <v/>
      </c>
      <c r="B222" s="45" t="str">
        <f>IF('Invoice Log'!$AR200="","",'Invoice Log'!$AR200)</f>
        <v/>
      </c>
      <c r="C222" s="63" t="str">
        <f>IF('Invoice Log'!$D200="","",'Invoice Log'!$D200)</f>
        <v/>
      </c>
      <c r="D222" s="126" t="str">
        <f>IF('Invoice Log'!$L200="","",'Invoice Log'!$E200)</f>
        <v/>
      </c>
      <c r="E222" s="126" t="str">
        <f>IF('Invoice Log'!$L200="","",'Invoice Log'!$J200)</f>
        <v/>
      </c>
      <c r="F222" s="125" t="str">
        <f>IF('Invoice Log'!$L200="","",'Invoice Log'!$Q200)</f>
        <v/>
      </c>
      <c r="G222" s="65" t="str">
        <f>IF($M222="Yes",'Invoice Log'!$L200,"")</f>
        <v/>
      </c>
      <c r="H222" s="65" t="str">
        <f>IF($M222="Yes",'Invoice Log'!$S200,"")</f>
        <v/>
      </c>
      <c r="I222" s="65" t="str">
        <f>IF($M222="Yes",'Invoice Log'!$AI200,"")</f>
        <v/>
      </c>
      <c r="J222" s="127" t="str">
        <f>IF($M222="Yes",'Invoice Log'!$AO200,"")</f>
        <v/>
      </c>
      <c r="K222" s="129" t="str">
        <f>IF($M222="Yes",'Invoice Log'!$AP200,"")</f>
        <v/>
      </c>
      <c r="L222" s="65" t="str">
        <f>IF($M222="Yes",ROUND('Invoice Log'!$AP200*Settings!$J$8,2),"")</f>
        <v/>
      </c>
      <c r="M222" s="125" t="str">
        <f>IF(OR('Invoice Log'!$L200="",'Invoice Log'!$AS200=""),"",IF(AND('Invoice Log'!$AR200&lt;=$B$3,'Invoice Log'!$AR200&gt;=Settings!$J$10,'Invoice Log'!$J200&lt;&gt;"Cancelled"),"Yes","No"))</f>
        <v/>
      </c>
    </row>
    <row r="223" ht="15.75" customHeight="1">
      <c r="A223" s="125" t="str">
        <f>IF('Invoice Log'!$AS201="","",TEXT('Invoice Log'!$AS201,"YYYY-MM"))</f>
        <v/>
      </c>
      <c r="B223" s="45" t="str">
        <f>IF('Invoice Log'!$AR201="","",'Invoice Log'!$AR201)</f>
        <v/>
      </c>
      <c r="C223" s="63" t="str">
        <f>IF('Invoice Log'!$D201="","",'Invoice Log'!$D201)</f>
        <v/>
      </c>
      <c r="D223" s="126" t="str">
        <f>IF('Invoice Log'!$L201="","",'Invoice Log'!$E201)</f>
        <v/>
      </c>
      <c r="E223" s="126" t="str">
        <f>IF('Invoice Log'!$L201="","",'Invoice Log'!$J201)</f>
        <v/>
      </c>
      <c r="F223" s="125" t="str">
        <f>IF('Invoice Log'!$L201="","",'Invoice Log'!$Q201)</f>
        <v/>
      </c>
      <c r="G223" s="65" t="str">
        <f>IF($M223="Yes",'Invoice Log'!$L201,"")</f>
        <v/>
      </c>
      <c r="H223" s="65" t="str">
        <f>IF($M223="Yes",'Invoice Log'!$S201,"")</f>
        <v/>
      </c>
      <c r="I223" s="65" t="str">
        <f>IF($M223="Yes",'Invoice Log'!$AI201,"")</f>
        <v/>
      </c>
      <c r="J223" s="127" t="str">
        <f>IF($M223="Yes",'Invoice Log'!$AO201,"")</f>
        <v/>
      </c>
      <c r="K223" s="129" t="str">
        <f>IF($M223="Yes",'Invoice Log'!$AP201,"")</f>
        <v/>
      </c>
      <c r="L223" s="65" t="str">
        <f>IF($M223="Yes",ROUND('Invoice Log'!$AP201*Settings!$J$8,2),"")</f>
        <v/>
      </c>
      <c r="M223" s="125" t="str">
        <f>IF(OR('Invoice Log'!$L201="",'Invoice Log'!$AS201=""),"",IF(AND('Invoice Log'!$AR201&lt;=$B$3,'Invoice Log'!$AR201&gt;=Settings!$J$10,'Invoice Log'!$J201&lt;&gt;"Cancelled"),"Yes","No"))</f>
        <v/>
      </c>
    </row>
    <row r="224" ht="15.75" customHeight="1">
      <c r="A224" s="125" t="str">
        <f>IF('Invoice Log'!$AS202="","",TEXT('Invoice Log'!$AS202,"YYYY-MM"))</f>
        <v/>
      </c>
      <c r="B224" s="45" t="str">
        <f>IF('Invoice Log'!$AR202="","",'Invoice Log'!$AR202)</f>
        <v/>
      </c>
      <c r="C224" s="63" t="str">
        <f>IF('Invoice Log'!$D202="","",'Invoice Log'!$D202)</f>
        <v/>
      </c>
      <c r="D224" s="126" t="str">
        <f>IF('Invoice Log'!$L202="","",'Invoice Log'!$E202)</f>
        <v/>
      </c>
      <c r="E224" s="126" t="str">
        <f>IF('Invoice Log'!$L202="","",'Invoice Log'!$J202)</f>
        <v/>
      </c>
      <c r="F224" s="125" t="str">
        <f>IF('Invoice Log'!$L202="","",'Invoice Log'!$Q202)</f>
        <v/>
      </c>
      <c r="G224" s="65" t="str">
        <f>IF($M224="Yes",'Invoice Log'!$L202,"")</f>
        <v/>
      </c>
      <c r="H224" s="65" t="str">
        <f>IF($M224="Yes",'Invoice Log'!$S202,"")</f>
        <v/>
      </c>
      <c r="I224" s="65" t="str">
        <f>IF($M224="Yes",'Invoice Log'!$AI202,"")</f>
        <v/>
      </c>
      <c r="J224" s="127" t="str">
        <f>IF($M224="Yes",'Invoice Log'!$AO202,"")</f>
        <v/>
      </c>
      <c r="K224" s="129" t="str">
        <f>IF($M224="Yes",'Invoice Log'!$AP202,"")</f>
        <v/>
      </c>
      <c r="L224" s="65" t="str">
        <f>IF($M224="Yes",ROUND('Invoice Log'!$AP202*Settings!$J$8,2),"")</f>
        <v/>
      </c>
      <c r="M224" s="125" t="str">
        <f>IF(OR('Invoice Log'!$L202="",'Invoice Log'!$AS202=""),"",IF(AND('Invoice Log'!$AR202&lt;=$B$3,'Invoice Log'!$AR202&gt;=Settings!$J$10,'Invoice Log'!$J202&lt;&gt;"Cancelled"),"Yes","No"))</f>
        <v/>
      </c>
    </row>
    <row r="225" ht="15.75" customHeight="1">
      <c r="A225" s="125" t="str">
        <f>IF('Invoice Log'!$AS203="","",TEXT('Invoice Log'!$AS203,"YYYY-MM"))</f>
        <v/>
      </c>
      <c r="B225" s="45" t="str">
        <f>IF('Invoice Log'!$AR203="","",'Invoice Log'!$AR203)</f>
        <v/>
      </c>
      <c r="C225" s="63" t="str">
        <f>IF('Invoice Log'!$D203="","",'Invoice Log'!$D203)</f>
        <v/>
      </c>
      <c r="D225" s="126" t="str">
        <f>IF('Invoice Log'!$L203="","",'Invoice Log'!$E203)</f>
        <v/>
      </c>
      <c r="E225" s="126" t="str">
        <f>IF('Invoice Log'!$L203="","",'Invoice Log'!$J203)</f>
        <v/>
      </c>
      <c r="F225" s="125" t="str">
        <f>IF('Invoice Log'!$L203="","",'Invoice Log'!$Q203)</f>
        <v/>
      </c>
      <c r="G225" s="65" t="str">
        <f>IF($M225="Yes",'Invoice Log'!$L203,"")</f>
        <v/>
      </c>
      <c r="H225" s="65" t="str">
        <f>IF($M225="Yes",'Invoice Log'!$S203,"")</f>
        <v/>
      </c>
      <c r="I225" s="65" t="str">
        <f>IF($M225="Yes",'Invoice Log'!$AI203,"")</f>
        <v/>
      </c>
      <c r="J225" s="127" t="str">
        <f>IF($M225="Yes",'Invoice Log'!$AO203,"")</f>
        <v/>
      </c>
      <c r="K225" s="129" t="str">
        <f>IF($M225="Yes",'Invoice Log'!$AP203,"")</f>
        <v/>
      </c>
      <c r="L225" s="65" t="str">
        <f>IF($M225="Yes",ROUND('Invoice Log'!$AP203*Settings!$J$8,2),"")</f>
        <v/>
      </c>
      <c r="M225" s="125" t="str">
        <f>IF(OR('Invoice Log'!$L203="",'Invoice Log'!$AS203=""),"",IF(AND('Invoice Log'!$AR203&lt;=$B$3,'Invoice Log'!$AR203&gt;=Settings!$J$10,'Invoice Log'!$J203&lt;&gt;"Cancelled"),"Yes","No"))</f>
        <v/>
      </c>
    </row>
    <row r="226" ht="15.75" customHeight="1">
      <c r="A226" s="125" t="str">
        <f>IF('Invoice Log'!$AS204="","",TEXT('Invoice Log'!$AS204,"YYYY-MM"))</f>
        <v/>
      </c>
      <c r="B226" s="45" t="str">
        <f>IF('Invoice Log'!$AR204="","",'Invoice Log'!$AR204)</f>
        <v/>
      </c>
      <c r="C226" s="63" t="str">
        <f>IF('Invoice Log'!$D204="","",'Invoice Log'!$D204)</f>
        <v/>
      </c>
      <c r="D226" s="126" t="str">
        <f>IF('Invoice Log'!$L204="","",'Invoice Log'!$E204)</f>
        <v/>
      </c>
      <c r="E226" s="126" t="str">
        <f>IF('Invoice Log'!$L204="","",'Invoice Log'!$J204)</f>
        <v/>
      </c>
      <c r="F226" s="125" t="str">
        <f>IF('Invoice Log'!$L204="","",'Invoice Log'!$Q204)</f>
        <v/>
      </c>
      <c r="G226" s="65" t="str">
        <f>IF($M226="Yes",'Invoice Log'!$L204,"")</f>
        <v/>
      </c>
      <c r="H226" s="65" t="str">
        <f>IF($M226="Yes",'Invoice Log'!$S204,"")</f>
        <v/>
      </c>
      <c r="I226" s="65" t="str">
        <f>IF($M226="Yes",'Invoice Log'!$AI204,"")</f>
        <v/>
      </c>
      <c r="J226" s="127" t="str">
        <f>IF($M226="Yes",'Invoice Log'!$AO204,"")</f>
        <v/>
      </c>
      <c r="K226" s="129" t="str">
        <f>IF($M226="Yes",'Invoice Log'!$AP204,"")</f>
        <v/>
      </c>
      <c r="L226" s="65" t="str">
        <f>IF($M226="Yes",ROUND('Invoice Log'!$AP204*Settings!$J$8,2),"")</f>
        <v/>
      </c>
      <c r="M226" s="125" t="str">
        <f>IF(OR('Invoice Log'!$L204="",'Invoice Log'!$AS204=""),"",IF(AND('Invoice Log'!$AR204&lt;=$B$3,'Invoice Log'!$AR204&gt;=Settings!$J$10,'Invoice Log'!$J204&lt;&gt;"Cancelled"),"Yes","No"))</f>
        <v/>
      </c>
    </row>
    <row r="227" ht="15.75" customHeight="1">
      <c r="A227" s="125" t="str">
        <f>IF('Invoice Log'!$AS205="","",TEXT('Invoice Log'!$AS205,"YYYY-MM"))</f>
        <v/>
      </c>
      <c r="B227" s="45" t="str">
        <f>IF('Invoice Log'!$AR205="","",'Invoice Log'!$AR205)</f>
        <v/>
      </c>
      <c r="C227" s="63" t="str">
        <f>IF('Invoice Log'!$D205="","",'Invoice Log'!$D205)</f>
        <v/>
      </c>
      <c r="D227" s="126" t="str">
        <f>IF('Invoice Log'!$L205="","",'Invoice Log'!$E205)</f>
        <v/>
      </c>
      <c r="E227" s="126" t="str">
        <f>IF('Invoice Log'!$L205="","",'Invoice Log'!$J205)</f>
        <v/>
      </c>
      <c r="F227" s="125" t="str">
        <f>IF('Invoice Log'!$L205="","",'Invoice Log'!$Q205)</f>
        <v/>
      </c>
      <c r="G227" s="65" t="str">
        <f>IF($M227="Yes",'Invoice Log'!$L205,"")</f>
        <v/>
      </c>
      <c r="H227" s="65" t="str">
        <f>IF($M227="Yes",'Invoice Log'!$S205,"")</f>
        <v/>
      </c>
      <c r="I227" s="65" t="str">
        <f>IF($M227="Yes",'Invoice Log'!$AI205,"")</f>
        <v/>
      </c>
      <c r="J227" s="127" t="str">
        <f>IF($M227="Yes",'Invoice Log'!$AO205,"")</f>
        <v/>
      </c>
      <c r="K227" s="129" t="str">
        <f>IF($M227="Yes",'Invoice Log'!$AP205,"")</f>
        <v/>
      </c>
      <c r="L227" s="65" t="str">
        <f>IF($M227="Yes",ROUND('Invoice Log'!$AP205*Settings!$J$8,2),"")</f>
        <v/>
      </c>
      <c r="M227" s="125" t="str">
        <f>IF(OR('Invoice Log'!$L205="",'Invoice Log'!$AS205=""),"",IF(AND('Invoice Log'!$AR205&lt;=$B$3,'Invoice Log'!$AR205&gt;=Settings!$J$10,'Invoice Log'!$J205&lt;&gt;"Cancelled"),"Yes","No"))</f>
        <v/>
      </c>
    </row>
    <row r="228" ht="15.75" customHeight="1">
      <c r="A228" s="125" t="str">
        <f>IF('Invoice Log'!$AS206="","",TEXT('Invoice Log'!$AS206,"YYYY-MM"))</f>
        <v/>
      </c>
      <c r="B228" s="45" t="str">
        <f>IF('Invoice Log'!$AR206="","",'Invoice Log'!$AR206)</f>
        <v/>
      </c>
      <c r="C228" s="63" t="str">
        <f>IF('Invoice Log'!$D206="","",'Invoice Log'!$D206)</f>
        <v/>
      </c>
      <c r="D228" s="126" t="str">
        <f>IF('Invoice Log'!$L206="","",'Invoice Log'!$E206)</f>
        <v/>
      </c>
      <c r="E228" s="126" t="str">
        <f>IF('Invoice Log'!$L206="","",'Invoice Log'!$J206)</f>
        <v/>
      </c>
      <c r="F228" s="125" t="str">
        <f>IF('Invoice Log'!$L206="","",'Invoice Log'!$Q206)</f>
        <v/>
      </c>
      <c r="G228" s="65" t="str">
        <f>IF($M228="Yes",'Invoice Log'!$L206,"")</f>
        <v/>
      </c>
      <c r="H228" s="65" t="str">
        <f>IF($M228="Yes",'Invoice Log'!$S206,"")</f>
        <v/>
      </c>
      <c r="I228" s="65" t="str">
        <f>IF($M228="Yes",'Invoice Log'!$AI206,"")</f>
        <v/>
      </c>
      <c r="J228" s="127" t="str">
        <f>IF($M228="Yes",'Invoice Log'!$AO206,"")</f>
        <v/>
      </c>
      <c r="K228" s="129" t="str">
        <f>IF($M228="Yes",'Invoice Log'!$AP206,"")</f>
        <v/>
      </c>
      <c r="L228" s="65" t="str">
        <f>IF($M228="Yes",ROUND('Invoice Log'!$AP206*Settings!$J$8,2),"")</f>
        <v/>
      </c>
      <c r="M228" s="125" t="str">
        <f>IF(OR('Invoice Log'!$L206="",'Invoice Log'!$AS206=""),"",IF(AND('Invoice Log'!$AR206&lt;=$B$3,'Invoice Log'!$AR206&gt;=Settings!$J$10,'Invoice Log'!$J206&lt;&gt;"Cancelled"),"Yes","No"))</f>
        <v/>
      </c>
    </row>
    <row r="229" ht="15.75" customHeight="1">
      <c r="A229" s="125" t="str">
        <f>IF('Invoice Log'!$AS207="","",TEXT('Invoice Log'!$AS207,"YYYY-MM"))</f>
        <v/>
      </c>
      <c r="B229" s="45" t="str">
        <f>IF('Invoice Log'!$AR207="","",'Invoice Log'!$AR207)</f>
        <v/>
      </c>
      <c r="C229" s="63" t="str">
        <f>IF('Invoice Log'!$D207="","",'Invoice Log'!$D207)</f>
        <v/>
      </c>
      <c r="D229" s="126" t="str">
        <f>IF('Invoice Log'!$L207="","",'Invoice Log'!$E207)</f>
        <v/>
      </c>
      <c r="E229" s="126" t="str">
        <f>IF('Invoice Log'!$L207="","",'Invoice Log'!$J207)</f>
        <v/>
      </c>
      <c r="F229" s="125" t="str">
        <f>IF('Invoice Log'!$L207="","",'Invoice Log'!$Q207)</f>
        <v/>
      </c>
      <c r="G229" s="65" t="str">
        <f>IF($M229="Yes",'Invoice Log'!$L207,"")</f>
        <v/>
      </c>
      <c r="H229" s="65" t="str">
        <f>IF($M229="Yes",'Invoice Log'!$S207,"")</f>
        <v/>
      </c>
      <c r="I229" s="65" t="str">
        <f>IF($M229="Yes",'Invoice Log'!$AI207,"")</f>
        <v/>
      </c>
      <c r="J229" s="127" t="str">
        <f>IF($M229="Yes",'Invoice Log'!$AO207,"")</f>
        <v/>
      </c>
      <c r="K229" s="129" t="str">
        <f>IF($M229="Yes",'Invoice Log'!$AP207,"")</f>
        <v/>
      </c>
      <c r="L229" s="65" t="str">
        <f>IF($M229="Yes",ROUND('Invoice Log'!$AP207*Settings!$J$8,2),"")</f>
        <v/>
      </c>
      <c r="M229" s="125" t="str">
        <f>IF(OR('Invoice Log'!$L207="",'Invoice Log'!$AS207=""),"",IF(AND('Invoice Log'!$AR207&lt;=$B$3,'Invoice Log'!$AR207&gt;=Settings!$J$10,'Invoice Log'!$J207&lt;&gt;"Cancelled"),"Yes","No"))</f>
        <v/>
      </c>
    </row>
    <row r="230" ht="15.75" customHeight="1">
      <c r="A230" s="125" t="str">
        <f>IF('Invoice Log'!$AS208="","",TEXT('Invoice Log'!$AS208,"YYYY-MM"))</f>
        <v/>
      </c>
      <c r="B230" s="45" t="str">
        <f>IF('Invoice Log'!$AR208="","",'Invoice Log'!$AR208)</f>
        <v/>
      </c>
      <c r="C230" s="63" t="str">
        <f>IF('Invoice Log'!$D208="","",'Invoice Log'!$D208)</f>
        <v/>
      </c>
      <c r="D230" s="126" t="str">
        <f>IF('Invoice Log'!$L208="","",'Invoice Log'!$E208)</f>
        <v/>
      </c>
      <c r="E230" s="126" t="str">
        <f>IF('Invoice Log'!$L208="","",'Invoice Log'!$J208)</f>
        <v/>
      </c>
      <c r="F230" s="125" t="str">
        <f>IF('Invoice Log'!$L208="","",'Invoice Log'!$Q208)</f>
        <v/>
      </c>
      <c r="G230" s="65" t="str">
        <f>IF($M230="Yes",'Invoice Log'!$L208,"")</f>
        <v/>
      </c>
      <c r="H230" s="65" t="str">
        <f>IF($M230="Yes",'Invoice Log'!$S208,"")</f>
        <v/>
      </c>
      <c r="I230" s="65" t="str">
        <f>IF($M230="Yes",'Invoice Log'!$AI208,"")</f>
        <v/>
      </c>
      <c r="J230" s="127" t="str">
        <f>IF($M230="Yes",'Invoice Log'!$AO208,"")</f>
        <v/>
      </c>
      <c r="K230" s="129" t="str">
        <f>IF($M230="Yes",'Invoice Log'!$AP208,"")</f>
        <v/>
      </c>
      <c r="L230" s="65" t="str">
        <f>IF($M230="Yes",ROUND('Invoice Log'!$AP208*Settings!$J$8,2),"")</f>
        <v/>
      </c>
      <c r="M230" s="125" t="str">
        <f>IF(OR('Invoice Log'!$L208="",'Invoice Log'!$AS208=""),"",IF(AND('Invoice Log'!$AR208&lt;=$B$3,'Invoice Log'!$AR208&gt;=Settings!$J$10,'Invoice Log'!$J208&lt;&gt;"Cancelled"),"Yes","No"))</f>
        <v/>
      </c>
    </row>
    <row r="231" ht="15.75" customHeight="1">
      <c r="A231" s="125" t="str">
        <f>IF('Invoice Log'!$AS209="","",TEXT('Invoice Log'!$AS209,"YYYY-MM"))</f>
        <v/>
      </c>
      <c r="B231" s="45" t="str">
        <f>IF('Invoice Log'!$AR209="","",'Invoice Log'!$AR209)</f>
        <v/>
      </c>
      <c r="C231" s="63" t="str">
        <f>IF('Invoice Log'!$D209="","",'Invoice Log'!$D209)</f>
        <v/>
      </c>
      <c r="D231" s="126" t="str">
        <f>IF('Invoice Log'!$L209="","",'Invoice Log'!$E209)</f>
        <v/>
      </c>
      <c r="E231" s="126" t="str">
        <f>IF('Invoice Log'!$L209="","",'Invoice Log'!$J209)</f>
        <v/>
      </c>
      <c r="F231" s="125" t="str">
        <f>IF('Invoice Log'!$L209="","",'Invoice Log'!$Q209)</f>
        <v/>
      </c>
      <c r="G231" s="65" t="str">
        <f>IF($M231="Yes",'Invoice Log'!$L209,"")</f>
        <v/>
      </c>
      <c r="H231" s="65" t="str">
        <f>IF($M231="Yes",'Invoice Log'!$S209,"")</f>
        <v/>
      </c>
      <c r="I231" s="65" t="str">
        <f>IF($M231="Yes",'Invoice Log'!$AI209,"")</f>
        <v/>
      </c>
      <c r="J231" s="127" t="str">
        <f>IF($M231="Yes",'Invoice Log'!$AO209,"")</f>
        <v/>
      </c>
      <c r="K231" s="129" t="str">
        <f>IF($M231="Yes",'Invoice Log'!$AP209,"")</f>
        <v/>
      </c>
      <c r="L231" s="65" t="str">
        <f>IF($M231="Yes",ROUND('Invoice Log'!$AP209*Settings!$J$8,2),"")</f>
        <v/>
      </c>
      <c r="M231" s="125" t="str">
        <f>IF(OR('Invoice Log'!$L209="",'Invoice Log'!$AS209=""),"",IF(AND('Invoice Log'!$AR209&lt;=$B$3,'Invoice Log'!$AR209&gt;=Settings!$J$10,'Invoice Log'!$J209&lt;&gt;"Cancelled"),"Yes","No"))</f>
        <v/>
      </c>
    </row>
    <row r="232" ht="15.75" customHeight="1">
      <c r="A232" s="125" t="str">
        <f>IF('Invoice Log'!$AS210="","",TEXT('Invoice Log'!$AS210,"YYYY-MM"))</f>
        <v/>
      </c>
      <c r="B232" s="45" t="str">
        <f>IF('Invoice Log'!$AR210="","",'Invoice Log'!$AR210)</f>
        <v/>
      </c>
      <c r="C232" s="63" t="str">
        <f>IF('Invoice Log'!$D210="","",'Invoice Log'!$D210)</f>
        <v/>
      </c>
      <c r="D232" s="126" t="str">
        <f>IF('Invoice Log'!$L210="","",'Invoice Log'!$E210)</f>
        <v/>
      </c>
      <c r="E232" s="126" t="str">
        <f>IF('Invoice Log'!$L210="","",'Invoice Log'!$J210)</f>
        <v/>
      </c>
      <c r="F232" s="125" t="str">
        <f>IF('Invoice Log'!$L210="","",'Invoice Log'!$Q210)</f>
        <v/>
      </c>
      <c r="G232" s="65" t="str">
        <f>IF($M232="Yes",'Invoice Log'!$L210,"")</f>
        <v/>
      </c>
      <c r="H232" s="65" t="str">
        <f>IF($M232="Yes",'Invoice Log'!$S210,"")</f>
        <v/>
      </c>
      <c r="I232" s="65" t="str">
        <f>IF($M232="Yes",'Invoice Log'!$AI210,"")</f>
        <v/>
      </c>
      <c r="J232" s="127" t="str">
        <f>IF($M232="Yes",'Invoice Log'!$AO210,"")</f>
        <v/>
      </c>
      <c r="K232" s="129" t="str">
        <f>IF($M232="Yes",'Invoice Log'!$AP210,"")</f>
        <v/>
      </c>
      <c r="L232" s="65" t="str">
        <f>IF($M232="Yes",ROUND('Invoice Log'!$AP210*Settings!$J$8,2),"")</f>
        <v/>
      </c>
      <c r="M232" s="125" t="str">
        <f>IF(OR('Invoice Log'!$L210="",'Invoice Log'!$AS210=""),"",IF(AND('Invoice Log'!$AR210&lt;=$B$3,'Invoice Log'!$AR210&gt;=Settings!$J$10,'Invoice Log'!$J210&lt;&gt;"Cancelled"),"Yes","No"))</f>
        <v/>
      </c>
    </row>
    <row r="233" ht="15.75" customHeight="1">
      <c r="A233" s="125" t="str">
        <f>IF('Invoice Log'!$AS211="","",TEXT('Invoice Log'!$AS211,"YYYY-MM"))</f>
        <v/>
      </c>
      <c r="B233" s="45" t="str">
        <f>IF('Invoice Log'!$AR211="","",'Invoice Log'!$AR211)</f>
        <v/>
      </c>
      <c r="C233" s="63" t="str">
        <f>IF('Invoice Log'!$D211="","",'Invoice Log'!$D211)</f>
        <v/>
      </c>
      <c r="D233" s="126" t="str">
        <f>IF('Invoice Log'!$L211="","",'Invoice Log'!$E211)</f>
        <v/>
      </c>
      <c r="E233" s="126" t="str">
        <f>IF('Invoice Log'!$L211="","",'Invoice Log'!$J211)</f>
        <v/>
      </c>
      <c r="F233" s="125" t="str">
        <f>IF('Invoice Log'!$L211="","",'Invoice Log'!$Q211)</f>
        <v/>
      </c>
      <c r="G233" s="65" t="str">
        <f>IF($M233="Yes",'Invoice Log'!$L211,"")</f>
        <v/>
      </c>
      <c r="H233" s="65" t="str">
        <f>IF($M233="Yes",'Invoice Log'!$S211,"")</f>
        <v/>
      </c>
      <c r="I233" s="65" t="str">
        <f>IF($M233="Yes",'Invoice Log'!$AI211,"")</f>
        <v/>
      </c>
      <c r="J233" s="127" t="str">
        <f>IF($M233="Yes",'Invoice Log'!$AO211,"")</f>
        <v/>
      </c>
      <c r="K233" s="129" t="str">
        <f>IF($M233="Yes",'Invoice Log'!$AP211,"")</f>
        <v/>
      </c>
      <c r="L233" s="65" t="str">
        <f>IF($M233="Yes",ROUND('Invoice Log'!$AP211*Settings!$J$8,2),"")</f>
        <v/>
      </c>
      <c r="M233" s="125" t="str">
        <f>IF(OR('Invoice Log'!$L211="",'Invoice Log'!$AS211=""),"",IF(AND('Invoice Log'!$AR211&lt;=$B$3,'Invoice Log'!$AR211&gt;=Settings!$J$10,'Invoice Log'!$J211&lt;&gt;"Cancelled"),"Yes","No"))</f>
        <v/>
      </c>
    </row>
    <row r="234" ht="15.75" customHeight="1">
      <c r="A234" s="125" t="str">
        <f>IF('Invoice Log'!$AS212="","",TEXT('Invoice Log'!$AS212,"YYYY-MM"))</f>
        <v/>
      </c>
      <c r="B234" s="45" t="str">
        <f>IF('Invoice Log'!$AR212="","",'Invoice Log'!$AR212)</f>
        <v/>
      </c>
      <c r="C234" s="63" t="str">
        <f>IF('Invoice Log'!$D212="","",'Invoice Log'!$D212)</f>
        <v/>
      </c>
      <c r="D234" s="126" t="str">
        <f>IF('Invoice Log'!$L212="","",'Invoice Log'!$E212)</f>
        <v/>
      </c>
      <c r="E234" s="126" t="str">
        <f>IF('Invoice Log'!$L212="","",'Invoice Log'!$J212)</f>
        <v/>
      </c>
      <c r="F234" s="125" t="str">
        <f>IF('Invoice Log'!$L212="","",'Invoice Log'!$Q212)</f>
        <v/>
      </c>
      <c r="G234" s="65" t="str">
        <f>IF($M234="Yes",'Invoice Log'!$L212,"")</f>
        <v/>
      </c>
      <c r="H234" s="65" t="str">
        <f>IF($M234="Yes",'Invoice Log'!$S212,"")</f>
        <v/>
      </c>
      <c r="I234" s="65" t="str">
        <f>IF($M234="Yes",'Invoice Log'!$AI212,"")</f>
        <v/>
      </c>
      <c r="J234" s="127" t="str">
        <f>IF($M234="Yes",'Invoice Log'!$AO212,"")</f>
        <v/>
      </c>
      <c r="K234" s="129" t="str">
        <f>IF($M234="Yes",'Invoice Log'!$AP212,"")</f>
        <v/>
      </c>
      <c r="L234" s="65" t="str">
        <f>IF($M234="Yes",ROUND('Invoice Log'!$AP212*Settings!$J$8,2),"")</f>
        <v/>
      </c>
      <c r="M234" s="125" t="str">
        <f>IF(OR('Invoice Log'!$L212="",'Invoice Log'!$AS212=""),"",IF(AND('Invoice Log'!$AR212&lt;=$B$3,'Invoice Log'!$AR212&gt;=Settings!$J$10,'Invoice Log'!$J212&lt;&gt;"Cancelled"),"Yes","No"))</f>
        <v/>
      </c>
    </row>
    <row r="235" ht="15.75" customHeight="1">
      <c r="A235" s="125" t="str">
        <f>IF('Invoice Log'!$AS213="","",TEXT('Invoice Log'!$AS213,"YYYY-MM"))</f>
        <v/>
      </c>
      <c r="B235" s="45" t="str">
        <f>IF('Invoice Log'!$AR213="","",'Invoice Log'!$AR213)</f>
        <v/>
      </c>
      <c r="C235" s="63" t="str">
        <f>IF('Invoice Log'!$D213="","",'Invoice Log'!$D213)</f>
        <v/>
      </c>
      <c r="D235" s="126" t="str">
        <f>IF('Invoice Log'!$L213="","",'Invoice Log'!$E213)</f>
        <v/>
      </c>
      <c r="E235" s="126" t="str">
        <f>IF('Invoice Log'!$L213="","",'Invoice Log'!$J213)</f>
        <v/>
      </c>
      <c r="F235" s="125" t="str">
        <f>IF('Invoice Log'!$L213="","",'Invoice Log'!$Q213)</f>
        <v/>
      </c>
      <c r="G235" s="65" t="str">
        <f>IF($M235="Yes",'Invoice Log'!$L213,"")</f>
        <v/>
      </c>
      <c r="H235" s="65" t="str">
        <f>IF($M235="Yes",'Invoice Log'!$S213,"")</f>
        <v/>
      </c>
      <c r="I235" s="65" t="str">
        <f>IF($M235="Yes",'Invoice Log'!$AI213,"")</f>
        <v/>
      </c>
      <c r="J235" s="127" t="str">
        <f>IF($M235="Yes",'Invoice Log'!$AO213,"")</f>
        <v/>
      </c>
      <c r="K235" s="129" t="str">
        <f>IF($M235="Yes",'Invoice Log'!$AP213,"")</f>
        <v/>
      </c>
      <c r="L235" s="65" t="str">
        <f>IF($M235="Yes",ROUND('Invoice Log'!$AP213*Settings!$J$8,2),"")</f>
        <v/>
      </c>
      <c r="M235" s="125" t="str">
        <f>IF(OR('Invoice Log'!$L213="",'Invoice Log'!$AS213=""),"",IF(AND('Invoice Log'!$AR213&lt;=$B$3,'Invoice Log'!$AR213&gt;=Settings!$J$10,'Invoice Log'!$J213&lt;&gt;"Cancelled"),"Yes","No"))</f>
        <v/>
      </c>
    </row>
    <row r="236" ht="15.75" customHeight="1">
      <c r="A236" s="125" t="str">
        <f>IF('Invoice Log'!$AS214="","",TEXT('Invoice Log'!$AS214,"YYYY-MM"))</f>
        <v/>
      </c>
      <c r="B236" s="45" t="str">
        <f>IF('Invoice Log'!$AR214="","",'Invoice Log'!$AR214)</f>
        <v/>
      </c>
      <c r="C236" s="63" t="str">
        <f>IF('Invoice Log'!$D214="","",'Invoice Log'!$D214)</f>
        <v/>
      </c>
      <c r="D236" s="126" t="str">
        <f>IF('Invoice Log'!$L214="","",'Invoice Log'!$E214)</f>
        <v/>
      </c>
      <c r="E236" s="126" t="str">
        <f>IF('Invoice Log'!$L214="","",'Invoice Log'!$J214)</f>
        <v/>
      </c>
      <c r="F236" s="125" t="str">
        <f>IF('Invoice Log'!$L214="","",'Invoice Log'!$Q214)</f>
        <v/>
      </c>
      <c r="G236" s="65" t="str">
        <f>IF($M236="Yes",'Invoice Log'!$L214,"")</f>
        <v/>
      </c>
      <c r="H236" s="65" t="str">
        <f>IF($M236="Yes",'Invoice Log'!$S214,"")</f>
        <v/>
      </c>
      <c r="I236" s="65" t="str">
        <f>IF($M236="Yes",'Invoice Log'!$AI214,"")</f>
        <v/>
      </c>
      <c r="J236" s="127" t="str">
        <f>IF($M236="Yes",'Invoice Log'!$AO214,"")</f>
        <v/>
      </c>
      <c r="K236" s="129" t="str">
        <f>IF($M236="Yes",'Invoice Log'!$AP214,"")</f>
        <v/>
      </c>
      <c r="L236" s="65" t="str">
        <f>IF($M236="Yes",ROUND('Invoice Log'!$AP214*Settings!$J$8,2),"")</f>
        <v/>
      </c>
      <c r="M236" s="125" t="str">
        <f>IF(OR('Invoice Log'!$L214="",'Invoice Log'!$AS214=""),"",IF(AND('Invoice Log'!$AR214&lt;=$B$3,'Invoice Log'!$AR214&gt;=Settings!$J$10,'Invoice Log'!$J214&lt;&gt;"Cancelled"),"Yes","No"))</f>
        <v/>
      </c>
    </row>
    <row r="237" ht="15.75" customHeight="1">
      <c r="A237" s="125" t="str">
        <f>IF('Invoice Log'!$AS215="","",TEXT('Invoice Log'!$AS215,"YYYY-MM"))</f>
        <v/>
      </c>
      <c r="B237" s="45" t="str">
        <f>IF('Invoice Log'!$AR215="","",'Invoice Log'!$AR215)</f>
        <v/>
      </c>
      <c r="C237" s="63" t="str">
        <f>IF('Invoice Log'!$D215="","",'Invoice Log'!$D215)</f>
        <v/>
      </c>
      <c r="D237" s="126" t="str">
        <f>IF('Invoice Log'!$L215="","",'Invoice Log'!$E215)</f>
        <v/>
      </c>
      <c r="E237" s="126" t="str">
        <f>IF('Invoice Log'!$L215="","",'Invoice Log'!$J215)</f>
        <v/>
      </c>
      <c r="F237" s="125" t="str">
        <f>IF('Invoice Log'!$L215="","",'Invoice Log'!$Q215)</f>
        <v/>
      </c>
      <c r="G237" s="65" t="str">
        <f>IF($M237="Yes",'Invoice Log'!$L215,"")</f>
        <v/>
      </c>
      <c r="H237" s="65" t="str">
        <f>IF($M237="Yes",'Invoice Log'!$S215,"")</f>
        <v/>
      </c>
      <c r="I237" s="65" t="str">
        <f>IF($M237="Yes",'Invoice Log'!$AI215,"")</f>
        <v/>
      </c>
      <c r="J237" s="127" t="str">
        <f>IF($M237="Yes",'Invoice Log'!$AO215,"")</f>
        <v/>
      </c>
      <c r="K237" s="129" t="str">
        <f>IF($M237="Yes",'Invoice Log'!$AP215,"")</f>
        <v/>
      </c>
      <c r="L237" s="65" t="str">
        <f>IF($M237="Yes",ROUND('Invoice Log'!$AP215*Settings!$J$8,2),"")</f>
        <v/>
      </c>
      <c r="M237" s="125" t="str">
        <f>IF(OR('Invoice Log'!$L215="",'Invoice Log'!$AS215=""),"",IF(AND('Invoice Log'!$AR215&lt;=$B$3,'Invoice Log'!$AR215&gt;=Settings!$J$10,'Invoice Log'!$J215&lt;&gt;"Cancelled"),"Yes","No"))</f>
        <v/>
      </c>
    </row>
    <row r="238" ht="15.75" customHeight="1">
      <c r="A238" s="125" t="str">
        <f>IF('Invoice Log'!$AS216="","",TEXT('Invoice Log'!$AS216,"YYYY-MM"))</f>
        <v/>
      </c>
      <c r="B238" s="45" t="str">
        <f>IF('Invoice Log'!$AR216="","",'Invoice Log'!$AR216)</f>
        <v/>
      </c>
      <c r="C238" s="63" t="str">
        <f>IF('Invoice Log'!$D216="","",'Invoice Log'!$D216)</f>
        <v/>
      </c>
      <c r="D238" s="126" t="str">
        <f>IF('Invoice Log'!$L216="","",'Invoice Log'!$E216)</f>
        <v/>
      </c>
      <c r="E238" s="126" t="str">
        <f>IF('Invoice Log'!$L216="","",'Invoice Log'!$J216)</f>
        <v/>
      </c>
      <c r="F238" s="125" t="str">
        <f>IF('Invoice Log'!$L216="","",'Invoice Log'!$Q216)</f>
        <v/>
      </c>
      <c r="G238" s="65" t="str">
        <f>IF($M238="Yes",'Invoice Log'!$L216,"")</f>
        <v/>
      </c>
      <c r="H238" s="65" t="str">
        <f>IF($M238="Yes",'Invoice Log'!$S216,"")</f>
        <v/>
      </c>
      <c r="I238" s="65" t="str">
        <f>IF($M238="Yes",'Invoice Log'!$AI216,"")</f>
        <v/>
      </c>
      <c r="J238" s="127" t="str">
        <f>IF($M238="Yes",'Invoice Log'!$AO216,"")</f>
        <v/>
      </c>
      <c r="K238" s="129" t="str">
        <f>IF($M238="Yes",'Invoice Log'!$AP216,"")</f>
        <v/>
      </c>
      <c r="L238" s="65" t="str">
        <f>IF($M238="Yes",ROUND('Invoice Log'!$AP216*Settings!$J$8,2),"")</f>
        <v/>
      </c>
      <c r="M238" s="125" t="str">
        <f>IF(OR('Invoice Log'!$L216="",'Invoice Log'!$AS216=""),"",IF(AND('Invoice Log'!$AR216&lt;=$B$3,'Invoice Log'!$AR216&gt;=Settings!$J$10,'Invoice Log'!$J216&lt;&gt;"Cancelled"),"Yes","No"))</f>
        <v/>
      </c>
    </row>
    <row r="239" ht="15.75" customHeight="1">
      <c r="A239" s="125" t="str">
        <f>IF('Invoice Log'!$AS217="","",TEXT('Invoice Log'!$AS217,"YYYY-MM"))</f>
        <v/>
      </c>
      <c r="B239" s="45" t="str">
        <f>IF('Invoice Log'!$AR217="","",'Invoice Log'!$AR217)</f>
        <v/>
      </c>
      <c r="C239" s="63" t="str">
        <f>IF('Invoice Log'!$D217="","",'Invoice Log'!$D217)</f>
        <v/>
      </c>
      <c r="D239" s="126" t="str">
        <f>IF('Invoice Log'!$L217="","",'Invoice Log'!$E217)</f>
        <v/>
      </c>
      <c r="E239" s="126" t="str">
        <f>IF('Invoice Log'!$L217="","",'Invoice Log'!$J217)</f>
        <v/>
      </c>
      <c r="F239" s="125" t="str">
        <f>IF('Invoice Log'!$L217="","",'Invoice Log'!$Q217)</f>
        <v/>
      </c>
      <c r="G239" s="65" t="str">
        <f>IF($M239="Yes",'Invoice Log'!$L217,"")</f>
        <v/>
      </c>
      <c r="H239" s="65" t="str">
        <f>IF($M239="Yes",'Invoice Log'!$S217,"")</f>
        <v/>
      </c>
      <c r="I239" s="65" t="str">
        <f>IF($M239="Yes",'Invoice Log'!$AI217,"")</f>
        <v/>
      </c>
      <c r="J239" s="127" t="str">
        <f>IF($M239="Yes",'Invoice Log'!$AO217,"")</f>
        <v/>
      </c>
      <c r="K239" s="129" t="str">
        <f>IF($M239="Yes",'Invoice Log'!$AP217,"")</f>
        <v/>
      </c>
      <c r="L239" s="65" t="str">
        <f>IF($M239="Yes",ROUND('Invoice Log'!$AP217*Settings!$J$8,2),"")</f>
        <v/>
      </c>
      <c r="M239" s="125" t="str">
        <f>IF(OR('Invoice Log'!$L217="",'Invoice Log'!$AS217=""),"",IF(AND('Invoice Log'!$AR217&lt;=$B$3,'Invoice Log'!$AR217&gt;=Settings!$J$10,'Invoice Log'!$J217&lt;&gt;"Cancelled"),"Yes","No"))</f>
        <v/>
      </c>
    </row>
    <row r="240" ht="15.75" customHeight="1">
      <c r="A240" s="125" t="str">
        <f>IF('Invoice Log'!$AS218="","",TEXT('Invoice Log'!$AS218,"YYYY-MM"))</f>
        <v/>
      </c>
      <c r="B240" s="45" t="str">
        <f>IF('Invoice Log'!$AR218="","",'Invoice Log'!$AR218)</f>
        <v/>
      </c>
      <c r="C240" s="63" t="str">
        <f>IF('Invoice Log'!$D218="","",'Invoice Log'!$D218)</f>
        <v/>
      </c>
      <c r="D240" s="126" t="str">
        <f>IF('Invoice Log'!$L218="","",'Invoice Log'!$E218)</f>
        <v/>
      </c>
      <c r="E240" s="126" t="str">
        <f>IF('Invoice Log'!$L218="","",'Invoice Log'!$J218)</f>
        <v/>
      </c>
      <c r="F240" s="125" t="str">
        <f>IF('Invoice Log'!$L218="","",'Invoice Log'!$Q218)</f>
        <v/>
      </c>
      <c r="G240" s="65" t="str">
        <f>IF($M240="Yes",'Invoice Log'!$L218,"")</f>
        <v/>
      </c>
      <c r="H240" s="65" t="str">
        <f>IF($M240="Yes",'Invoice Log'!$S218,"")</f>
        <v/>
      </c>
      <c r="I240" s="65" t="str">
        <f>IF($M240="Yes",'Invoice Log'!$AI218,"")</f>
        <v/>
      </c>
      <c r="J240" s="127" t="str">
        <f>IF($M240="Yes",'Invoice Log'!$AO218,"")</f>
        <v/>
      </c>
      <c r="K240" s="129" t="str">
        <f>IF($M240="Yes",'Invoice Log'!$AP218,"")</f>
        <v/>
      </c>
      <c r="L240" s="65" t="str">
        <f>IF($M240="Yes",ROUND('Invoice Log'!$AP218*Settings!$J$8,2),"")</f>
        <v/>
      </c>
      <c r="M240" s="125" t="str">
        <f>IF(OR('Invoice Log'!$L218="",'Invoice Log'!$AS218=""),"",IF(AND('Invoice Log'!$AR218&lt;=$B$3,'Invoice Log'!$AR218&gt;=Settings!$J$10,'Invoice Log'!$J218&lt;&gt;"Cancelled"),"Yes","No"))</f>
        <v/>
      </c>
    </row>
    <row r="241" ht="15.75" customHeight="1">
      <c r="A241" s="125" t="str">
        <f>IF('Invoice Log'!$AS219="","",TEXT('Invoice Log'!$AS219,"YYYY-MM"))</f>
        <v/>
      </c>
      <c r="B241" s="45" t="str">
        <f>IF('Invoice Log'!$AR219="","",'Invoice Log'!$AR219)</f>
        <v/>
      </c>
      <c r="C241" s="63" t="str">
        <f>IF('Invoice Log'!$D219="","",'Invoice Log'!$D219)</f>
        <v/>
      </c>
      <c r="D241" s="126" t="str">
        <f>IF('Invoice Log'!$L219="","",'Invoice Log'!$E219)</f>
        <v/>
      </c>
      <c r="E241" s="126" t="str">
        <f>IF('Invoice Log'!$L219="","",'Invoice Log'!$J219)</f>
        <v/>
      </c>
      <c r="F241" s="125" t="str">
        <f>IF('Invoice Log'!$L219="","",'Invoice Log'!$Q219)</f>
        <v/>
      </c>
      <c r="G241" s="65" t="str">
        <f>IF($M241="Yes",'Invoice Log'!$L219,"")</f>
        <v/>
      </c>
      <c r="H241" s="65" t="str">
        <f>IF($M241="Yes",'Invoice Log'!$S219,"")</f>
        <v/>
      </c>
      <c r="I241" s="65" t="str">
        <f>IF($M241="Yes",'Invoice Log'!$AI219,"")</f>
        <v/>
      </c>
      <c r="J241" s="127" t="str">
        <f>IF($M241="Yes",'Invoice Log'!$AO219,"")</f>
        <v/>
      </c>
      <c r="K241" s="129" t="str">
        <f>IF($M241="Yes",'Invoice Log'!$AP219,"")</f>
        <v/>
      </c>
      <c r="L241" s="65" t="str">
        <f>IF($M241="Yes",ROUND('Invoice Log'!$AP219*Settings!$J$8,2),"")</f>
        <v/>
      </c>
      <c r="M241" s="125" t="str">
        <f>IF(OR('Invoice Log'!$L219="",'Invoice Log'!$AS219=""),"",IF(AND('Invoice Log'!$AR219&lt;=$B$3,'Invoice Log'!$AR219&gt;=Settings!$J$10,'Invoice Log'!$J219&lt;&gt;"Cancelled"),"Yes","No"))</f>
        <v/>
      </c>
    </row>
    <row r="242" ht="15.75" customHeight="1">
      <c r="A242" s="125" t="str">
        <f>IF('Invoice Log'!$AS220="","",TEXT('Invoice Log'!$AS220,"YYYY-MM"))</f>
        <v/>
      </c>
      <c r="B242" s="45" t="str">
        <f>IF('Invoice Log'!$AR220="","",'Invoice Log'!$AR220)</f>
        <v/>
      </c>
      <c r="C242" s="63" t="str">
        <f>IF('Invoice Log'!$D220="","",'Invoice Log'!$D220)</f>
        <v/>
      </c>
      <c r="D242" s="126" t="str">
        <f>IF('Invoice Log'!$L220="","",'Invoice Log'!$E220)</f>
        <v/>
      </c>
      <c r="E242" s="126" t="str">
        <f>IF('Invoice Log'!$L220="","",'Invoice Log'!$J220)</f>
        <v/>
      </c>
      <c r="F242" s="125" t="str">
        <f>IF('Invoice Log'!$L220="","",'Invoice Log'!$Q220)</f>
        <v/>
      </c>
      <c r="G242" s="65" t="str">
        <f>IF($M242="Yes",'Invoice Log'!$L220,"")</f>
        <v/>
      </c>
      <c r="H242" s="65" t="str">
        <f>IF($M242="Yes",'Invoice Log'!$S220,"")</f>
        <v/>
      </c>
      <c r="I242" s="65" t="str">
        <f>IF($M242="Yes",'Invoice Log'!$AI220,"")</f>
        <v/>
      </c>
      <c r="J242" s="127" t="str">
        <f>IF($M242="Yes",'Invoice Log'!$AO220,"")</f>
        <v/>
      </c>
      <c r="K242" s="129" t="str">
        <f>IF($M242="Yes",'Invoice Log'!$AP220,"")</f>
        <v/>
      </c>
      <c r="L242" s="65" t="str">
        <f>IF($M242="Yes",ROUND('Invoice Log'!$AP220*Settings!$J$8,2),"")</f>
        <v/>
      </c>
      <c r="M242" s="125" t="str">
        <f>IF(OR('Invoice Log'!$L220="",'Invoice Log'!$AS220=""),"",IF(AND('Invoice Log'!$AR220&lt;=$B$3,'Invoice Log'!$AR220&gt;=Settings!$J$10,'Invoice Log'!$J220&lt;&gt;"Cancelled"),"Yes","No"))</f>
        <v/>
      </c>
    </row>
    <row r="243" ht="15.75" customHeight="1">
      <c r="A243" s="125" t="str">
        <f>IF('Invoice Log'!$AS221="","",TEXT('Invoice Log'!$AS221,"YYYY-MM"))</f>
        <v/>
      </c>
      <c r="B243" s="45" t="str">
        <f>IF('Invoice Log'!$AR221="","",'Invoice Log'!$AR221)</f>
        <v/>
      </c>
      <c r="C243" s="63" t="str">
        <f>IF('Invoice Log'!$D221="","",'Invoice Log'!$D221)</f>
        <v/>
      </c>
      <c r="D243" s="126" t="str">
        <f>IF('Invoice Log'!$L221="","",'Invoice Log'!$E221)</f>
        <v/>
      </c>
      <c r="E243" s="126" t="str">
        <f>IF('Invoice Log'!$L221="","",'Invoice Log'!$J221)</f>
        <v/>
      </c>
      <c r="F243" s="125" t="str">
        <f>IF('Invoice Log'!$L221="","",'Invoice Log'!$Q221)</f>
        <v/>
      </c>
      <c r="G243" s="65" t="str">
        <f>IF($M243="Yes",'Invoice Log'!$L221,"")</f>
        <v/>
      </c>
      <c r="H243" s="65" t="str">
        <f>IF($M243="Yes",'Invoice Log'!$S221,"")</f>
        <v/>
      </c>
      <c r="I243" s="65" t="str">
        <f>IF($M243="Yes",'Invoice Log'!$AI221,"")</f>
        <v/>
      </c>
      <c r="J243" s="127" t="str">
        <f>IF($M243="Yes",'Invoice Log'!$AO221,"")</f>
        <v/>
      </c>
      <c r="K243" s="129" t="str">
        <f>IF($M243="Yes",'Invoice Log'!$AP221,"")</f>
        <v/>
      </c>
      <c r="L243" s="65" t="str">
        <f>IF($M243="Yes",ROUND('Invoice Log'!$AP221*Settings!$J$8,2),"")</f>
        <v/>
      </c>
      <c r="M243" s="125" t="str">
        <f>IF(OR('Invoice Log'!$L221="",'Invoice Log'!$AS221=""),"",IF(AND('Invoice Log'!$AR221&lt;=$B$3,'Invoice Log'!$AR221&gt;=Settings!$J$10,'Invoice Log'!$J221&lt;&gt;"Cancelled"),"Yes","No"))</f>
        <v/>
      </c>
    </row>
    <row r="244" ht="15.75" customHeight="1">
      <c r="A244" s="125" t="str">
        <f>IF('Invoice Log'!$AS222="","",TEXT('Invoice Log'!$AS222,"YYYY-MM"))</f>
        <v/>
      </c>
      <c r="B244" s="45" t="str">
        <f>IF('Invoice Log'!$AR222="","",'Invoice Log'!$AR222)</f>
        <v/>
      </c>
      <c r="C244" s="63" t="str">
        <f>IF('Invoice Log'!$D222="","",'Invoice Log'!$D222)</f>
        <v/>
      </c>
      <c r="D244" s="126" t="str">
        <f>IF('Invoice Log'!$L222="","",'Invoice Log'!$E222)</f>
        <v/>
      </c>
      <c r="E244" s="126" t="str">
        <f>IF('Invoice Log'!$L222="","",'Invoice Log'!$J222)</f>
        <v/>
      </c>
      <c r="F244" s="125" t="str">
        <f>IF('Invoice Log'!$L222="","",'Invoice Log'!$Q222)</f>
        <v/>
      </c>
      <c r="G244" s="65" t="str">
        <f>IF($M244="Yes",'Invoice Log'!$L222,"")</f>
        <v/>
      </c>
      <c r="H244" s="65" t="str">
        <f>IF($M244="Yes",'Invoice Log'!$S222,"")</f>
        <v/>
      </c>
      <c r="I244" s="65" t="str">
        <f>IF($M244="Yes",'Invoice Log'!$AI222,"")</f>
        <v/>
      </c>
      <c r="J244" s="127" t="str">
        <f>IF($M244="Yes",'Invoice Log'!$AO222,"")</f>
        <v/>
      </c>
      <c r="K244" s="129" t="str">
        <f>IF($M244="Yes",'Invoice Log'!$AP222,"")</f>
        <v/>
      </c>
      <c r="L244" s="65" t="str">
        <f>IF($M244="Yes",ROUND('Invoice Log'!$AP222*Settings!$J$8,2),"")</f>
        <v/>
      </c>
      <c r="M244" s="125" t="str">
        <f>IF(OR('Invoice Log'!$L222="",'Invoice Log'!$AS222=""),"",IF(AND('Invoice Log'!$AR222&lt;=$B$3,'Invoice Log'!$AR222&gt;=Settings!$J$10,'Invoice Log'!$J222&lt;&gt;"Cancelled"),"Yes","No"))</f>
        <v/>
      </c>
    </row>
    <row r="245" ht="15.75" customHeight="1">
      <c r="A245" s="125" t="str">
        <f>IF('Invoice Log'!$AS223="","",TEXT('Invoice Log'!$AS223,"YYYY-MM"))</f>
        <v/>
      </c>
      <c r="B245" s="45" t="str">
        <f>IF('Invoice Log'!$AR223="","",'Invoice Log'!$AR223)</f>
        <v/>
      </c>
      <c r="C245" s="63" t="str">
        <f>IF('Invoice Log'!$D223="","",'Invoice Log'!$D223)</f>
        <v/>
      </c>
      <c r="D245" s="126" t="str">
        <f>IF('Invoice Log'!$L223="","",'Invoice Log'!$E223)</f>
        <v/>
      </c>
      <c r="E245" s="126" t="str">
        <f>IF('Invoice Log'!$L223="","",'Invoice Log'!$J223)</f>
        <v/>
      </c>
      <c r="F245" s="125" t="str">
        <f>IF('Invoice Log'!$L223="","",'Invoice Log'!$Q223)</f>
        <v/>
      </c>
      <c r="G245" s="65" t="str">
        <f>IF($M245="Yes",'Invoice Log'!$L223,"")</f>
        <v/>
      </c>
      <c r="H245" s="65" t="str">
        <f>IF($M245="Yes",'Invoice Log'!$S223,"")</f>
        <v/>
      </c>
      <c r="I245" s="65" t="str">
        <f>IF($M245="Yes",'Invoice Log'!$AI223,"")</f>
        <v/>
      </c>
      <c r="J245" s="127" t="str">
        <f>IF($M245="Yes",'Invoice Log'!$AO223,"")</f>
        <v/>
      </c>
      <c r="K245" s="129" t="str">
        <f>IF($M245="Yes",'Invoice Log'!$AP223,"")</f>
        <v/>
      </c>
      <c r="L245" s="65" t="str">
        <f>IF($M245="Yes",ROUND('Invoice Log'!$AP223*Settings!$J$8,2),"")</f>
        <v/>
      </c>
      <c r="M245" s="125" t="str">
        <f>IF(OR('Invoice Log'!$L223="",'Invoice Log'!$AS223=""),"",IF(AND('Invoice Log'!$AR223&lt;=$B$3,'Invoice Log'!$AR223&gt;=Settings!$J$10,'Invoice Log'!$J223&lt;&gt;"Cancelled"),"Yes","No"))</f>
        <v/>
      </c>
    </row>
    <row r="246" ht="15.75" customHeight="1">
      <c r="A246" s="125" t="str">
        <f>IF('Invoice Log'!$AS224="","",TEXT('Invoice Log'!$AS224,"YYYY-MM"))</f>
        <v/>
      </c>
      <c r="B246" s="45" t="str">
        <f>IF('Invoice Log'!$AR224="","",'Invoice Log'!$AR224)</f>
        <v/>
      </c>
      <c r="C246" s="63" t="str">
        <f>IF('Invoice Log'!$D224="","",'Invoice Log'!$D224)</f>
        <v/>
      </c>
      <c r="D246" s="126" t="str">
        <f>IF('Invoice Log'!$L224="","",'Invoice Log'!$E224)</f>
        <v/>
      </c>
      <c r="E246" s="126" t="str">
        <f>IF('Invoice Log'!$L224="","",'Invoice Log'!$J224)</f>
        <v/>
      </c>
      <c r="F246" s="125" t="str">
        <f>IF('Invoice Log'!$L224="","",'Invoice Log'!$Q224)</f>
        <v/>
      </c>
      <c r="G246" s="65" t="str">
        <f>IF($M246="Yes",'Invoice Log'!$L224,"")</f>
        <v/>
      </c>
      <c r="H246" s="65" t="str">
        <f>IF($M246="Yes",'Invoice Log'!$S224,"")</f>
        <v/>
      </c>
      <c r="I246" s="65" t="str">
        <f>IF($M246="Yes",'Invoice Log'!$AI224,"")</f>
        <v/>
      </c>
      <c r="J246" s="127" t="str">
        <f>IF($M246="Yes",'Invoice Log'!$AO224,"")</f>
        <v/>
      </c>
      <c r="K246" s="129" t="str">
        <f>IF($M246="Yes",'Invoice Log'!$AP224,"")</f>
        <v/>
      </c>
      <c r="L246" s="65" t="str">
        <f>IF($M246="Yes",ROUND('Invoice Log'!$AP224*Settings!$J$8,2),"")</f>
        <v/>
      </c>
      <c r="M246" s="125" t="str">
        <f>IF(OR('Invoice Log'!$L224="",'Invoice Log'!$AS224=""),"",IF(AND('Invoice Log'!$AR224&lt;=$B$3,'Invoice Log'!$AR224&gt;=Settings!$J$10,'Invoice Log'!$J224&lt;&gt;"Cancelled"),"Yes","No"))</f>
        <v/>
      </c>
    </row>
    <row r="247" ht="15.75" customHeight="1">
      <c r="A247" s="125" t="str">
        <f>IF('Invoice Log'!$AS225="","",TEXT('Invoice Log'!$AS225,"YYYY-MM"))</f>
        <v/>
      </c>
      <c r="B247" s="45" t="str">
        <f>IF('Invoice Log'!$AR225="","",'Invoice Log'!$AR225)</f>
        <v/>
      </c>
      <c r="C247" s="63" t="str">
        <f>IF('Invoice Log'!$D225="","",'Invoice Log'!$D225)</f>
        <v/>
      </c>
      <c r="D247" s="126" t="str">
        <f>IF('Invoice Log'!$L225="","",'Invoice Log'!$E225)</f>
        <v/>
      </c>
      <c r="E247" s="126" t="str">
        <f>IF('Invoice Log'!$L225="","",'Invoice Log'!$J225)</f>
        <v/>
      </c>
      <c r="F247" s="125" t="str">
        <f>IF('Invoice Log'!$L225="","",'Invoice Log'!$Q225)</f>
        <v/>
      </c>
      <c r="G247" s="65" t="str">
        <f>IF($M247="Yes",'Invoice Log'!$L225,"")</f>
        <v/>
      </c>
      <c r="H247" s="65" t="str">
        <f>IF($M247="Yes",'Invoice Log'!$S225,"")</f>
        <v/>
      </c>
      <c r="I247" s="65" t="str">
        <f>IF($M247="Yes",'Invoice Log'!$AI225,"")</f>
        <v/>
      </c>
      <c r="J247" s="127" t="str">
        <f>IF($M247="Yes",'Invoice Log'!$AO225,"")</f>
        <v/>
      </c>
      <c r="K247" s="129" t="str">
        <f>IF($M247="Yes",'Invoice Log'!$AP225,"")</f>
        <v/>
      </c>
      <c r="L247" s="65" t="str">
        <f>IF($M247="Yes",ROUND('Invoice Log'!$AP225*Settings!$J$8,2),"")</f>
        <v/>
      </c>
      <c r="M247" s="125" t="str">
        <f>IF(OR('Invoice Log'!$L225="",'Invoice Log'!$AS225=""),"",IF(AND('Invoice Log'!$AR225&lt;=$B$3,'Invoice Log'!$AR225&gt;=Settings!$J$10,'Invoice Log'!$J225&lt;&gt;"Cancelled"),"Yes","No"))</f>
        <v/>
      </c>
    </row>
    <row r="248" ht="15.75" customHeight="1">
      <c r="A248" s="125" t="str">
        <f>IF('Invoice Log'!$AS226="","",TEXT('Invoice Log'!$AS226,"YYYY-MM"))</f>
        <v/>
      </c>
      <c r="B248" s="45" t="str">
        <f>IF('Invoice Log'!$AR226="","",'Invoice Log'!$AR226)</f>
        <v/>
      </c>
      <c r="C248" s="63" t="str">
        <f>IF('Invoice Log'!$D226="","",'Invoice Log'!$D226)</f>
        <v/>
      </c>
      <c r="D248" s="126" t="str">
        <f>IF('Invoice Log'!$L226="","",'Invoice Log'!$E226)</f>
        <v/>
      </c>
      <c r="E248" s="126" t="str">
        <f>IF('Invoice Log'!$L226="","",'Invoice Log'!$J226)</f>
        <v/>
      </c>
      <c r="F248" s="125" t="str">
        <f>IF('Invoice Log'!$L226="","",'Invoice Log'!$Q226)</f>
        <v/>
      </c>
      <c r="G248" s="65" t="str">
        <f>IF($M248="Yes",'Invoice Log'!$L226,"")</f>
        <v/>
      </c>
      <c r="H248" s="65" t="str">
        <f>IF($M248="Yes",'Invoice Log'!$S226,"")</f>
        <v/>
      </c>
      <c r="I248" s="65" t="str">
        <f>IF($M248="Yes",'Invoice Log'!$AI226,"")</f>
        <v/>
      </c>
      <c r="J248" s="127" t="str">
        <f>IF($M248="Yes",'Invoice Log'!$AO226,"")</f>
        <v/>
      </c>
      <c r="K248" s="129" t="str">
        <f>IF($M248="Yes",'Invoice Log'!$AP226,"")</f>
        <v/>
      </c>
      <c r="L248" s="65" t="str">
        <f>IF($M248="Yes",ROUND('Invoice Log'!$AP226*Settings!$J$8,2),"")</f>
        <v/>
      </c>
      <c r="M248" s="125" t="str">
        <f>IF(OR('Invoice Log'!$L226="",'Invoice Log'!$AS226=""),"",IF(AND('Invoice Log'!$AR226&lt;=$B$3,'Invoice Log'!$AR226&gt;=Settings!$J$10,'Invoice Log'!$J226&lt;&gt;"Cancelled"),"Yes","No"))</f>
        <v/>
      </c>
    </row>
    <row r="249" ht="15.75" customHeight="1">
      <c r="A249" s="125" t="str">
        <f>IF('Invoice Log'!$AS227="","",TEXT('Invoice Log'!$AS227,"YYYY-MM"))</f>
        <v/>
      </c>
      <c r="B249" s="45" t="str">
        <f>IF('Invoice Log'!$AR227="","",'Invoice Log'!$AR227)</f>
        <v/>
      </c>
      <c r="C249" s="63" t="str">
        <f>IF('Invoice Log'!$D227="","",'Invoice Log'!$D227)</f>
        <v/>
      </c>
      <c r="D249" s="126" t="str">
        <f>IF('Invoice Log'!$L227="","",'Invoice Log'!$E227)</f>
        <v/>
      </c>
      <c r="E249" s="126" t="str">
        <f>IF('Invoice Log'!$L227="","",'Invoice Log'!$J227)</f>
        <v/>
      </c>
      <c r="F249" s="125" t="str">
        <f>IF('Invoice Log'!$L227="","",'Invoice Log'!$Q227)</f>
        <v/>
      </c>
      <c r="G249" s="65" t="str">
        <f>IF($M249="Yes",'Invoice Log'!$L227,"")</f>
        <v/>
      </c>
      <c r="H249" s="65" t="str">
        <f>IF($M249="Yes",'Invoice Log'!$S227,"")</f>
        <v/>
      </c>
      <c r="I249" s="65" t="str">
        <f>IF($M249="Yes",'Invoice Log'!$AI227,"")</f>
        <v/>
      </c>
      <c r="J249" s="127" t="str">
        <f>IF($M249="Yes",'Invoice Log'!$AO227,"")</f>
        <v/>
      </c>
      <c r="K249" s="129" t="str">
        <f>IF($M249="Yes",'Invoice Log'!$AP227,"")</f>
        <v/>
      </c>
      <c r="L249" s="65" t="str">
        <f>IF($M249="Yes",ROUND('Invoice Log'!$AP227*Settings!$J$8,2),"")</f>
        <v/>
      </c>
      <c r="M249" s="125" t="str">
        <f>IF(OR('Invoice Log'!$L227="",'Invoice Log'!$AS227=""),"",IF(AND('Invoice Log'!$AR227&lt;=$B$3,'Invoice Log'!$AR227&gt;=Settings!$J$10,'Invoice Log'!$J227&lt;&gt;"Cancelled"),"Yes","No"))</f>
        <v/>
      </c>
    </row>
    <row r="250" ht="15.75" customHeight="1">
      <c r="A250" s="125" t="str">
        <f>IF('Invoice Log'!$AS228="","",TEXT('Invoice Log'!$AS228,"YYYY-MM"))</f>
        <v/>
      </c>
      <c r="B250" s="45" t="str">
        <f>IF('Invoice Log'!$AR228="","",'Invoice Log'!$AR228)</f>
        <v/>
      </c>
      <c r="C250" s="63" t="str">
        <f>IF('Invoice Log'!$D228="","",'Invoice Log'!$D228)</f>
        <v/>
      </c>
      <c r="D250" s="126" t="str">
        <f>IF('Invoice Log'!$L228="","",'Invoice Log'!$E228)</f>
        <v/>
      </c>
      <c r="E250" s="126" t="str">
        <f>IF('Invoice Log'!$L228="","",'Invoice Log'!$J228)</f>
        <v/>
      </c>
      <c r="F250" s="125" t="str">
        <f>IF('Invoice Log'!$L228="","",'Invoice Log'!$Q228)</f>
        <v/>
      </c>
      <c r="G250" s="65" t="str">
        <f>IF($M250="Yes",'Invoice Log'!$L228,"")</f>
        <v/>
      </c>
      <c r="H250" s="65" t="str">
        <f>IF($M250="Yes",'Invoice Log'!$S228,"")</f>
        <v/>
      </c>
      <c r="I250" s="65" t="str">
        <f>IF($M250="Yes",'Invoice Log'!$AI228,"")</f>
        <v/>
      </c>
      <c r="J250" s="127" t="str">
        <f>IF($M250="Yes",'Invoice Log'!$AO228,"")</f>
        <v/>
      </c>
      <c r="K250" s="129" t="str">
        <f>IF($M250="Yes",'Invoice Log'!$AP228,"")</f>
        <v/>
      </c>
      <c r="L250" s="65" t="str">
        <f>IF($M250="Yes",ROUND('Invoice Log'!$AP228*Settings!$J$8,2),"")</f>
        <v/>
      </c>
      <c r="M250" s="125" t="str">
        <f>IF(OR('Invoice Log'!$L228="",'Invoice Log'!$AS228=""),"",IF(AND('Invoice Log'!$AR228&lt;=$B$3,'Invoice Log'!$AR228&gt;=Settings!$J$10,'Invoice Log'!$J228&lt;&gt;"Cancelled"),"Yes","No"))</f>
        <v/>
      </c>
    </row>
    <row r="251" ht="15.75" customHeight="1">
      <c r="A251" s="125" t="str">
        <f>IF('Invoice Log'!$AS229="","",TEXT('Invoice Log'!$AS229,"YYYY-MM"))</f>
        <v/>
      </c>
      <c r="B251" s="45" t="str">
        <f>IF('Invoice Log'!$AR229="","",'Invoice Log'!$AR229)</f>
        <v/>
      </c>
      <c r="C251" s="63" t="str">
        <f>IF('Invoice Log'!$D229="","",'Invoice Log'!$D229)</f>
        <v/>
      </c>
      <c r="D251" s="126" t="str">
        <f>IF('Invoice Log'!$L229="","",'Invoice Log'!$E229)</f>
        <v/>
      </c>
      <c r="E251" s="126" t="str">
        <f>IF('Invoice Log'!$L229="","",'Invoice Log'!$J229)</f>
        <v/>
      </c>
      <c r="F251" s="125" t="str">
        <f>IF('Invoice Log'!$L229="","",'Invoice Log'!$Q229)</f>
        <v/>
      </c>
      <c r="G251" s="65" t="str">
        <f>IF($M251="Yes",'Invoice Log'!$L229,"")</f>
        <v/>
      </c>
      <c r="H251" s="65" t="str">
        <f>IF($M251="Yes",'Invoice Log'!$S229,"")</f>
        <v/>
      </c>
      <c r="I251" s="65" t="str">
        <f>IF($M251="Yes",'Invoice Log'!$AI229,"")</f>
        <v/>
      </c>
      <c r="J251" s="127" t="str">
        <f>IF($M251="Yes",'Invoice Log'!$AO229,"")</f>
        <v/>
      </c>
      <c r="K251" s="129" t="str">
        <f>IF($M251="Yes",'Invoice Log'!$AP229,"")</f>
        <v/>
      </c>
      <c r="L251" s="65" t="str">
        <f>IF($M251="Yes",ROUND('Invoice Log'!$AP229*Settings!$J$8,2),"")</f>
        <v/>
      </c>
      <c r="M251" s="125" t="str">
        <f>IF(OR('Invoice Log'!$L229="",'Invoice Log'!$AS229=""),"",IF(AND('Invoice Log'!$AR229&lt;=$B$3,'Invoice Log'!$AR229&gt;=Settings!$J$10,'Invoice Log'!$J229&lt;&gt;"Cancelled"),"Yes","No"))</f>
        <v/>
      </c>
    </row>
    <row r="252" ht="15.75" customHeight="1">
      <c r="A252" s="125" t="str">
        <f>IF('Invoice Log'!$AS230="","",TEXT('Invoice Log'!$AS230,"YYYY-MM"))</f>
        <v/>
      </c>
      <c r="B252" s="45" t="str">
        <f>IF('Invoice Log'!$AR230="","",'Invoice Log'!$AR230)</f>
        <v/>
      </c>
      <c r="C252" s="63" t="str">
        <f>IF('Invoice Log'!$D230="","",'Invoice Log'!$D230)</f>
        <v/>
      </c>
      <c r="D252" s="126" t="str">
        <f>IF('Invoice Log'!$L230="","",'Invoice Log'!$E230)</f>
        <v/>
      </c>
      <c r="E252" s="126" t="str">
        <f>IF('Invoice Log'!$L230="","",'Invoice Log'!$J230)</f>
        <v/>
      </c>
      <c r="F252" s="125" t="str">
        <f>IF('Invoice Log'!$L230="","",'Invoice Log'!$Q230)</f>
        <v/>
      </c>
      <c r="G252" s="65" t="str">
        <f>IF($M252="Yes",'Invoice Log'!$L230,"")</f>
        <v/>
      </c>
      <c r="H252" s="65" t="str">
        <f>IF($M252="Yes",'Invoice Log'!$S230,"")</f>
        <v/>
      </c>
      <c r="I252" s="65" t="str">
        <f>IF($M252="Yes",'Invoice Log'!$AI230,"")</f>
        <v/>
      </c>
      <c r="J252" s="127" t="str">
        <f>IF($M252="Yes",'Invoice Log'!$AO230,"")</f>
        <v/>
      </c>
      <c r="K252" s="129" t="str">
        <f>IF($M252="Yes",'Invoice Log'!$AP230,"")</f>
        <v/>
      </c>
      <c r="L252" s="65" t="str">
        <f>IF($M252="Yes",ROUND('Invoice Log'!$AP230*Settings!$J$8,2),"")</f>
        <v/>
      </c>
      <c r="M252" s="125" t="str">
        <f>IF(OR('Invoice Log'!$L230="",'Invoice Log'!$AS230=""),"",IF(AND('Invoice Log'!$AR230&lt;=$B$3,'Invoice Log'!$AR230&gt;=Settings!$J$10,'Invoice Log'!$J230&lt;&gt;"Cancelled"),"Yes","No"))</f>
        <v/>
      </c>
    </row>
    <row r="253" ht="15.75" customHeight="1">
      <c r="A253" s="125" t="str">
        <f>IF('Invoice Log'!$AS231="","",TEXT('Invoice Log'!$AS231,"YYYY-MM"))</f>
        <v/>
      </c>
      <c r="B253" s="45" t="str">
        <f>IF('Invoice Log'!$AR231="","",'Invoice Log'!$AR231)</f>
        <v/>
      </c>
      <c r="C253" s="63" t="str">
        <f>IF('Invoice Log'!$D231="","",'Invoice Log'!$D231)</f>
        <v/>
      </c>
      <c r="D253" s="126" t="str">
        <f>IF('Invoice Log'!$L231="","",'Invoice Log'!$E231)</f>
        <v/>
      </c>
      <c r="E253" s="126" t="str">
        <f>IF('Invoice Log'!$L231="","",'Invoice Log'!$J231)</f>
        <v/>
      </c>
      <c r="F253" s="125" t="str">
        <f>IF('Invoice Log'!$L231="","",'Invoice Log'!$Q231)</f>
        <v/>
      </c>
      <c r="G253" s="65" t="str">
        <f>IF($M253="Yes",'Invoice Log'!$L231,"")</f>
        <v/>
      </c>
      <c r="H253" s="65" t="str">
        <f>IF($M253="Yes",'Invoice Log'!$S231,"")</f>
        <v/>
      </c>
      <c r="I253" s="65" t="str">
        <f>IF($M253="Yes",'Invoice Log'!$AI231,"")</f>
        <v/>
      </c>
      <c r="J253" s="127" t="str">
        <f>IF($M253="Yes",'Invoice Log'!$AO231,"")</f>
        <v/>
      </c>
      <c r="K253" s="129" t="str">
        <f>IF($M253="Yes",'Invoice Log'!$AP231,"")</f>
        <v/>
      </c>
      <c r="L253" s="65" t="str">
        <f>IF($M253="Yes",ROUND('Invoice Log'!$AP231*Settings!$J$8,2),"")</f>
        <v/>
      </c>
      <c r="M253" s="125" t="str">
        <f>IF(OR('Invoice Log'!$L231="",'Invoice Log'!$AS231=""),"",IF(AND('Invoice Log'!$AR231&lt;=$B$3,'Invoice Log'!$AR231&gt;=Settings!$J$10,'Invoice Log'!$J231&lt;&gt;"Cancelled"),"Yes","No"))</f>
        <v/>
      </c>
    </row>
    <row r="254" ht="15.75" customHeight="1">
      <c r="A254" s="125" t="str">
        <f>IF('Invoice Log'!$AS232="","",TEXT('Invoice Log'!$AS232,"YYYY-MM"))</f>
        <v/>
      </c>
      <c r="B254" s="45" t="str">
        <f>IF('Invoice Log'!$AR232="","",'Invoice Log'!$AR232)</f>
        <v/>
      </c>
      <c r="C254" s="63" t="str">
        <f>IF('Invoice Log'!$D232="","",'Invoice Log'!$D232)</f>
        <v/>
      </c>
      <c r="D254" s="126" t="str">
        <f>IF('Invoice Log'!$L232="","",'Invoice Log'!$E232)</f>
        <v/>
      </c>
      <c r="E254" s="126" t="str">
        <f>IF('Invoice Log'!$L232="","",'Invoice Log'!$J232)</f>
        <v/>
      </c>
      <c r="F254" s="125" t="str">
        <f>IF('Invoice Log'!$L232="","",'Invoice Log'!$Q232)</f>
        <v/>
      </c>
      <c r="G254" s="65" t="str">
        <f>IF($M254="Yes",'Invoice Log'!$L232,"")</f>
        <v/>
      </c>
      <c r="H254" s="65" t="str">
        <f>IF($M254="Yes",'Invoice Log'!$S232,"")</f>
        <v/>
      </c>
      <c r="I254" s="65" t="str">
        <f>IF($M254="Yes",'Invoice Log'!$AI232,"")</f>
        <v/>
      </c>
      <c r="J254" s="127" t="str">
        <f>IF($M254="Yes",'Invoice Log'!$AO232,"")</f>
        <v/>
      </c>
      <c r="K254" s="129" t="str">
        <f>IF($M254="Yes",'Invoice Log'!$AP232,"")</f>
        <v/>
      </c>
      <c r="L254" s="65" t="str">
        <f>IF($M254="Yes",ROUND('Invoice Log'!$AP232*Settings!$J$8,2),"")</f>
        <v/>
      </c>
      <c r="M254" s="125" t="str">
        <f>IF(OR('Invoice Log'!$L232="",'Invoice Log'!$AS232=""),"",IF(AND('Invoice Log'!$AR232&lt;=$B$3,'Invoice Log'!$AR232&gt;=Settings!$J$10,'Invoice Log'!$J232&lt;&gt;"Cancelled"),"Yes","No"))</f>
        <v/>
      </c>
    </row>
    <row r="255" ht="15.75" customHeight="1">
      <c r="A255" s="125" t="str">
        <f>IF('Invoice Log'!$AS233="","",TEXT('Invoice Log'!$AS233,"YYYY-MM"))</f>
        <v/>
      </c>
      <c r="B255" s="45" t="str">
        <f>IF('Invoice Log'!$AR233="","",'Invoice Log'!$AR233)</f>
        <v/>
      </c>
      <c r="C255" s="63" t="str">
        <f>IF('Invoice Log'!$D233="","",'Invoice Log'!$D233)</f>
        <v/>
      </c>
      <c r="D255" s="126" t="str">
        <f>IF('Invoice Log'!$L233="","",'Invoice Log'!$E233)</f>
        <v/>
      </c>
      <c r="E255" s="126" t="str">
        <f>IF('Invoice Log'!$L233="","",'Invoice Log'!$J233)</f>
        <v/>
      </c>
      <c r="F255" s="125" t="str">
        <f>IF('Invoice Log'!$L233="","",'Invoice Log'!$Q233)</f>
        <v/>
      </c>
      <c r="G255" s="65" t="str">
        <f>IF($M255="Yes",'Invoice Log'!$L233,"")</f>
        <v/>
      </c>
      <c r="H255" s="65" t="str">
        <f>IF($M255="Yes",'Invoice Log'!$S233,"")</f>
        <v/>
      </c>
      <c r="I255" s="65" t="str">
        <f>IF($M255="Yes",'Invoice Log'!$AI233,"")</f>
        <v/>
      </c>
      <c r="J255" s="127" t="str">
        <f>IF($M255="Yes",'Invoice Log'!$AO233,"")</f>
        <v/>
      </c>
      <c r="K255" s="129" t="str">
        <f>IF($M255="Yes",'Invoice Log'!$AP233,"")</f>
        <v/>
      </c>
      <c r="L255" s="65" t="str">
        <f>IF($M255="Yes",ROUND('Invoice Log'!$AP233*Settings!$J$8,2),"")</f>
        <v/>
      </c>
      <c r="M255" s="125" t="str">
        <f>IF(OR('Invoice Log'!$L233="",'Invoice Log'!$AS233=""),"",IF(AND('Invoice Log'!$AR233&lt;=$B$3,'Invoice Log'!$AR233&gt;=Settings!$J$10,'Invoice Log'!$J233&lt;&gt;"Cancelled"),"Yes","No"))</f>
        <v/>
      </c>
    </row>
    <row r="256" ht="15.75" customHeight="1">
      <c r="A256" s="125" t="str">
        <f>IF('Invoice Log'!$AS234="","",TEXT('Invoice Log'!$AS234,"YYYY-MM"))</f>
        <v/>
      </c>
      <c r="B256" s="45" t="str">
        <f>IF('Invoice Log'!$AR234="","",'Invoice Log'!$AR234)</f>
        <v/>
      </c>
      <c r="C256" s="63" t="str">
        <f>IF('Invoice Log'!$D234="","",'Invoice Log'!$D234)</f>
        <v/>
      </c>
      <c r="D256" s="126" t="str">
        <f>IF('Invoice Log'!$L234="","",'Invoice Log'!$E234)</f>
        <v/>
      </c>
      <c r="E256" s="126" t="str">
        <f>IF('Invoice Log'!$L234="","",'Invoice Log'!$J234)</f>
        <v/>
      </c>
      <c r="F256" s="125" t="str">
        <f>IF('Invoice Log'!$L234="","",'Invoice Log'!$Q234)</f>
        <v/>
      </c>
      <c r="G256" s="65" t="str">
        <f>IF($M256="Yes",'Invoice Log'!$L234,"")</f>
        <v/>
      </c>
      <c r="H256" s="65" t="str">
        <f>IF($M256="Yes",'Invoice Log'!$S234,"")</f>
        <v/>
      </c>
      <c r="I256" s="65" t="str">
        <f>IF($M256="Yes",'Invoice Log'!$AI234,"")</f>
        <v/>
      </c>
      <c r="J256" s="127" t="str">
        <f>IF($M256="Yes",'Invoice Log'!$AO234,"")</f>
        <v/>
      </c>
      <c r="K256" s="129" t="str">
        <f>IF($M256="Yes",'Invoice Log'!$AP234,"")</f>
        <v/>
      </c>
      <c r="L256" s="65" t="str">
        <f>IF($M256="Yes",ROUND('Invoice Log'!$AP234*Settings!$J$8,2),"")</f>
        <v/>
      </c>
      <c r="M256" s="125" t="str">
        <f>IF(OR('Invoice Log'!$L234="",'Invoice Log'!$AS234=""),"",IF(AND('Invoice Log'!$AR234&lt;=$B$3,'Invoice Log'!$AR234&gt;=Settings!$J$10,'Invoice Log'!$J234&lt;&gt;"Cancelled"),"Yes","No"))</f>
        <v/>
      </c>
    </row>
    <row r="257" ht="15.75" customHeight="1">
      <c r="A257" s="125" t="str">
        <f>IF('Invoice Log'!$AS235="","",TEXT('Invoice Log'!$AS235,"YYYY-MM"))</f>
        <v/>
      </c>
      <c r="B257" s="45" t="str">
        <f>IF('Invoice Log'!$AR235="","",'Invoice Log'!$AR235)</f>
        <v/>
      </c>
      <c r="C257" s="63" t="str">
        <f>IF('Invoice Log'!$D235="","",'Invoice Log'!$D235)</f>
        <v/>
      </c>
      <c r="D257" s="126" t="str">
        <f>IF('Invoice Log'!$L235="","",'Invoice Log'!$E235)</f>
        <v/>
      </c>
      <c r="E257" s="126" t="str">
        <f>IF('Invoice Log'!$L235="","",'Invoice Log'!$J235)</f>
        <v/>
      </c>
      <c r="F257" s="125" t="str">
        <f>IF('Invoice Log'!$L235="","",'Invoice Log'!$Q235)</f>
        <v/>
      </c>
      <c r="G257" s="65" t="str">
        <f>IF($M257="Yes",'Invoice Log'!$L235,"")</f>
        <v/>
      </c>
      <c r="H257" s="65" t="str">
        <f>IF($M257="Yes",'Invoice Log'!$S235,"")</f>
        <v/>
      </c>
      <c r="I257" s="65" t="str">
        <f>IF($M257="Yes",'Invoice Log'!$AI235,"")</f>
        <v/>
      </c>
      <c r="J257" s="127" t="str">
        <f>IF($M257="Yes",'Invoice Log'!$AO235,"")</f>
        <v/>
      </c>
      <c r="K257" s="129" t="str">
        <f>IF($M257="Yes",'Invoice Log'!$AP235,"")</f>
        <v/>
      </c>
      <c r="L257" s="65" t="str">
        <f>IF($M257="Yes",ROUND('Invoice Log'!$AP235*Settings!$J$8,2),"")</f>
        <v/>
      </c>
      <c r="M257" s="125" t="str">
        <f>IF(OR('Invoice Log'!$L235="",'Invoice Log'!$AS235=""),"",IF(AND('Invoice Log'!$AR235&lt;=$B$3,'Invoice Log'!$AR235&gt;=Settings!$J$10,'Invoice Log'!$J235&lt;&gt;"Cancelled"),"Yes","No"))</f>
        <v/>
      </c>
    </row>
    <row r="258" ht="15.75" customHeight="1">
      <c r="A258" s="125" t="str">
        <f>IF('Invoice Log'!$AS236="","",TEXT('Invoice Log'!$AS236,"YYYY-MM"))</f>
        <v/>
      </c>
      <c r="B258" s="45" t="str">
        <f>IF('Invoice Log'!$AR236="","",'Invoice Log'!$AR236)</f>
        <v/>
      </c>
      <c r="C258" s="63" t="str">
        <f>IF('Invoice Log'!$D236="","",'Invoice Log'!$D236)</f>
        <v/>
      </c>
      <c r="D258" s="126" t="str">
        <f>IF('Invoice Log'!$L236="","",'Invoice Log'!$E236)</f>
        <v/>
      </c>
      <c r="E258" s="126" t="str">
        <f>IF('Invoice Log'!$L236="","",'Invoice Log'!$J236)</f>
        <v/>
      </c>
      <c r="F258" s="125" t="str">
        <f>IF('Invoice Log'!$L236="","",'Invoice Log'!$Q236)</f>
        <v/>
      </c>
      <c r="G258" s="65" t="str">
        <f>IF($M258="Yes",'Invoice Log'!$L236,"")</f>
        <v/>
      </c>
      <c r="H258" s="65" t="str">
        <f>IF($M258="Yes",'Invoice Log'!$S236,"")</f>
        <v/>
      </c>
      <c r="I258" s="65" t="str">
        <f>IF($M258="Yes",'Invoice Log'!$AI236,"")</f>
        <v/>
      </c>
      <c r="J258" s="127" t="str">
        <f>IF($M258="Yes",'Invoice Log'!$AO236,"")</f>
        <v/>
      </c>
      <c r="K258" s="129" t="str">
        <f>IF($M258="Yes",'Invoice Log'!$AP236,"")</f>
        <v/>
      </c>
      <c r="L258" s="65" t="str">
        <f>IF($M258="Yes",ROUND('Invoice Log'!$AP236*Settings!$J$8,2),"")</f>
        <v/>
      </c>
      <c r="M258" s="125" t="str">
        <f>IF(OR('Invoice Log'!$L236="",'Invoice Log'!$AS236=""),"",IF(AND('Invoice Log'!$AR236&lt;=$B$3,'Invoice Log'!$AR236&gt;=Settings!$J$10,'Invoice Log'!$J236&lt;&gt;"Cancelled"),"Yes","No"))</f>
        <v/>
      </c>
    </row>
    <row r="259" ht="15.75" customHeight="1">
      <c r="A259" s="125" t="str">
        <f>IF('Invoice Log'!$AS237="","",TEXT('Invoice Log'!$AS237,"YYYY-MM"))</f>
        <v/>
      </c>
      <c r="B259" s="45" t="str">
        <f>IF('Invoice Log'!$AR237="","",'Invoice Log'!$AR237)</f>
        <v/>
      </c>
      <c r="C259" s="63" t="str">
        <f>IF('Invoice Log'!$D237="","",'Invoice Log'!$D237)</f>
        <v/>
      </c>
      <c r="D259" s="126" t="str">
        <f>IF('Invoice Log'!$L237="","",'Invoice Log'!$E237)</f>
        <v/>
      </c>
      <c r="E259" s="126" t="str">
        <f>IF('Invoice Log'!$L237="","",'Invoice Log'!$J237)</f>
        <v/>
      </c>
      <c r="F259" s="125" t="str">
        <f>IF('Invoice Log'!$L237="","",'Invoice Log'!$Q237)</f>
        <v/>
      </c>
      <c r="G259" s="65" t="str">
        <f>IF($M259="Yes",'Invoice Log'!$L237,"")</f>
        <v/>
      </c>
      <c r="H259" s="65" t="str">
        <f>IF($M259="Yes",'Invoice Log'!$S237,"")</f>
        <v/>
      </c>
      <c r="I259" s="65" t="str">
        <f>IF($M259="Yes",'Invoice Log'!$AI237,"")</f>
        <v/>
      </c>
      <c r="J259" s="127" t="str">
        <f>IF($M259="Yes",'Invoice Log'!$AO237,"")</f>
        <v/>
      </c>
      <c r="K259" s="129" t="str">
        <f>IF($M259="Yes",'Invoice Log'!$AP237,"")</f>
        <v/>
      </c>
      <c r="L259" s="65" t="str">
        <f>IF($M259="Yes",ROUND('Invoice Log'!$AP237*Settings!$J$8,2),"")</f>
        <v/>
      </c>
      <c r="M259" s="125" t="str">
        <f>IF(OR('Invoice Log'!$L237="",'Invoice Log'!$AS237=""),"",IF(AND('Invoice Log'!$AR237&lt;=$B$3,'Invoice Log'!$AR237&gt;=Settings!$J$10,'Invoice Log'!$J237&lt;&gt;"Cancelled"),"Yes","No"))</f>
        <v/>
      </c>
    </row>
    <row r="260" ht="15.75" customHeight="1">
      <c r="A260" s="125" t="str">
        <f>IF('Invoice Log'!$AS238="","",TEXT('Invoice Log'!$AS238,"YYYY-MM"))</f>
        <v/>
      </c>
      <c r="B260" s="45" t="str">
        <f>IF('Invoice Log'!$AR238="","",'Invoice Log'!$AR238)</f>
        <v/>
      </c>
      <c r="C260" s="63" t="str">
        <f>IF('Invoice Log'!$D238="","",'Invoice Log'!$D238)</f>
        <v/>
      </c>
      <c r="D260" s="126" t="str">
        <f>IF('Invoice Log'!$L238="","",'Invoice Log'!$E238)</f>
        <v/>
      </c>
      <c r="E260" s="126" t="str">
        <f>IF('Invoice Log'!$L238="","",'Invoice Log'!$J238)</f>
        <v/>
      </c>
      <c r="F260" s="125" t="str">
        <f>IF('Invoice Log'!$L238="","",'Invoice Log'!$Q238)</f>
        <v/>
      </c>
      <c r="G260" s="65" t="str">
        <f>IF($M260="Yes",'Invoice Log'!$L238,"")</f>
        <v/>
      </c>
      <c r="H260" s="65" t="str">
        <f>IF($M260="Yes",'Invoice Log'!$S238,"")</f>
        <v/>
      </c>
      <c r="I260" s="65" t="str">
        <f>IF($M260="Yes",'Invoice Log'!$AI238,"")</f>
        <v/>
      </c>
      <c r="J260" s="127" t="str">
        <f>IF($M260="Yes",'Invoice Log'!$AO238,"")</f>
        <v/>
      </c>
      <c r="K260" s="129" t="str">
        <f>IF($M260="Yes",'Invoice Log'!$AP238,"")</f>
        <v/>
      </c>
      <c r="L260" s="65" t="str">
        <f>IF($M260="Yes",ROUND('Invoice Log'!$AP238*Settings!$J$8,2),"")</f>
        <v/>
      </c>
      <c r="M260" s="125" t="str">
        <f>IF(OR('Invoice Log'!$L238="",'Invoice Log'!$AS238=""),"",IF(AND('Invoice Log'!$AR238&lt;=$B$3,'Invoice Log'!$AR238&gt;=Settings!$J$10,'Invoice Log'!$J238&lt;&gt;"Cancelled"),"Yes","No"))</f>
        <v/>
      </c>
    </row>
    <row r="261" ht="15.75" customHeight="1">
      <c r="A261" s="125" t="str">
        <f>IF('Invoice Log'!$AS239="","",TEXT('Invoice Log'!$AS239,"YYYY-MM"))</f>
        <v/>
      </c>
      <c r="B261" s="45" t="str">
        <f>IF('Invoice Log'!$AR239="","",'Invoice Log'!$AR239)</f>
        <v/>
      </c>
      <c r="C261" s="63" t="str">
        <f>IF('Invoice Log'!$D239="","",'Invoice Log'!$D239)</f>
        <v/>
      </c>
      <c r="D261" s="126" t="str">
        <f>IF('Invoice Log'!$L239="","",'Invoice Log'!$E239)</f>
        <v/>
      </c>
      <c r="E261" s="126" t="str">
        <f>IF('Invoice Log'!$L239="","",'Invoice Log'!$J239)</f>
        <v/>
      </c>
      <c r="F261" s="125" t="str">
        <f>IF('Invoice Log'!$L239="","",'Invoice Log'!$Q239)</f>
        <v/>
      </c>
      <c r="G261" s="65" t="str">
        <f>IF($M261="Yes",'Invoice Log'!$L239,"")</f>
        <v/>
      </c>
      <c r="H261" s="65" t="str">
        <f>IF($M261="Yes",'Invoice Log'!$S239,"")</f>
        <v/>
      </c>
      <c r="I261" s="65" t="str">
        <f>IF($M261="Yes",'Invoice Log'!$AI239,"")</f>
        <v/>
      </c>
      <c r="J261" s="127" t="str">
        <f>IF($M261="Yes",'Invoice Log'!$AO239,"")</f>
        <v/>
      </c>
      <c r="K261" s="129" t="str">
        <f>IF($M261="Yes",'Invoice Log'!$AP239,"")</f>
        <v/>
      </c>
      <c r="L261" s="65" t="str">
        <f>IF($M261="Yes",ROUND('Invoice Log'!$AP239*Settings!$J$8,2),"")</f>
        <v/>
      </c>
      <c r="M261" s="125" t="str">
        <f>IF(OR('Invoice Log'!$L239="",'Invoice Log'!$AS239=""),"",IF(AND('Invoice Log'!$AR239&lt;=$B$3,'Invoice Log'!$AR239&gt;=Settings!$J$10,'Invoice Log'!$J239&lt;&gt;"Cancelled"),"Yes","No"))</f>
        <v/>
      </c>
    </row>
    <row r="262" ht="15.75" customHeight="1">
      <c r="A262" s="125" t="str">
        <f>IF('Invoice Log'!$AS240="","",TEXT('Invoice Log'!$AS240,"YYYY-MM"))</f>
        <v/>
      </c>
      <c r="B262" s="45" t="str">
        <f>IF('Invoice Log'!$AR240="","",'Invoice Log'!$AR240)</f>
        <v/>
      </c>
      <c r="C262" s="63" t="str">
        <f>IF('Invoice Log'!$D240="","",'Invoice Log'!$D240)</f>
        <v/>
      </c>
      <c r="D262" s="126" t="str">
        <f>IF('Invoice Log'!$L240="","",'Invoice Log'!$E240)</f>
        <v/>
      </c>
      <c r="E262" s="126" t="str">
        <f>IF('Invoice Log'!$L240="","",'Invoice Log'!$J240)</f>
        <v/>
      </c>
      <c r="F262" s="125" t="str">
        <f>IF('Invoice Log'!$L240="","",'Invoice Log'!$Q240)</f>
        <v/>
      </c>
      <c r="G262" s="65" t="str">
        <f>IF($M262="Yes",'Invoice Log'!$L240,"")</f>
        <v/>
      </c>
      <c r="H262" s="65" t="str">
        <f>IF($M262="Yes",'Invoice Log'!$S240,"")</f>
        <v/>
      </c>
      <c r="I262" s="65" t="str">
        <f>IF($M262="Yes",'Invoice Log'!$AI240,"")</f>
        <v/>
      </c>
      <c r="J262" s="127" t="str">
        <f>IF($M262="Yes",'Invoice Log'!$AO240,"")</f>
        <v/>
      </c>
      <c r="K262" s="129" t="str">
        <f>IF($M262="Yes",'Invoice Log'!$AP240,"")</f>
        <v/>
      </c>
      <c r="L262" s="65" t="str">
        <f>IF($M262="Yes",ROUND('Invoice Log'!$AP240*Settings!$J$8,2),"")</f>
        <v/>
      </c>
      <c r="M262" s="125" t="str">
        <f>IF(OR('Invoice Log'!$L240="",'Invoice Log'!$AS240=""),"",IF(AND('Invoice Log'!$AR240&lt;=$B$3,'Invoice Log'!$AR240&gt;=Settings!$J$10,'Invoice Log'!$J240&lt;&gt;"Cancelled"),"Yes","No"))</f>
        <v/>
      </c>
    </row>
    <row r="263" ht="15.75" customHeight="1">
      <c r="A263" s="125" t="str">
        <f>IF('Invoice Log'!$AS241="","",TEXT('Invoice Log'!$AS241,"YYYY-MM"))</f>
        <v/>
      </c>
      <c r="B263" s="45" t="str">
        <f>IF('Invoice Log'!$AR241="","",'Invoice Log'!$AR241)</f>
        <v/>
      </c>
      <c r="C263" s="63" t="str">
        <f>IF('Invoice Log'!$D241="","",'Invoice Log'!$D241)</f>
        <v/>
      </c>
      <c r="D263" s="126" t="str">
        <f>IF('Invoice Log'!$L241="","",'Invoice Log'!$E241)</f>
        <v/>
      </c>
      <c r="E263" s="126" t="str">
        <f>IF('Invoice Log'!$L241="","",'Invoice Log'!$J241)</f>
        <v/>
      </c>
      <c r="F263" s="125" t="str">
        <f>IF('Invoice Log'!$L241="","",'Invoice Log'!$Q241)</f>
        <v/>
      </c>
      <c r="G263" s="65" t="str">
        <f>IF($M263="Yes",'Invoice Log'!$L241,"")</f>
        <v/>
      </c>
      <c r="H263" s="65" t="str">
        <f>IF($M263="Yes",'Invoice Log'!$S241,"")</f>
        <v/>
      </c>
      <c r="I263" s="65" t="str">
        <f>IF($M263="Yes",'Invoice Log'!$AI241,"")</f>
        <v/>
      </c>
      <c r="J263" s="127" t="str">
        <f>IF($M263="Yes",'Invoice Log'!$AO241,"")</f>
        <v/>
      </c>
      <c r="K263" s="129" t="str">
        <f>IF($M263="Yes",'Invoice Log'!$AP241,"")</f>
        <v/>
      </c>
      <c r="L263" s="65" t="str">
        <f>IF($M263="Yes",ROUND('Invoice Log'!$AP241*Settings!$J$8,2),"")</f>
        <v/>
      </c>
      <c r="M263" s="125" t="str">
        <f>IF(OR('Invoice Log'!$L241="",'Invoice Log'!$AS241=""),"",IF(AND('Invoice Log'!$AR241&lt;=$B$3,'Invoice Log'!$AR241&gt;=Settings!$J$10,'Invoice Log'!$J241&lt;&gt;"Cancelled"),"Yes","No"))</f>
        <v/>
      </c>
    </row>
    <row r="264" ht="15.75" customHeight="1">
      <c r="A264" s="125" t="str">
        <f>IF('Invoice Log'!$AS242="","",TEXT('Invoice Log'!$AS242,"YYYY-MM"))</f>
        <v/>
      </c>
      <c r="B264" s="45" t="str">
        <f>IF('Invoice Log'!$AR242="","",'Invoice Log'!$AR242)</f>
        <v/>
      </c>
      <c r="C264" s="63" t="str">
        <f>IF('Invoice Log'!$D242="","",'Invoice Log'!$D242)</f>
        <v/>
      </c>
      <c r="D264" s="126" t="str">
        <f>IF('Invoice Log'!$L242="","",'Invoice Log'!$E242)</f>
        <v/>
      </c>
      <c r="E264" s="126" t="str">
        <f>IF('Invoice Log'!$L242="","",'Invoice Log'!$J242)</f>
        <v/>
      </c>
      <c r="F264" s="125" t="str">
        <f>IF('Invoice Log'!$L242="","",'Invoice Log'!$Q242)</f>
        <v/>
      </c>
      <c r="G264" s="65" t="str">
        <f>IF($M264="Yes",'Invoice Log'!$L242,"")</f>
        <v/>
      </c>
      <c r="H264" s="65" t="str">
        <f>IF($M264="Yes",'Invoice Log'!$S242,"")</f>
        <v/>
      </c>
      <c r="I264" s="65" t="str">
        <f>IF($M264="Yes",'Invoice Log'!$AI242,"")</f>
        <v/>
      </c>
      <c r="J264" s="127" t="str">
        <f>IF($M264="Yes",'Invoice Log'!$AO242,"")</f>
        <v/>
      </c>
      <c r="K264" s="129" t="str">
        <f>IF($M264="Yes",'Invoice Log'!$AP242,"")</f>
        <v/>
      </c>
      <c r="L264" s="65" t="str">
        <f>IF($M264="Yes",ROUND('Invoice Log'!$AP242*Settings!$J$8,2),"")</f>
        <v/>
      </c>
      <c r="M264" s="125" t="str">
        <f>IF(OR('Invoice Log'!$L242="",'Invoice Log'!$AS242=""),"",IF(AND('Invoice Log'!$AR242&lt;=$B$3,'Invoice Log'!$AR242&gt;=Settings!$J$10,'Invoice Log'!$J242&lt;&gt;"Cancelled"),"Yes","No"))</f>
        <v/>
      </c>
    </row>
    <row r="265" ht="15.75" customHeight="1">
      <c r="A265" s="125" t="str">
        <f>IF('Invoice Log'!$AS243="","",TEXT('Invoice Log'!$AS243,"YYYY-MM"))</f>
        <v/>
      </c>
      <c r="B265" s="45" t="str">
        <f>IF('Invoice Log'!$AR243="","",'Invoice Log'!$AR243)</f>
        <v/>
      </c>
      <c r="C265" s="63" t="str">
        <f>IF('Invoice Log'!$D243="","",'Invoice Log'!$D243)</f>
        <v/>
      </c>
      <c r="D265" s="126" t="str">
        <f>IF('Invoice Log'!$L243="","",'Invoice Log'!$E243)</f>
        <v/>
      </c>
      <c r="E265" s="126" t="str">
        <f>IF('Invoice Log'!$L243="","",'Invoice Log'!$J243)</f>
        <v/>
      </c>
      <c r="F265" s="125" t="str">
        <f>IF('Invoice Log'!$L243="","",'Invoice Log'!$Q243)</f>
        <v/>
      </c>
      <c r="G265" s="65" t="str">
        <f>IF($M265="Yes",'Invoice Log'!$L243,"")</f>
        <v/>
      </c>
      <c r="H265" s="65" t="str">
        <f>IF($M265="Yes",'Invoice Log'!$S243,"")</f>
        <v/>
      </c>
      <c r="I265" s="65" t="str">
        <f>IF($M265="Yes",'Invoice Log'!$AI243,"")</f>
        <v/>
      </c>
      <c r="J265" s="127" t="str">
        <f>IF($M265="Yes",'Invoice Log'!$AO243,"")</f>
        <v/>
      </c>
      <c r="K265" s="129" t="str">
        <f>IF($M265="Yes",'Invoice Log'!$AP243,"")</f>
        <v/>
      </c>
      <c r="L265" s="65" t="str">
        <f>IF($M265="Yes",ROUND('Invoice Log'!$AP243*Settings!$J$8,2),"")</f>
        <v/>
      </c>
      <c r="M265" s="125" t="str">
        <f>IF(OR('Invoice Log'!$L243="",'Invoice Log'!$AS243=""),"",IF(AND('Invoice Log'!$AR243&lt;=$B$3,'Invoice Log'!$AR243&gt;=Settings!$J$10,'Invoice Log'!$J243&lt;&gt;"Cancelled"),"Yes","No"))</f>
        <v/>
      </c>
    </row>
    <row r="266" ht="15.75" customHeight="1">
      <c r="A266" s="125" t="str">
        <f>IF('Invoice Log'!$AS244="","",TEXT('Invoice Log'!$AS244,"YYYY-MM"))</f>
        <v/>
      </c>
      <c r="B266" s="45" t="str">
        <f>IF('Invoice Log'!$AR244="","",'Invoice Log'!$AR244)</f>
        <v/>
      </c>
      <c r="C266" s="63" t="str">
        <f>IF('Invoice Log'!$D244="","",'Invoice Log'!$D244)</f>
        <v/>
      </c>
      <c r="D266" s="126" t="str">
        <f>IF('Invoice Log'!$L244="","",'Invoice Log'!$E244)</f>
        <v/>
      </c>
      <c r="E266" s="126" t="str">
        <f>IF('Invoice Log'!$L244="","",'Invoice Log'!$J244)</f>
        <v/>
      </c>
      <c r="F266" s="125" t="str">
        <f>IF('Invoice Log'!$L244="","",'Invoice Log'!$Q244)</f>
        <v/>
      </c>
      <c r="G266" s="65" t="str">
        <f>IF($M266="Yes",'Invoice Log'!$L244,"")</f>
        <v/>
      </c>
      <c r="H266" s="65" t="str">
        <f>IF($M266="Yes",'Invoice Log'!$S244,"")</f>
        <v/>
      </c>
      <c r="I266" s="65" t="str">
        <f>IF($M266="Yes",'Invoice Log'!$AI244,"")</f>
        <v/>
      </c>
      <c r="J266" s="127" t="str">
        <f>IF($M266="Yes",'Invoice Log'!$AO244,"")</f>
        <v/>
      </c>
      <c r="K266" s="129" t="str">
        <f>IF($M266="Yes",'Invoice Log'!$AP244,"")</f>
        <v/>
      </c>
      <c r="L266" s="65" t="str">
        <f>IF($M266="Yes",ROUND('Invoice Log'!$AP244*Settings!$J$8,2),"")</f>
        <v/>
      </c>
      <c r="M266" s="125" t="str">
        <f>IF(OR('Invoice Log'!$L244="",'Invoice Log'!$AS244=""),"",IF(AND('Invoice Log'!$AR244&lt;=$B$3,'Invoice Log'!$AR244&gt;=Settings!$J$10,'Invoice Log'!$J244&lt;&gt;"Cancelled"),"Yes","No"))</f>
        <v/>
      </c>
    </row>
    <row r="267" ht="15.75" customHeight="1">
      <c r="A267" s="125" t="str">
        <f>IF('Invoice Log'!$AS245="","",TEXT('Invoice Log'!$AS245,"YYYY-MM"))</f>
        <v/>
      </c>
      <c r="B267" s="45" t="str">
        <f>IF('Invoice Log'!$AR245="","",'Invoice Log'!$AR245)</f>
        <v/>
      </c>
      <c r="C267" s="63" t="str">
        <f>IF('Invoice Log'!$D245="","",'Invoice Log'!$D245)</f>
        <v/>
      </c>
      <c r="D267" s="126" t="str">
        <f>IF('Invoice Log'!$L245="","",'Invoice Log'!$E245)</f>
        <v/>
      </c>
      <c r="E267" s="126" t="str">
        <f>IF('Invoice Log'!$L245="","",'Invoice Log'!$J245)</f>
        <v/>
      </c>
      <c r="F267" s="125" t="str">
        <f>IF('Invoice Log'!$L245="","",'Invoice Log'!$Q245)</f>
        <v/>
      </c>
      <c r="G267" s="65" t="str">
        <f>IF($M267="Yes",'Invoice Log'!$L245,"")</f>
        <v/>
      </c>
      <c r="H267" s="65" t="str">
        <f>IF($M267="Yes",'Invoice Log'!$S245,"")</f>
        <v/>
      </c>
      <c r="I267" s="65" t="str">
        <f>IF($M267="Yes",'Invoice Log'!$AI245,"")</f>
        <v/>
      </c>
      <c r="J267" s="127" t="str">
        <f>IF($M267="Yes",'Invoice Log'!$AO245,"")</f>
        <v/>
      </c>
      <c r="K267" s="129" t="str">
        <f>IF($M267="Yes",'Invoice Log'!$AP245,"")</f>
        <v/>
      </c>
      <c r="L267" s="65" t="str">
        <f>IF($M267="Yes",ROUND('Invoice Log'!$AP245*Settings!$J$8,2),"")</f>
        <v/>
      </c>
      <c r="M267" s="125" t="str">
        <f>IF(OR('Invoice Log'!$L245="",'Invoice Log'!$AS245=""),"",IF(AND('Invoice Log'!$AR245&lt;=$B$3,'Invoice Log'!$AR245&gt;=Settings!$J$10,'Invoice Log'!$J245&lt;&gt;"Cancelled"),"Yes","No"))</f>
        <v/>
      </c>
    </row>
    <row r="268" ht="15.75" customHeight="1">
      <c r="A268" s="125" t="str">
        <f>IF('Invoice Log'!$AS246="","",TEXT('Invoice Log'!$AS246,"YYYY-MM"))</f>
        <v/>
      </c>
      <c r="B268" s="45" t="str">
        <f>IF('Invoice Log'!$AR246="","",'Invoice Log'!$AR246)</f>
        <v/>
      </c>
      <c r="C268" s="63" t="str">
        <f>IF('Invoice Log'!$D246="","",'Invoice Log'!$D246)</f>
        <v/>
      </c>
      <c r="D268" s="126" t="str">
        <f>IF('Invoice Log'!$L246="","",'Invoice Log'!$E246)</f>
        <v/>
      </c>
      <c r="E268" s="126" t="str">
        <f>IF('Invoice Log'!$L246="","",'Invoice Log'!$J246)</f>
        <v/>
      </c>
      <c r="F268" s="125" t="str">
        <f>IF('Invoice Log'!$L246="","",'Invoice Log'!$Q246)</f>
        <v/>
      </c>
      <c r="G268" s="65" t="str">
        <f>IF($M268="Yes",'Invoice Log'!$L246,"")</f>
        <v/>
      </c>
      <c r="H268" s="65" t="str">
        <f>IF($M268="Yes",'Invoice Log'!$S246,"")</f>
        <v/>
      </c>
      <c r="I268" s="65" t="str">
        <f>IF($M268="Yes",'Invoice Log'!$AI246,"")</f>
        <v/>
      </c>
      <c r="J268" s="127" t="str">
        <f>IF($M268="Yes",'Invoice Log'!$AO246,"")</f>
        <v/>
      </c>
      <c r="K268" s="129" t="str">
        <f>IF($M268="Yes",'Invoice Log'!$AP246,"")</f>
        <v/>
      </c>
      <c r="L268" s="65" t="str">
        <f>IF($M268="Yes",ROUND('Invoice Log'!$AP246*Settings!$J$8,2),"")</f>
        <v/>
      </c>
      <c r="M268" s="125" t="str">
        <f>IF(OR('Invoice Log'!$L246="",'Invoice Log'!$AS246=""),"",IF(AND('Invoice Log'!$AR246&lt;=$B$3,'Invoice Log'!$AR246&gt;=Settings!$J$10,'Invoice Log'!$J246&lt;&gt;"Cancelled"),"Yes","No"))</f>
        <v/>
      </c>
    </row>
    <row r="269" ht="15.75" customHeight="1">
      <c r="A269" s="125" t="str">
        <f>IF('Invoice Log'!$AS247="","",TEXT('Invoice Log'!$AS247,"YYYY-MM"))</f>
        <v/>
      </c>
      <c r="B269" s="45" t="str">
        <f>IF('Invoice Log'!$AR247="","",'Invoice Log'!$AR247)</f>
        <v/>
      </c>
      <c r="C269" s="63" t="str">
        <f>IF('Invoice Log'!$D247="","",'Invoice Log'!$D247)</f>
        <v/>
      </c>
      <c r="D269" s="126" t="str">
        <f>IF('Invoice Log'!$L247="","",'Invoice Log'!$E247)</f>
        <v/>
      </c>
      <c r="E269" s="126" t="str">
        <f>IF('Invoice Log'!$L247="","",'Invoice Log'!$J247)</f>
        <v/>
      </c>
      <c r="F269" s="125" t="str">
        <f>IF('Invoice Log'!$L247="","",'Invoice Log'!$Q247)</f>
        <v/>
      </c>
      <c r="G269" s="65" t="str">
        <f>IF($M269="Yes",'Invoice Log'!$L247,"")</f>
        <v/>
      </c>
      <c r="H269" s="65" t="str">
        <f>IF($M269="Yes",'Invoice Log'!$S247,"")</f>
        <v/>
      </c>
      <c r="I269" s="65" t="str">
        <f>IF($M269="Yes",'Invoice Log'!$AI247,"")</f>
        <v/>
      </c>
      <c r="J269" s="127" t="str">
        <f>IF($M269="Yes",'Invoice Log'!$AO247,"")</f>
        <v/>
      </c>
      <c r="K269" s="129" t="str">
        <f>IF($M269="Yes",'Invoice Log'!$AP247,"")</f>
        <v/>
      </c>
      <c r="L269" s="65" t="str">
        <f>IF($M269="Yes",ROUND('Invoice Log'!$AP247*Settings!$J$8,2),"")</f>
        <v/>
      </c>
      <c r="M269" s="125" t="str">
        <f>IF(OR('Invoice Log'!$L247="",'Invoice Log'!$AS247=""),"",IF(AND('Invoice Log'!$AR247&lt;=$B$3,'Invoice Log'!$AR247&gt;=Settings!$J$10,'Invoice Log'!$J247&lt;&gt;"Cancelled"),"Yes","No"))</f>
        <v/>
      </c>
    </row>
    <row r="270" ht="15.75" customHeight="1">
      <c r="A270" s="125" t="str">
        <f>IF('Invoice Log'!$AS248="","",TEXT('Invoice Log'!$AS248,"YYYY-MM"))</f>
        <v/>
      </c>
      <c r="B270" s="45" t="str">
        <f>IF('Invoice Log'!$AR248="","",'Invoice Log'!$AR248)</f>
        <v/>
      </c>
      <c r="C270" s="63" t="str">
        <f>IF('Invoice Log'!$D248="","",'Invoice Log'!$D248)</f>
        <v/>
      </c>
      <c r="D270" s="126" t="str">
        <f>IF('Invoice Log'!$L248="","",'Invoice Log'!$E248)</f>
        <v/>
      </c>
      <c r="E270" s="126" t="str">
        <f>IF('Invoice Log'!$L248="","",'Invoice Log'!$J248)</f>
        <v/>
      </c>
      <c r="F270" s="125" t="str">
        <f>IF('Invoice Log'!$L248="","",'Invoice Log'!$Q248)</f>
        <v/>
      </c>
      <c r="G270" s="65" t="str">
        <f>IF($M270="Yes",'Invoice Log'!$L248,"")</f>
        <v/>
      </c>
      <c r="H270" s="65" t="str">
        <f>IF($M270="Yes",'Invoice Log'!$S248,"")</f>
        <v/>
      </c>
      <c r="I270" s="65" t="str">
        <f>IF($M270="Yes",'Invoice Log'!$AI248,"")</f>
        <v/>
      </c>
      <c r="J270" s="127" t="str">
        <f>IF($M270="Yes",'Invoice Log'!$AO248,"")</f>
        <v/>
      </c>
      <c r="K270" s="129" t="str">
        <f>IF($M270="Yes",'Invoice Log'!$AP248,"")</f>
        <v/>
      </c>
      <c r="L270" s="65" t="str">
        <f>IF($M270="Yes",ROUND('Invoice Log'!$AP248*Settings!$J$8,2),"")</f>
        <v/>
      </c>
      <c r="M270" s="125" t="str">
        <f>IF(OR('Invoice Log'!$L248="",'Invoice Log'!$AS248=""),"",IF(AND('Invoice Log'!$AR248&lt;=$B$3,'Invoice Log'!$AR248&gt;=Settings!$J$10,'Invoice Log'!$J248&lt;&gt;"Cancelled"),"Yes","No"))</f>
        <v/>
      </c>
    </row>
    <row r="271" ht="15.75" customHeight="1">
      <c r="A271" s="125" t="str">
        <f>IF('Invoice Log'!$AS249="","",TEXT('Invoice Log'!$AS249,"YYYY-MM"))</f>
        <v/>
      </c>
      <c r="B271" s="45" t="str">
        <f>IF('Invoice Log'!$AR249="","",'Invoice Log'!$AR249)</f>
        <v/>
      </c>
      <c r="C271" s="63" t="str">
        <f>IF('Invoice Log'!$D249="","",'Invoice Log'!$D249)</f>
        <v/>
      </c>
      <c r="D271" s="126" t="str">
        <f>IF('Invoice Log'!$L249="","",'Invoice Log'!$E249)</f>
        <v/>
      </c>
      <c r="E271" s="126" t="str">
        <f>IF('Invoice Log'!$L249="","",'Invoice Log'!$J249)</f>
        <v/>
      </c>
      <c r="F271" s="125" t="str">
        <f>IF('Invoice Log'!$L249="","",'Invoice Log'!$Q249)</f>
        <v/>
      </c>
      <c r="G271" s="65" t="str">
        <f>IF($M271="Yes",'Invoice Log'!$L249,"")</f>
        <v/>
      </c>
      <c r="H271" s="65" t="str">
        <f>IF($M271="Yes",'Invoice Log'!$S249,"")</f>
        <v/>
      </c>
      <c r="I271" s="65" t="str">
        <f>IF($M271="Yes",'Invoice Log'!$AI249,"")</f>
        <v/>
      </c>
      <c r="J271" s="127" t="str">
        <f>IF($M271="Yes",'Invoice Log'!$AO249,"")</f>
        <v/>
      </c>
      <c r="K271" s="129" t="str">
        <f>IF($M271="Yes",'Invoice Log'!$AP249,"")</f>
        <v/>
      </c>
      <c r="L271" s="65" t="str">
        <f>IF($M271="Yes",ROUND('Invoice Log'!$AP249*Settings!$J$8,2),"")</f>
        <v/>
      </c>
      <c r="M271" s="125" t="str">
        <f>IF(OR('Invoice Log'!$L249="",'Invoice Log'!$AS249=""),"",IF(AND('Invoice Log'!$AR249&lt;=$B$3,'Invoice Log'!$AR249&gt;=Settings!$J$10,'Invoice Log'!$J249&lt;&gt;"Cancelled"),"Yes","No"))</f>
        <v/>
      </c>
    </row>
    <row r="272" ht="15.75" customHeight="1">
      <c r="A272" s="125" t="str">
        <f>IF('Invoice Log'!$AS250="","",TEXT('Invoice Log'!$AS250,"YYYY-MM"))</f>
        <v/>
      </c>
      <c r="B272" s="45" t="str">
        <f>IF('Invoice Log'!$AR250="","",'Invoice Log'!$AR250)</f>
        <v/>
      </c>
      <c r="C272" s="63" t="str">
        <f>IF('Invoice Log'!$D250="","",'Invoice Log'!$D250)</f>
        <v/>
      </c>
      <c r="D272" s="126" t="str">
        <f>IF('Invoice Log'!$L250="","",'Invoice Log'!$E250)</f>
        <v/>
      </c>
      <c r="E272" s="126" t="str">
        <f>IF('Invoice Log'!$L250="","",'Invoice Log'!$J250)</f>
        <v/>
      </c>
      <c r="F272" s="125" t="str">
        <f>IF('Invoice Log'!$L250="","",'Invoice Log'!$Q250)</f>
        <v/>
      </c>
      <c r="G272" s="65" t="str">
        <f>IF($M272="Yes",'Invoice Log'!$L250,"")</f>
        <v/>
      </c>
      <c r="H272" s="65" t="str">
        <f>IF($M272="Yes",'Invoice Log'!$S250,"")</f>
        <v/>
      </c>
      <c r="I272" s="65" t="str">
        <f>IF($M272="Yes",'Invoice Log'!$AI250,"")</f>
        <v/>
      </c>
      <c r="J272" s="127" t="str">
        <f>IF($M272="Yes",'Invoice Log'!$AO250,"")</f>
        <v/>
      </c>
      <c r="K272" s="129" t="str">
        <f>IF($M272="Yes",'Invoice Log'!$AP250,"")</f>
        <v/>
      </c>
      <c r="L272" s="65" t="str">
        <f>IF($M272="Yes",ROUND('Invoice Log'!$AP250*Settings!$J$8,2),"")</f>
        <v/>
      </c>
      <c r="M272" s="125" t="str">
        <f>IF(OR('Invoice Log'!$L250="",'Invoice Log'!$AS250=""),"",IF(AND('Invoice Log'!$AR250&lt;=$B$3,'Invoice Log'!$AR250&gt;=Settings!$J$10,'Invoice Log'!$J250&lt;&gt;"Cancelled"),"Yes","No"))</f>
        <v/>
      </c>
    </row>
    <row r="273" ht="15.75" customHeight="1">
      <c r="A273" s="125" t="str">
        <f>IF('Invoice Log'!$AS251="","",TEXT('Invoice Log'!$AS251,"YYYY-MM"))</f>
        <v/>
      </c>
      <c r="B273" s="45" t="str">
        <f>IF('Invoice Log'!$AR251="","",'Invoice Log'!$AR251)</f>
        <v/>
      </c>
      <c r="C273" s="63" t="str">
        <f>IF('Invoice Log'!$D251="","",'Invoice Log'!$D251)</f>
        <v/>
      </c>
      <c r="D273" s="126" t="str">
        <f>IF('Invoice Log'!$L251="","",'Invoice Log'!$E251)</f>
        <v/>
      </c>
      <c r="E273" s="126" t="str">
        <f>IF('Invoice Log'!$L251="","",'Invoice Log'!$J251)</f>
        <v/>
      </c>
      <c r="F273" s="125" t="str">
        <f>IF('Invoice Log'!$L251="","",'Invoice Log'!$Q251)</f>
        <v/>
      </c>
      <c r="G273" s="65" t="str">
        <f>IF($M273="Yes",'Invoice Log'!$L251,"")</f>
        <v/>
      </c>
      <c r="H273" s="65" t="str">
        <f>IF($M273="Yes",'Invoice Log'!$S251,"")</f>
        <v/>
      </c>
      <c r="I273" s="65" t="str">
        <f>IF($M273="Yes",'Invoice Log'!$AI251,"")</f>
        <v/>
      </c>
      <c r="J273" s="127" t="str">
        <f>IF($M273="Yes",'Invoice Log'!$AO251,"")</f>
        <v/>
      </c>
      <c r="K273" s="129" t="str">
        <f>IF($M273="Yes",'Invoice Log'!$AP251,"")</f>
        <v/>
      </c>
      <c r="L273" s="65" t="str">
        <f>IF($M273="Yes",ROUND('Invoice Log'!$AP251*Settings!$J$8,2),"")</f>
        <v/>
      </c>
      <c r="M273" s="125" t="str">
        <f>IF(OR('Invoice Log'!$L251="",'Invoice Log'!$AS251=""),"",IF(AND('Invoice Log'!$AR251&lt;=$B$3,'Invoice Log'!$AR251&gt;=Settings!$J$10,'Invoice Log'!$J251&lt;&gt;"Cancelled"),"Yes","No"))</f>
        <v/>
      </c>
    </row>
    <row r="274" ht="15.75" customHeight="1">
      <c r="A274" s="125" t="str">
        <f>IF('Invoice Log'!$AS252="","",TEXT('Invoice Log'!$AS252,"YYYY-MM"))</f>
        <v/>
      </c>
      <c r="B274" s="45" t="str">
        <f>IF('Invoice Log'!$AR252="","",'Invoice Log'!$AR252)</f>
        <v/>
      </c>
      <c r="C274" s="63" t="str">
        <f>IF('Invoice Log'!$D252="","",'Invoice Log'!$D252)</f>
        <v/>
      </c>
      <c r="D274" s="126" t="str">
        <f>IF('Invoice Log'!$L252="","",'Invoice Log'!$E252)</f>
        <v/>
      </c>
      <c r="E274" s="126" t="str">
        <f>IF('Invoice Log'!$L252="","",'Invoice Log'!$J252)</f>
        <v/>
      </c>
      <c r="F274" s="125" t="str">
        <f>IF('Invoice Log'!$L252="","",'Invoice Log'!$Q252)</f>
        <v/>
      </c>
      <c r="G274" s="65" t="str">
        <f>IF($M274="Yes",'Invoice Log'!$L252,"")</f>
        <v/>
      </c>
      <c r="H274" s="65" t="str">
        <f>IF($M274="Yes",'Invoice Log'!$S252,"")</f>
        <v/>
      </c>
      <c r="I274" s="65" t="str">
        <f>IF($M274="Yes",'Invoice Log'!$AI252,"")</f>
        <v/>
      </c>
      <c r="J274" s="127" t="str">
        <f>IF($M274="Yes",'Invoice Log'!$AO252,"")</f>
        <v/>
      </c>
      <c r="K274" s="129" t="str">
        <f>IF($M274="Yes",'Invoice Log'!$AP252,"")</f>
        <v/>
      </c>
      <c r="L274" s="65" t="str">
        <f>IF($M274="Yes",ROUND('Invoice Log'!$AP252*Settings!$J$8,2),"")</f>
        <v/>
      </c>
      <c r="M274" s="125" t="str">
        <f>IF(OR('Invoice Log'!$L252="",'Invoice Log'!$AS252=""),"",IF(AND('Invoice Log'!$AR252&lt;=$B$3,'Invoice Log'!$AR252&gt;=Settings!$J$10,'Invoice Log'!$J252&lt;&gt;"Cancelled"),"Yes","No"))</f>
        <v/>
      </c>
    </row>
    <row r="275" ht="15.75" customHeight="1">
      <c r="A275" s="125" t="str">
        <f>IF('Invoice Log'!$AS253="","",TEXT('Invoice Log'!$AS253,"YYYY-MM"))</f>
        <v/>
      </c>
      <c r="B275" s="45" t="str">
        <f>IF('Invoice Log'!$AR253="","",'Invoice Log'!$AR253)</f>
        <v/>
      </c>
      <c r="C275" s="63" t="str">
        <f>IF('Invoice Log'!$D253="","",'Invoice Log'!$D253)</f>
        <v/>
      </c>
      <c r="D275" s="126" t="str">
        <f>IF('Invoice Log'!$L253="","",'Invoice Log'!$E253)</f>
        <v/>
      </c>
      <c r="E275" s="126" t="str">
        <f>IF('Invoice Log'!$L253="","",'Invoice Log'!$J253)</f>
        <v/>
      </c>
      <c r="F275" s="125" t="str">
        <f>IF('Invoice Log'!$L253="","",'Invoice Log'!$Q253)</f>
        <v/>
      </c>
      <c r="G275" s="65" t="str">
        <f>IF($M275="Yes",'Invoice Log'!$L253,"")</f>
        <v/>
      </c>
      <c r="H275" s="65" t="str">
        <f>IF($M275="Yes",'Invoice Log'!$S253,"")</f>
        <v/>
      </c>
      <c r="I275" s="65" t="str">
        <f>IF($M275="Yes",'Invoice Log'!$AI253,"")</f>
        <v/>
      </c>
      <c r="J275" s="127" t="str">
        <f>IF($M275="Yes",'Invoice Log'!$AO253,"")</f>
        <v/>
      </c>
      <c r="K275" s="129" t="str">
        <f>IF($M275="Yes",'Invoice Log'!$AP253,"")</f>
        <v/>
      </c>
      <c r="L275" s="65" t="str">
        <f>IF($M275="Yes",ROUND('Invoice Log'!$AP253*Settings!$J$8,2),"")</f>
        <v/>
      </c>
      <c r="M275" s="125" t="str">
        <f>IF(OR('Invoice Log'!$L253="",'Invoice Log'!$AS253=""),"",IF(AND('Invoice Log'!$AR253&lt;=$B$3,'Invoice Log'!$AR253&gt;=Settings!$J$10,'Invoice Log'!$J253&lt;&gt;"Cancelled"),"Yes","No"))</f>
        <v/>
      </c>
    </row>
    <row r="276" ht="15.75" customHeight="1">
      <c r="A276" s="125" t="str">
        <f>IF('Invoice Log'!$AS254="","",TEXT('Invoice Log'!$AS254,"YYYY-MM"))</f>
        <v/>
      </c>
      <c r="B276" s="45" t="str">
        <f>IF('Invoice Log'!$AR254="","",'Invoice Log'!$AR254)</f>
        <v/>
      </c>
      <c r="C276" s="63" t="str">
        <f>IF('Invoice Log'!$D254="","",'Invoice Log'!$D254)</f>
        <v/>
      </c>
      <c r="D276" s="126" t="str">
        <f>IF('Invoice Log'!$L254="","",'Invoice Log'!$E254)</f>
        <v/>
      </c>
      <c r="E276" s="126" t="str">
        <f>IF('Invoice Log'!$L254="","",'Invoice Log'!$J254)</f>
        <v/>
      </c>
      <c r="F276" s="125" t="str">
        <f>IF('Invoice Log'!$L254="","",'Invoice Log'!$Q254)</f>
        <v/>
      </c>
      <c r="G276" s="65" t="str">
        <f>IF($M276="Yes",'Invoice Log'!$L254,"")</f>
        <v/>
      </c>
      <c r="H276" s="65" t="str">
        <f>IF($M276="Yes",'Invoice Log'!$S254,"")</f>
        <v/>
      </c>
      <c r="I276" s="65" t="str">
        <f>IF($M276="Yes",'Invoice Log'!$AI254,"")</f>
        <v/>
      </c>
      <c r="J276" s="127" t="str">
        <f>IF($M276="Yes",'Invoice Log'!$AO254,"")</f>
        <v/>
      </c>
      <c r="K276" s="129" t="str">
        <f>IF($M276="Yes",'Invoice Log'!$AP254,"")</f>
        <v/>
      </c>
      <c r="L276" s="65" t="str">
        <f>IF($M276="Yes",ROUND('Invoice Log'!$AP254*Settings!$J$8,2),"")</f>
        <v/>
      </c>
      <c r="M276" s="125" t="str">
        <f>IF(OR('Invoice Log'!$L254="",'Invoice Log'!$AS254=""),"",IF(AND('Invoice Log'!$AR254&lt;=$B$3,'Invoice Log'!$AR254&gt;=Settings!$J$10,'Invoice Log'!$J254&lt;&gt;"Cancelled"),"Yes","No"))</f>
        <v/>
      </c>
    </row>
    <row r="277" ht="15.75" customHeight="1">
      <c r="A277" s="125" t="str">
        <f>IF('Invoice Log'!$AS255="","",TEXT('Invoice Log'!$AS255,"YYYY-MM"))</f>
        <v/>
      </c>
      <c r="B277" s="45" t="str">
        <f>IF('Invoice Log'!$AR255="","",'Invoice Log'!$AR255)</f>
        <v/>
      </c>
      <c r="C277" s="63" t="str">
        <f>IF('Invoice Log'!$D255="","",'Invoice Log'!$D255)</f>
        <v/>
      </c>
      <c r="D277" s="126" t="str">
        <f>IF('Invoice Log'!$L255="","",'Invoice Log'!$E255)</f>
        <v/>
      </c>
      <c r="E277" s="126" t="str">
        <f>IF('Invoice Log'!$L255="","",'Invoice Log'!$J255)</f>
        <v/>
      </c>
      <c r="F277" s="125" t="str">
        <f>IF('Invoice Log'!$L255="","",'Invoice Log'!$Q255)</f>
        <v/>
      </c>
      <c r="G277" s="65" t="str">
        <f>IF($M277="Yes",'Invoice Log'!$L255,"")</f>
        <v/>
      </c>
      <c r="H277" s="65" t="str">
        <f>IF($M277="Yes",'Invoice Log'!$S255,"")</f>
        <v/>
      </c>
      <c r="I277" s="65" t="str">
        <f>IF($M277="Yes",'Invoice Log'!$AI255,"")</f>
        <v/>
      </c>
      <c r="J277" s="127" t="str">
        <f>IF($M277="Yes",'Invoice Log'!$AO255,"")</f>
        <v/>
      </c>
      <c r="K277" s="129" t="str">
        <f>IF($M277="Yes",'Invoice Log'!$AP255,"")</f>
        <v/>
      </c>
      <c r="L277" s="65" t="str">
        <f>IF($M277="Yes",ROUND('Invoice Log'!$AP255*Settings!$J$8,2),"")</f>
        <v/>
      </c>
      <c r="M277" s="125" t="str">
        <f>IF(OR('Invoice Log'!$L255="",'Invoice Log'!$AS255=""),"",IF(AND('Invoice Log'!$AR255&lt;=$B$3,'Invoice Log'!$AR255&gt;=Settings!$J$10,'Invoice Log'!$J255&lt;&gt;"Cancelled"),"Yes","No"))</f>
        <v/>
      </c>
    </row>
    <row r="278" ht="15.75" customHeight="1">
      <c r="A278" s="125" t="str">
        <f>IF('Invoice Log'!$AS256="","",TEXT('Invoice Log'!$AS256,"YYYY-MM"))</f>
        <v/>
      </c>
      <c r="B278" s="45" t="str">
        <f>IF('Invoice Log'!$AR256="","",'Invoice Log'!$AR256)</f>
        <v/>
      </c>
      <c r="C278" s="63" t="str">
        <f>IF('Invoice Log'!$D256="","",'Invoice Log'!$D256)</f>
        <v/>
      </c>
      <c r="D278" s="126" t="str">
        <f>IF('Invoice Log'!$L256="","",'Invoice Log'!$E256)</f>
        <v/>
      </c>
      <c r="E278" s="126" t="str">
        <f>IF('Invoice Log'!$L256="","",'Invoice Log'!$J256)</f>
        <v/>
      </c>
      <c r="F278" s="125" t="str">
        <f>IF('Invoice Log'!$L256="","",'Invoice Log'!$Q256)</f>
        <v/>
      </c>
      <c r="G278" s="65" t="str">
        <f>IF($M278="Yes",'Invoice Log'!$L256,"")</f>
        <v/>
      </c>
      <c r="H278" s="65" t="str">
        <f>IF($M278="Yes",'Invoice Log'!$S256,"")</f>
        <v/>
      </c>
      <c r="I278" s="65" t="str">
        <f>IF($M278="Yes",'Invoice Log'!$AI256,"")</f>
        <v/>
      </c>
      <c r="J278" s="127" t="str">
        <f>IF($M278="Yes",'Invoice Log'!$AO256,"")</f>
        <v/>
      </c>
      <c r="K278" s="129" t="str">
        <f>IF($M278="Yes",'Invoice Log'!$AP256,"")</f>
        <v/>
      </c>
      <c r="L278" s="65" t="str">
        <f>IF($M278="Yes",ROUND('Invoice Log'!$AP256*Settings!$J$8,2),"")</f>
        <v/>
      </c>
      <c r="M278" s="125" t="str">
        <f>IF(OR('Invoice Log'!$L256="",'Invoice Log'!$AS256=""),"",IF(AND('Invoice Log'!$AR256&lt;=$B$3,'Invoice Log'!$AR256&gt;=Settings!$J$10,'Invoice Log'!$J256&lt;&gt;"Cancelled"),"Yes","No"))</f>
        <v/>
      </c>
    </row>
    <row r="279" ht="15.75" customHeight="1">
      <c r="A279" s="125" t="str">
        <f>IF('Invoice Log'!$AS257="","",TEXT('Invoice Log'!$AS257,"YYYY-MM"))</f>
        <v/>
      </c>
      <c r="B279" s="45" t="str">
        <f>IF('Invoice Log'!$AR257="","",'Invoice Log'!$AR257)</f>
        <v/>
      </c>
      <c r="C279" s="63" t="str">
        <f>IF('Invoice Log'!$D257="","",'Invoice Log'!$D257)</f>
        <v/>
      </c>
      <c r="D279" s="126" t="str">
        <f>IF('Invoice Log'!$L257="","",'Invoice Log'!$E257)</f>
        <v/>
      </c>
      <c r="E279" s="126" t="str">
        <f>IF('Invoice Log'!$L257="","",'Invoice Log'!$J257)</f>
        <v/>
      </c>
      <c r="F279" s="125" t="str">
        <f>IF('Invoice Log'!$L257="","",'Invoice Log'!$Q257)</f>
        <v/>
      </c>
      <c r="G279" s="65" t="str">
        <f>IF($M279="Yes",'Invoice Log'!$L257,"")</f>
        <v/>
      </c>
      <c r="H279" s="65" t="str">
        <f>IF($M279="Yes",'Invoice Log'!$S257,"")</f>
        <v/>
      </c>
      <c r="I279" s="65" t="str">
        <f>IF($M279="Yes",'Invoice Log'!$AI257,"")</f>
        <v/>
      </c>
      <c r="J279" s="127" t="str">
        <f>IF($M279="Yes",'Invoice Log'!$AO257,"")</f>
        <v/>
      </c>
      <c r="K279" s="129" t="str">
        <f>IF($M279="Yes",'Invoice Log'!$AP257,"")</f>
        <v/>
      </c>
      <c r="L279" s="65" t="str">
        <f>IF($M279="Yes",ROUND('Invoice Log'!$AP257*Settings!$J$8,2),"")</f>
        <v/>
      </c>
      <c r="M279" s="125" t="str">
        <f>IF(OR('Invoice Log'!$L257="",'Invoice Log'!$AS257=""),"",IF(AND('Invoice Log'!$AR257&lt;=$B$3,'Invoice Log'!$AR257&gt;=Settings!$J$10,'Invoice Log'!$J257&lt;&gt;"Cancelled"),"Yes","No"))</f>
        <v/>
      </c>
    </row>
    <row r="280" ht="15.75" customHeight="1">
      <c r="A280" s="125" t="str">
        <f>IF('Invoice Log'!$AS258="","",TEXT('Invoice Log'!$AS258,"YYYY-MM"))</f>
        <v/>
      </c>
      <c r="B280" s="45" t="str">
        <f>IF('Invoice Log'!$AR258="","",'Invoice Log'!$AR258)</f>
        <v/>
      </c>
      <c r="C280" s="63" t="str">
        <f>IF('Invoice Log'!$D258="","",'Invoice Log'!$D258)</f>
        <v/>
      </c>
      <c r="D280" s="126" t="str">
        <f>IF('Invoice Log'!$L258="","",'Invoice Log'!$E258)</f>
        <v/>
      </c>
      <c r="E280" s="126" t="str">
        <f>IF('Invoice Log'!$L258="","",'Invoice Log'!$J258)</f>
        <v/>
      </c>
      <c r="F280" s="125" t="str">
        <f>IF('Invoice Log'!$L258="","",'Invoice Log'!$Q258)</f>
        <v/>
      </c>
      <c r="G280" s="65" t="str">
        <f>IF($M280="Yes",'Invoice Log'!$L258,"")</f>
        <v/>
      </c>
      <c r="H280" s="65" t="str">
        <f>IF($M280="Yes",'Invoice Log'!$S258,"")</f>
        <v/>
      </c>
      <c r="I280" s="65" t="str">
        <f>IF($M280="Yes",'Invoice Log'!$AI258,"")</f>
        <v/>
      </c>
      <c r="J280" s="127" t="str">
        <f>IF($M280="Yes",'Invoice Log'!$AO258,"")</f>
        <v/>
      </c>
      <c r="K280" s="129" t="str">
        <f>IF($M280="Yes",'Invoice Log'!$AP258,"")</f>
        <v/>
      </c>
      <c r="L280" s="65" t="str">
        <f>IF($M280="Yes",ROUND('Invoice Log'!$AP258*Settings!$J$8,2),"")</f>
        <v/>
      </c>
      <c r="M280" s="125" t="str">
        <f>IF(OR('Invoice Log'!$L258="",'Invoice Log'!$AS258=""),"",IF(AND('Invoice Log'!$AR258&lt;=$B$3,'Invoice Log'!$AR258&gt;=Settings!$J$10,'Invoice Log'!$J258&lt;&gt;"Cancelled"),"Yes","No"))</f>
        <v/>
      </c>
    </row>
    <row r="281" ht="15.75" customHeight="1">
      <c r="A281" s="125" t="str">
        <f>IF('Invoice Log'!$AS259="","",TEXT('Invoice Log'!$AS259,"YYYY-MM"))</f>
        <v/>
      </c>
      <c r="B281" s="45" t="str">
        <f>IF('Invoice Log'!$AR259="","",'Invoice Log'!$AR259)</f>
        <v/>
      </c>
      <c r="C281" s="63" t="str">
        <f>IF('Invoice Log'!$D259="","",'Invoice Log'!$D259)</f>
        <v/>
      </c>
      <c r="D281" s="126" t="str">
        <f>IF('Invoice Log'!$L259="","",'Invoice Log'!$E259)</f>
        <v/>
      </c>
      <c r="E281" s="126" t="str">
        <f>IF('Invoice Log'!$L259="","",'Invoice Log'!$J259)</f>
        <v/>
      </c>
      <c r="F281" s="125" t="str">
        <f>IF('Invoice Log'!$L259="","",'Invoice Log'!$Q259)</f>
        <v/>
      </c>
      <c r="G281" s="65" t="str">
        <f>IF($M281="Yes",'Invoice Log'!$L259,"")</f>
        <v/>
      </c>
      <c r="H281" s="65" t="str">
        <f>IF($M281="Yes",'Invoice Log'!$S259,"")</f>
        <v/>
      </c>
      <c r="I281" s="65" t="str">
        <f>IF($M281="Yes",'Invoice Log'!$AI259,"")</f>
        <v/>
      </c>
      <c r="J281" s="127" t="str">
        <f>IF($M281="Yes",'Invoice Log'!$AO259,"")</f>
        <v/>
      </c>
      <c r="K281" s="129" t="str">
        <f>IF($M281="Yes",'Invoice Log'!$AP259,"")</f>
        <v/>
      </c>
      <c r="L281" s="65" t="str">
        <f>IF($M281="Yes",ROUND('Invoice Log'!$AP259*Settings!$J$8,2),"")</f>
        <v/>
      </c>
      <c r="M281" s="125" t="str">
        <f>IF(OR('Invoice Log'!$L259="",'Invoice Log'!$AS259=""),"",IF(AND('Invoice Log'!$AR259&lt;=$B$3,'Invoice Log'!$AR259&gt;=Settings!$J$10,'Invoice Log'!$J259&lt;&gt;"Cancelled"),"Yes","No"))</f>
        <v/>
      </c>
    </row>
    <row r="282" ht="15.75" customHeight="1">
      <c r="A282" s="125" t="str">
        <f>IF('Invoice Log'!$AS260="","",TEXT('Invoice Log'!$AS260,"YYYY-MM"))</f>
        <v/>
      </c>
      <c r="B282" s="45" t="str">
        <f>IF('Invoice Log'!$AR260="","",'Invoice Log'!$AR260)</f>
        <v/>
      </c>
      <c r="C282" s="63" t="str">
        <f>IF('Invoice Log'!$D260="","",'Invoice Log'!$D260)</f>
        <v/>
      </c>
      <c r="D282" s="126" t="str">
        <f>IF('Invoice Log'!$L260="","",'Invoice Log'!$E260)</f>
        <v/>
      </c>
      <c r="E282" s="126" t="str">
        <f>IF('Invoice Log'!$L260="","",'Invoice Log'!$J260)</f>
        <v/>
      </c>
      <c r="F282" s="125" t="str">
        <f>IF('Invoice Log'!$L260="","",'Invoice Log'!$Q260)</f>
        <v/>
      </c>
      <c r="G282" s="65" t="str">
        <f>IF($M282="Yes",'Invoice Log'!$L260,"")</f>
        <v/>
      </c>
      <c r="H282" s="65" t="str">
        <f>IF($M282="Yes",'Invoice Log'!$S260,"")</f>
        <v/>
      </c>
      <c r="I282" s="65" t="str">
        <f>IF($M282="Yes",'Invoice Log'!$AI260,"")</f>
        <v/>
      </c>
      <c r="J282" s="127" t="str">
        <f>IF($M282="Yes",'Invoice Log'!$AO260,"")</f>
        <v/>
      </c>
      <c r="K282" s="129" t="str">
        <f>IF($M282="Yes",'Invoice Log'!$AP260,"")</f>
        <v/>
      </c>
      <c r="L282" s="65" t="str">
        <f>IF($M282="Yes",ROUND('Invoice Log'!$AP260*Settings!$J$8,2),"")</f>
        <v/>
      </c>
      <c r="M282" s="125" t="str">
        <f>IF(OR('Invoice Log'!$L260="",'Invoice Log'!$AS260=""),"",IF(AND('Invoice Log'!$AR260&lt;=$B$3,'Invoice Log'!$AR260&gt;=Settings!$J$10,'Invoice Log'!$J260&lt;&gt;"Cancelled"),"Yes","No"))</f>
        <v/>
      </c>
    </row>
    <row r="283" ht="15.75" customHeight="1">
      <c r="A283" s="125" t="str">
        <f>IF('Invoice Log'!$AS261="","",TEXT('Invoice Log'!$AS261,"YYYY-MM"))</f>
        <v/>
      </c>
      <c r="B283" s="45" t="str">
        <f>IF('Invoice Log'!$AR261="","",'Invoice Log'!$AR261)</f>
        <v/>
      </c>
      <c r="C283" s="63" t="str">
        <f>IF('Invoice Log'!$D261="","",'Invoice Log'!$D261)</f>
        <v/>
      </c>
      <c r="D283" s="126" t="str">
        <f>IF('Invoice Log'!$L261="","",'Invoice Log'!$E261)</f>
        <v/>
      </c>
      <c r="E283" s="126" t="str">
        <f>IF('Invoice Log'!$L261="","",'Invoice Log'!$J261)</f>
        <v/>
      </c>
      <c r="F283" s="125" t="str">
        <f>IF('Invoice Log'!$L261="","",'Invoice Log'!$Q261)</f>
        <v/>
      </c>
      <c r="G283" s="65" t="str">
        <f>IF($M283="Yes",'Invoice Log'!$L261,"")</f>
        <v/>
      </c>
      <c r="H283" s="65" t="str">
        <f>IF($M283="Yes",'Invoice Log'!$S261,"")</f>
        <v/>
      </c>
      <c r="I283" s="65" t="str">
        <f>IF($M283="Yes",'Invoice Log'!$AI261,"")</f>
        <v/>
      </c>
      <c r="J283" s="127" t="str">
        <f>IF($M283="Yes",'Invoice Log'!$AO261,"")</f>
        <v/>
      </c>
      <c r="K283" s="129" t="str">
        <f>IF($M283="Yes",'Invoice Log'!$AP261,"")</f>
        <v/>
      </c>
      <c r="L283" s="65" t="str">
        <f>IF($M283="Yes",ROUND('Invoice Log'!$AP261*Settings!$J$8,2),"")</f>
        <v/>
      </c>
      <c r="M283" s="125" t="str">
        <f>IF(OR('Invoice Log'!$L261="",'Invoice Log'!$AS261=""),"",IF(AND('Invoice Log'!$AR261&lt;=$B$3,'Invoice Log'!$AR261&gt;=Settings!$J$10,'Invoice Log'!$J261&lt;&gt;"Cancelled"),"Yes","No"))</f>
        <v/>
      </c>
    </row>
    <row r="284" ht="15.75" customHeight="1">
      <c r="A284" s="125" t="str">
        <f>IF('Invoice Log'!$AS262="","",TEXT('Invoice Log'!$AS262,"YYYY-MM"))</f>
        <v/>
      </c>
      <c r="B284" s="45" t="str">
        <f>IF('Invoice Log'!$AR262="","",'Invoice Log'!$AR262)</f>
        <v/>
      </c>
      <c r="C284" s="63" t="str">
        <f>IF('Invoice Log'!$D262="","",'Invoice Log'!$D262)</f>
        <v/>
      </c>
      <c r="D284" s="126" t="str">
        <f>IF('Invoice Log'!$L262="","",'Invoice Log'!$E262)</f>
        <v/>
      </c>
      <c r="E284" s="126" t="str">
        <f>IF('Invoice Log'!$L262="","",'Invoice Log'!$J262)</f>
        <v/>
      </c>
      <c r="F284" s="125" t="str">
        <f>IF('Invoice Log'!$L262="","",'Invoice Log'!$Q262)</f>
        <v/>
      </c>
      <c r="G284" s="65" t="str">
        <f>IF($M284="Yes",'Invoice Log'!$L262,"")</f>
        <v/>
      </c>
      <c r="H284" s="65" t="str">
        <f>IF($M284="Yes",'Invoice Log'!$S262,"")</f>
        <v/>
      </c>
      <c r="I284" s="65" t="str">
        <f>IF($M284="Yes",'Invoice Log'!$AI262,"")</f>
        <v/>
      </c>
      <c r="J284" s="127" t="str">
        <f>IF($M284="Yes",'Invoice Log'!$AO262,"")</f>
        <v/>
      </c>
      <c r="K284" s="129" t="str">
        <f>IF($M284="Yes",'Invoice Log'!$AP262,"")</f>
        <v/>
      </c>
      <c r="L284" s="65" t="str">
        <f>IF($M284="Yes",ROUND('Invoice Log'!$AP262*Settings!$J$8,2),"")</f>
        <v/>
      </c>
      <c r="M284" s="125" t="str">
        <f>IF(OR('Invoice Log'!$L262="",'Invoice Log'!$AS262=""),"",IF(AND('Invoice Log'!$AR262&lt;=$B$3,'Invoice Log'!$AR262&gt;=Settings!$J$10,'Invoice Log'!$J262&lt;&gt;"Cancelled"),"Yes","No"))</f>
        <v/>
      </c>
    </row>
    <row r="285" ht="15.75" customHeight="1">
      <c r="A285" s="125" t="str">
        <f>IF('Invoice Log'!$AS263="","",TEXT('Invoice Log'!$AS263,"YYYY-MM"))</f>
        <v/>
      </c>
      <c r="B285" s="45" t="str">
        <f>IF('Invoice Log'!$AR263="","",'Invoice Log'!$AR263)</f>
        <v/>
      </c>
      <c r="C285" s="63" t="str">
        <f>IF('Invoice Log'!$D263="","",'Invoice Log'!$D263)</f>
        <v/>
      </c>
      <c r="D285" s="126" t="str">
        <f>IF('Invoice Log'!$L263="","",'Invoice Log'!$E263)</f>
        <v/>
      </c>
      <c r="E285" s="126" t="str">
        <f>IF('Invoice Log'!$L263="","",'Invoice Log'!$J263)</f>
        <v/>
      </c>
      <c r="F285" s="125" t="str">
        <f>IF('Invoice Log'!$L263="","",'Invoice Log'!$Q263)</f>
        <v/>
      </c>
      <c r="G285" s="65" t="str">
        <f>IF($M285="Yes",'Invoice Log'!$L263,"")</f>
        <v/>
      </c>
      <c r="H285" s="65" t="str">
        <f>IF($M285="Yes",'Invoice Log'!$S263,"")</f>
        <v/>
      </c>
      <c r="I285" s="65" t="str">
        <f>IF($M285="Yes",'Invoice Log'!$AI263,"")</f>
        <v/>
      </c>
      <c r="J285" s="127" t="str">
        <f>IF($M285="Yes",'Invoice Log'!$AO263,"")</f>
        <v/>
      </c>
      <c r="K285" s="129" t="str">
        <f>IF($M285="Yes",'Invoice Log'!$AP263,"")</f>
        <v/>
      </c>
      <c r="L285" s="65" t="str">
        <f>IF($M285="Yes",ROUND('Invoice Log'!$AP263*Settings!$J$8,2),"")</f>
        <v/>
      </c>
      <c r="M285" s="125" t="str">
        <f>IF(OR('Invoice Log'!$L263="",'Invoice Log'!$AS263=""),"",IF(AND('Invoice Log'!$AR263&lt;=$B$3,'Invoice Log'!$AR263&gt;=Settings!$J$10,'Invoice Log'!$J263&lt;&gt;"Cancelled"),"Yes","No"))</f>
        <v/>
      </c>
    </row>
    <row r="286" ht="15.75" customHeight="1">
      <c r="A286" s="125" t="str">
        <f>IF('Invoice Log'!$AS264="","",TEXT('Invoice Log'!$AS264,"YYYY-MM"))</f>
        <v/>
      </c>
      <c r="B286" s="45" t="str">
        <f>IF('Invoice Log'!$AR264="","",'Invoice Log'!$AR264)</f>
        <v/>
      </c>
      <c r="C286" s="63" t="str">
        <f>IF('Invoice Log'!$D264="","",'Invoice Log'!$D264)</f>
        <v/>
      </c>
      <c r="D286" s="126" t="str">
        <f>IF('Invoice Log'!$L264="","",'Invoice Log'!$E264)</f>
        <v/>
      </c>
      <c r="E286" s="126" t="str">
        <f>IF('Invoice Log'!$L264="","",'Invoice Log'!$J264)</f>
        <v/>
      </c>
      <c r="F286" s="125" t="str">
        <f>IF('Invoice Log'!$L264="","",'Invoice Log'!$Q264)</f>
        <v/>
      </c>
      <c r="G286" s="65" t="str">
        <f>IF($M286="Yes",'Invoice Log'!$L264,"")</f>
        <v/>
      </c>
      <c r="H286" s="65" t="str">
        <f>IF($M286="Yes",'Invoice Log'!$S264,"")</f>
        <v/>
      </c>
      <c r="I286" s="65" t="str">
        <f>IF($M286="Yes",'Invoice Log'!$AI264,"")</f>
        <v/>
      </c>
      <c r="J286" s="127" t="str">
        <f>IF($M286="Yes",'Invoice Log'!$AO264,"")</f>
        <v/>
      </c>
      <c r="K286" s="129" t="str">
        <f>IF($M286="Yes",'Invoice Log'!$AP264,"")</f>
        <v/>
      </c>
      <c r="L286" s="65" t="str">
        <f>IF($M286="Yes",ROUND('Invoice Log'!$AP264*Settings!$J$8,2),"")</f>
        <v/>
      </c>
      <c r="M286" s="125" t="str">
        <f>IF(OR('Invoice Log'!$L264="",'Invoice Log'!$AS264=""),"",IF(AND('Invoice Log'!$AR264&lt;=$B$3,'Invoice Log'!$AR264&gt;=Settings!$J$10,'Invoice Log'!$J264&lt;&gt;"Cancelled"),"Yes","No"))</f>
        <v/>
      </c>
    </row>
    <row r="287" ht="15.75" customHeight="1">
      <c r="A287" s="125" t="str">
        <f>IF('Invoice Log'!$AS265="","",TEXT('Invoice Log'!$AS265,"YYYY-MM"))</f>
        <v/>
      </c>
      <c r="B287" s="45" t="str">
        <f>IF('Invoice Log'!$AR265="","",'Invoice Log'!$AR265)</f>
        <v/>
      </c>
      <c r="C287" s="63" t="str">
        <f>IF('Invoice Log'!$D265="","",'Invoice Log'!$D265)</f>
        <v/>
      </c>
      <c r="D287" s="126" t="str">
        <f>IF('Invoice Log'!$L265="","",'Invoice Log'!$E265)</f>
        <v/>
      </c>
      <c r="E287" s="126" t="str">
        <f>IF('Invoice Log'!$L265="","",'Invoice Log'!$J265)</f>
        <v/>
      </c>
      <c r="F287" s="125" t="str">
        <f>IF('Invoice Log'!$L265="","",'Invoice Log'!$Q265)</f>
        <v/>
      </c>
      <c r="G287" s="65" t="str">
        <f>IF($M287="Yes",'Invoice Log'!$L265,"")</f>
        <v/>
      </c>
      <c r="H287" s="65" t="str">
        <f>IF($M287="Yes",'Invoice Log'!$S265,"")</f>
        <v/>
      </c>
      <c r="I287" s="65" t="str">
        <f>IF($M287="Yes",'Invoice Log'!$AI265,"")</f>
        <v/>
      </c>
      <c r="J287" s="127" t="str">
        <f>IF($M287="Yes",'Invoice Log'!$AO265,"")</f>
        <v/>
      </c>
      <c r="K287" s="129" t="str">
        <f>IF($M287="Yes",'Invoice Log'!$AP265,"")</f>
        <v/>
      </c>
      <c r="L287" s="65" t="str">
        <f>IF($M287="Yes",ROUND('Invoice Log'!$AP265*Settings!$J$8,2),"")</f>
        <v/>
      </c>
      <c r="M287" s="125" t="str">
        <f>IF(OR('Invoice Log'!$L265="",'Invoice Log'!$AS265=""),"",IF(AND('Invoice Log'!$AR265&lt;=$B$3,'Invoice Log'!$AR265&gt;=Settings!$J$10,'Invoice Log'!$J265&lt;&gt;"Cancelled"),"Yes","No"))</f>
        <v/>
      </c>
    </row>
    <row r="288" ht="15.75" customHeight="1">
      <c r="A288" s="125" t="str">
        <f>IF('Invoice Log'!$AS266="","",TEXT('Invoice Log'!$AS266,"YYYY-MM"))</f>
        <v/>
      </c>
      <c r="B288" s="45" t="str">
        <f>IF('Invoice Log'!$AR266="","",'Invoice Log'!$AR266)</f>
        <v/>
      </c>
      <c r="C288" s="63" t="str">
        <f>IF('Invoice Log'!$D266="","",'Invoice Log'!$D266)</f>
        <v/>
      </c>
      <c r="D288" s="126" t="str">
        <f>IF('Invoice Log'!$L266="","",'Invoice Log'!$E266)</f>
        <v/>
      </c>
      <c r="E288" s="126" t="str">
        <f>IF('Invoice Log'!$L266="","",'Invoice Log'!$J266)</f>
        <v/>
      </c>
      <c r="F288" s="125" t="str">
        <f>IF('Invoice Log'!$L266="","",'Invoice Log'!$Q266)</f>
        <v/>
      </c>
      <c r="G288" s="65" t="str">
        <f>IF($M288="Yes",'Invoice Log'!$L266,"")</f>
        <v/>
      </c>
      <c r="H288" s="65" t="str">
        <f>IF($M288="Yes",'Invoice Log'!$S266,"")</f>
        <v/>
      </c>
      <c r="I288" s="65" t="str">
        <f>IF($M288="Yes",'Invoice Log'!$AI266,"")</f>
        <v/>
      </c>
      <c r="J288" s="127" t="str">
        <f>IF($M288="Yes",'Invoice Log'!$AO266,"")</f>
        <v/>
      </c>
      <c r="K288" s="129" t="str">
        <f>IF($M288="Yes",'Invoice Log'!$AP266,"")</f>
        <v/>
      </c>
      <c r="L288" s="65" t="str">
        <f>IF($M288="Yes",ROUND('Invoice Log'!$AP266*Settings!$J$8,2),"")</f>
        <v/>
      </c>
      <c r="M288" s="125" t="str">
        <f>IF(OR('Invoice Log'!$L266="",'Invoice Log'!$AS266=""),"",IF(AND('Invoice Log'!$AR266&lt;=$B$3,'Invoice Log'!$AR266&gt;=Settings!$J$10,'Invoice Log'!$J266&lt;&gt;"Cancelled"),"Yes","No"))</f>
        <v/>
      </c>
    </row>
    <row r="289" ht="15.75" customHeight="1">
      <c r="A289" s="125" t="str">
        <f>IF('Invoice Log'!$AS267="","",TEXT('Invoice Log'!$AS267,"YYYY-MM"))</f>
        <v/>
      </c>
      <c r="B289" s="45" t="str">
        <f>IF('Invoice Log'!$AR267="","",'Invoice Log'!$AR267)</f>
        <v/>
      </c>
      <c r="C289" s="63" t="str">
        <f>IF('Invoice Log'!$D267="","",'Invoice Log'!$D267)</f>
        <v/>
      </c>
      <c r="D289" s="126" t="str">
        <f>IF('Invoice Log'!$L267="","",'Invoice Log'!$E267)</f>
        <v/>
      </c>
      <c r="E289" s="126" t="str">
        <f>IF('Invoice Log'!$L267="","",'Invoice Log'!$J267)</f>
        <v/>
      </c>
      <c r="F289" s="125" t="str">
        <f>IF('Invoice Log'!$L267="","",'Invoice Log'!$Q267)</f>
        <v/>
      </c>
      <c r="G289" s="65" t="str">
        <f>IF($M289="Yes",'Invoice Log'!$L267,"")</f>
        <v/>
      </c>
      <c r="H289" s="65" t="str">
        <f>IF($M289="Yes",'Invoice Log'!$S267,"")</f>
        <v/>
      </c>
      <c r="I289" s="65" t="str">
        <f>IF($M289="Yes",'Invoice Log'!$AI267,"")</f>
        <v/>
      </c>
      <c r="J289" s="127" t="str">
        <f>IF($M289="Yes",'Invoice Log'!$AO267,"")</f>
        <v/>
      </c>
      <c r="K289" s="129" t="str">
        <f>IF($M289="Yes",'Invoice Log'!$AP267,"")</f>
        <v/>
      </c>
      <c r="L289" s="65" t="str">
        <f>IF($M289="Yes",ROUND('Invoice Log'!$AP267*Settings!$J$8,2),"")</f>
        <v/>
      </c>
      <c r="M289" s="125" t="str">
        <f>IF(OR('Invoice Log'!$L267="",'Invoice Log'!$AS267=""),"",IF(AND('Invoice Log'!$AR267&lt;=$B$3,'Invoice Log'!$AR267&gt;=Settings!$J$10,'Invoice Log'!$J267&lt;&gt;"Cancelled"),"Yes","No"))</f>
        <v/>
      </c>
    </row>
    <row r="290" ht="15.75" customHeight="1">
      <c r="A290" s="125" t="str">
        <f>IF('Invoice Log'!$AS268="","",TEXT('Invoice Log'!$AS268,"YYYY-MM"))</f>
        <v/>
      </c>
      <c r="B290" s="45" t="str">
        <f>IF('Invoice Log'!$AR268="","",'Invoice Log'!$AR268)</f>
        <v/>
      </c>
      <c r="C290" s="63" t="str">
        <f>IF('Invoice Log'!$D268="","",'Invoice Log'!$D268)</f>
        <v/>
      </c>
      <c r="D290" s="126" t="str">
        <f>IF('Invoice Log'!$L268="","",'Invoice Log'!$E268)</f>
        <v/>
      </c>
      <c r="E290" s="126" t="str">
        <f>IF('Invoice Log'!$L268="","",'Invoice Log'!$J268)</f>
        <v/>
      </c>
      <c r="F290" s="125" t="str">
        <f>IF('Invoice Log'!$L268="","",'Invoice Log'!$Q268)</f>
        <v/>
      </c>
      <c r="G290" s="65" t="str">
        <f>IF($M290="Yes",'Invoice Log'!$L268,"")</f>
        <v/>
      </c>
      <c r="H290" s="65" t="str">
        <f>IF($M290="Yes",'Invoice Log'!$S268,"")</f>
        <v/>
      </c>
      <c r="I290" s="65" t="str">
        <f>IF($M290="Yes",'Invoice Log'!$AI268,"")</f>
        <v/>
      </c>
      <c r="J290" s="127" t="str">
        <f>IF($M290="Yes",'Invoice Log'!$AO268,"")</f>
        <v/>
      </c>
      <c r="K290" s="129" t="str">
        <f>IF($M290="Yes",'Invoice Log'!$AP268,"")</f>
        <v/>
      </c>
      <c r="L290" s="65" t="str">
        <f>IF($M290="Yes",ROUND('Invoice Log'!$AP268*Settings!$J$8,2),"")</f>
        <v/>
      </c>
      <c r="M290" s="125" t="str">
        <f>IF(OR('Invoice Log'!$L268="",'Invoice Log'!$AS268=""),"",IF(AND('Invoice Log'!$AR268&lt;=$B$3,'Invoice Log'!$AR268&gt;=Settings!$J$10,'Invoice Log'!$J268&lt;&gt;"Cancelled"),"Yes","No"))</f>
        <v/>
      </c>
    </row>
    <row r="291" ht="15.75" customHeight="1">
      <c r="A291" s="125" t="str">
        <f>IF('Invoice Log'!$AS269="","",TEXT('Invoice Log'!$AS269,"YYYY-MM"))</f>
        <v/>
      </c>
      <c r="B291" s="45" t="str">
        <f>IF('Invoice Log'!$AR269="","",'Invoice Log'!$AR269)</f>
        <v/>
      </c>
      <c r="C291" s="63" t="str">
        <f>IF('Invoice Log'!$D269="","",'Invoice Log'!$D269)</f>
        <v/>
      </c>
      <c r="D291" s="126" t="str">
        <f>IF('Invoice Log'!$L269="","",'Invoice Log'!$E269)</f>
        <v/>
      </c>
      <c r="E291" s="126" t="str">
        <f>IF('Invoice Log'!$L269="","",'Invoice Log'!$J269)</f>
        <v/>
      </c>
      <c r="F291" s="125" t="str">
        <f>IF('Invoice Log'!$L269="","",'Invoice Log'!$Q269)</f>
        <v/>
      </c>
      <c r="G291" s="65" t="str">
        <f>IF($M291="Yes",'Invoice Log'!$L269,"")</f>
        <v/>
      </c>
      <c r="H291" s="65" t="str">
        <f>IF($M291="Yes",'Invoice Log'!$S269,"")</f>
        <v/>
      </c>
      <c r="I291" s="65" t="str">
        <f>IF($M291="Yes",'Invoice Log'!$AI269,"")</f>
        <v/>
      </c>
      <c r="J291" s="127" t="str">
        <f>IF($M291="Yes",'Invoice Log'!$AO269,"")</f>
        <v/>
      </c>
      <c r="K291" s="129" t="str">
        <f>IF($M291="Yes",'Invoice Log'!$AP269,"")</f>
        <v/>
      </c>
      <c r="L291" s="65" t="str">
        <f>IF($M291="Yes",ROUND('Invoice Log'!$AP269*Settings!$J$8,2),"")</f>
        <v/>
      </c>
      <c r="M291" s="125" t="str">
        <f>IF(OR('Invoice Log'!$L269="",'Invoice Log'!$AS269=""),"",IF(AND('Invoice Log'!$AR269&lt;=$B$3,'Invoice Log'!$AR269&gt;=Settings!$J$10,'Invoice Log'!$J269&lt;&gt;"Cancelled"),"Yes","No"))</f>
        <v/>
      </c>
    </row>
    <row r="292" ht="15.75" customHeight="1">
      <c r="A292" s="125" t="str">
        <f>IF('Invoice Log'!$AS270="","",TEXT('Invoice Log'!$AS270,"YYYY-MM"))</f>
        <v/>
      </c>
      <c r="B292" s="45" t="str">
        <f>IF('Invoice Log'!$AR270="","",'Invoice Log'!$AR270)</f>
        <v/>
      </c>
      <c r="C292" s="63" t="str">
        <f>IF('Invoice Log'!$D270="","",'Invoice Log'!$D270)</f>
        <v/>
      </c>
      <c r="D292" s="126" t="str">
        <f>IF('Invoice Log'!$L270="","",'Invoice Log'!$E270)</f>
        <v/>
      </c>
      <c r="E292" s="126" t="str">
        <f>IF('Invoice Log'!$L270="","",'Invoice Log'!$J270)</f>
        <v/>
      </c>
      <c r="F292" s="125" t="str">
        <f>IF('Invoice Log'!$L270="","",'Invoice Log'!$Q270)</f>
        <v/>
      </c>
      <c r="G292" s="65" t="str">
        <f>IF($M292="Yes",'Invoice Log'!$L270,"")</f>
        <v/>
      </c>
      <c r="H292" s="65" t="str">
        <f>IF($M292="Yes",'Invoice Log'!$S270,"")</f>
        <v/>
      </c>
      <c r="I292" s="65" t="str">
        <f>IF($M292="Yes",'Invoice Log'!$AI270,"")</f>
        <v/>
      </c>
      <c r="J292" s="127" t="str">
        <f>IF($M292="Yes",'Invoice Log'!$AO270,"")</f>
        <v/>
      </c>
      <c r="K292" s="129" t="str">
        <f>IF($M292="Yes",'Invoice Log'!$AP270,"")</f>
        <v/>
      </c>
      <c r="L292" s="65" t="str">
        <f>IF($M292="Yes",ROUND('Invoice Log'!$AP270*Settings!$J$8,2),"")</f>
        <v/>
      </c>
      <c r="M292" s="125" t="str">
        <f>IF(OR('Invoice Log'!$L270="",'Invoice Log'!$AS270=""),"",IF(AND('Invoice Log'!$AR270&lt;=$B$3,'Invoice Log'!$AR270&gt;=Settings!$J$10,'Invoice Log'!$J270&lt;&gt;"Cancelled"),"Yes","No"))</f>
        <v/>
      </c>
    </row>
    <row r="293" ht="15.75" customHeight="1">
      <c r="A293" s="125" t="str">
        <f>IF('Invoice Log'!$AS271="","",TEXT('Invoice Log'!$AS271,"YYYY-MM"))</f>
        <v/>
      </c>
      <c r="B293" s="45" t="str">
        <f>IF('Invoice Log'!$AR271="","",'Invoice Log'!$AR271)</f>
        <v/>
      </c>
      <c r="C293" s="63" t="str">
        <f>IF('Invoice Log'!$D271="","",'Invoice Log'!$D271)</f>
        <v/>
      </c>
      <c r="D293" s="126" t="str">
        <f>IF('Invoice Log'!$L271="","",'Invoice Log'!$E271)</f>
        <v/>
      </c>
      <c r="E293" s="126" t="str">
        <f>IF('Invoice Log'!$L271="","",'Invoice Log'!$J271)</f>
        <v/>
      </c>
      <c r="F293" s="125" t="str">
        <f>IF('Invoice Log'!$L271="","",'Invoice Log'!$Q271)</f>
        <v/>
      </c>
      <c r="G293" s="65" t="str">
        <f>IF($M293="Yes",'Invoice Log'!$L271,"")</f>
        <v/>
      </c>
      <c r="H293" s="65" t="str">
        <f>IF($M293="Yes",'Invoice Log'!$S271,"")</f>
        <v/>
      </c>
      <c r="I293" s="65" t="str">
        <f>IF($M293="Yes",'Invoice Log'!$AI271,"")</f>
        <v/>
      </c>
      <c r="J293" s="127" t="str">
        <f>IF($M293="Yes",'Invoice Log'!$AO271,"")</f>
        <v/>
      </c>
      <c r="K293" s="129" t="str">
        <f>IF($M293="Yes",'Invoice Log'!$AP271,"")</f>
        <v/>
      </c>
      <c r="L293" s="65" t="str">
        <f>IF($M293="Yes",ROUND('Invoice Log'!$AP271*Settings!$J$8,2),"")</f>
        <v/>
      </c>
      <c r="M293" s="125" t="str">
        <f>IF(OR('Invoice Log'!$L271="",'Invoice Log'!$AS271=""),"",IF(AND('Invoice Log'!$AR271&lt;=$B$3,'Invoice Log'!$AR271&gt;=Settings!$J$10,'Invoice Log'!$J271&lt;&gt;"Cancelled"),"Yes","No"))</f>
        <v/>
      </c>
    </row>
    <row r="294" ht="15.75" customHeight="1">
      <c r="A294" s="125" t="str">
        <f>IF('Invoice Log'!$AS272="","",TEXT('Invoice Log'!$AS272,"YYYY-MM"))</f>
        <v/>
      </c>
      <c r="B294" s="45" t="str">
        <f>IF('Invoice Log'!$AR272="","",'Invoice Log'!$AR272)</f>
        <v/>
      </c>
      <c r="C294" s="63" t="str">
        <f>IF('Invoice Log'!$D272="","",'Invoice Log'!$D272)</f>
        <v/>
      </c>
      <c r="D294" s="126" t="str">
        <f>IF('Invoice Log'!$L272="","",'Invoice Log'!$E272)</f>
        <v/>
      </c>
      <c r="E294" s="126" t="str">
        <f>IF('Invoice Log'!$L272="","",'Invoice Log'!$J272)</f>
        <v/>
      </c>
      <c r="F294" s="125" t="str">
        <f>IF('Invoice Log'!$L272="","",'Invoice Log'!$Q272)</f>
        <v/>
      </c>
      <c r="G294" s="65" t="str">
        <f>IF($M294="Yes",'Invoice Log'!$L272,"")</f>
        <v/>
      </c>
      <c r="H294" s="65" t="str">
        <f>IF($M294="Yes",'Invoice Log'!$S272,"")</f>
        <v/>
      </c>
      <c r="I294" s="65" t="str">
        <f>IF($M294="Yes",'Invoice Log'!$AI272,"")</f>
        <v/>
      </c>
      <c r="J294" s="127" t="str">
        <f>IF($M294="Yes",'Invoice Log'!$AO272,"")</f>
        <v/>
      </c>
      <c r="K294" s="129" t="str">
        <f>IF($M294="Yes",'Invoice Log'!$AP272,"")</f>
        <v/>
      </c>
      <c r="L294" s="65" t="str">
        <f>IF($M294="Yes",ROUND('Invoice Log'!$AP272*Settings!$J$8,2),"")</f>
        <v/>
      </c>
      <c r="M294" s="125" t="str">
        <f>IF(OR('Invoice Log'!$L272="",'Invoice Log'!$AS272=""),"",IF(AND('Invoice Log'!$AR272&lt;=$B$3,'Invoice Log'!$AR272&gt;=Settings!$J$10,'Invoice Log'!$J272&lt;&gt;"Cancelled"),"Yes","No"))</f>
        <v/>
      </c>
    </row>
    <row r="295" ht="15.75" customHeight="1">
      <c r="A295" s="125" t="str">
        <f>IF('Invoice Log'!$AS273="","",TEXT('Invoice Log'!$AS273,"YYYY-MM"))</f>
        <v/>
      </c>
      <c r="B295" s="45" t="str">
        <f>IF('Invoice Log'!$AR273="","",'Invoice Log'!$AR273)</f>
        <v/>
      </c>
      <c r="C295" s="63" t="str">
        <f>IF('Invoice Log'!$D273="","",'Invoice Log'!$D273)</f>
        <v/>
      </c>
      <c r="D295" s="126" t="str">
        <f>IF('Invoice Log'!$L273="","",'Invoice Log'!$E273)</f>
        <v/>
      </c>
      <c r="E295" s="126" t="str">
        <f>IF('Invoice Log'!$L273="","",'Invoice Log'!$J273)</f>
        <v/>
      </c>
      <c r="F295" s="125" t="str">
        <f>IF('Invoice Log'!$L273="","",'Invoice Log'!$Q273)</f>
        <v/>
      </c>
      <c r="G295" s="65" t="str">
        <f>IF($M295="Yes",'Invoice Log'!$L273,"")</f>
        <v/>
      </c>
      <c r="H295" s="65" t="str">
        <f>IF($M295="Yes",'Invoice Log'!$S273,"")</f>
        <v/>
      </c>
      <c r="I295" s="65" t="str">
        <f>IF($M295="Yes",'Invoice Log'!$AI273,"")</f>
        <v/>
      </c>
      <c r="J295" s="127" t="str">
        <f>IF($M295="Yes",'Invoice Log'!$AO273,"")</f>
        <v/>
      </c>
      <c r="K295" s="129" t="str">
        <f>IF($M295="Yes",'Invoice Log'!$AP273,"")</f>
        <v/>
      </c>
      <c r="L295" s="65" t="str">
        <f>IF($M295="Yes",ROUND('Invoice Log'!$AP273*Settings!$J$8,2),"")</f>
        <v/>
      </c>
      <c r="M295" s="125" t="str">
        <f>IF(OR('Invoice Log'!$L273="",'Invoice Log'!$AS273=""),"",IF(AND('Invoice Log'!$AR273&lt;=$B$3,'Invoice Log'!$AR273&gt;=Settings!$J$10,'Invoice Log'!$J273&lt;&gt;"Cancelled"),"Yes","No"))</f>
        <v/>
      </c>
    </row>
    <row r="296" ht="15.75" customHeight="1">
      <c r="A296" s="125" t="str">
        <f>IF('Invoice Log'!$AS274="","",TEXT('Invoice Log'!$AS274,"YYYY-MM"))</f>
        <v/>
      </c>
      <c r="B296" s="45" t="str">
        <f>IF('Invoice Log'!$AR274="","",'Invoice Log'!$AR274)</f>
        <v/>
      </c>
      <c r="C296" s="63" t="str">
        <f>IF('Invoice Log'!$D274="","",'Invoice Log'!$D274)</f>
        <v/>
      </c>
      <c r="D296" s="126" t="str">
        <f>IF('Invoice Log'!$L274="","",'Invoice Log'!$E274)</f>
        <v/>
      </c>
      <c r="E296" s="126" t="str">
        <f>IF('Invoice Log'!$L274="","",'Invoice Log'!$J274)</f>
        <v/>
      </c>
      <c r="F296" s="125" t="str">
        <f>IF('Invoice Log'!$L274="","",'Invoice Log'!$Q274)</f>
        <v/>
      </c>
      <c r="G296" s="65" t="str">
        <f>IF($M296="Yes",'Invoice Log'!$L274,"")</f>
        <v/>
      </c>
      <c r="H296" s="65" t="str">
        <f>IF($M296="Yes",'Invoice Log'!$S274,"")</f>
        <v/>
      </c>
      <c r="I296" s="65" t="str">
        <f>IF($M296="Yes",'Invoice Log'!$AI274,"")</f>
        <v/>
      </c>
      <c r="J296" s="127" t="str">
        <f>IF($M296="Yes",'Invoice Log'!$AO274,"")</f>
        <v/>
      </c>
      <c r="K296" s="129" t="str">
        <f>IF($M296="Yes",'Invoice Log'!$AP274,"")</f>
        <v/>
      </c>
      <c r="L296" s="65" t="str">
        <f>IF($M296="Yes",ROUND('Invoice Log'!$AP274*Settings!$J$8,2),"")</f>
        <v/>
      </c>
      <c r="M296" s="125" t="str">
        <f>IF(OR('Invoice Log'!$L274="",'Invoice Log'!$AS274=""),"",IF(AND('Invoice Log'!$AR274&lt;=$B$3,'Invoice Log'!$AR274&gt;=Settings!$J$10,'Invoice Log'!$J274&lt;&gt;"Cancelled"),"Yes","No"))</f>
        <v/>
      </c>
    </row>
    <row r="297" ht="15.75" customHeight="1">
      <c r="A297" s="125" t="str">
        <f>IF('Invoice Log'!$AS275="","",TEXT('Invoice Log'!$AS275,"YYYY-MM"))</f>
        <v/>
      </c>
      <c r="B297" s="45" t="str">
        <f>IF('Invoice Log'!$AR275="","",'Invoice Log'!$AR275)</f>
        <v/>
      </c>
      <c r="C297" s="63" t="str">
        <f>IF('Invoice Log'!$D275="","",'Invoice Log'!$D275)</f>
        <v/>
      </c>
      <c r="D297" s="126" t="str">
        <f>IF('Invoice Log'!$L275="","",'Invoice Log'!$E275)</f>
        <v/>
      </c>
      <c r="E297" s="126" t="str">
        <f>IF('Invoice Log'!$L275="","",'Invoice Log'!$J275)</f>
        <v/>
      </c>
      <c r="F297" s="125" t="str">
        <f>IF('Invoice Log'!$L275="","",'Invoice Log'!$Q275)</f>
        <v/>
      </c>
      <c r="G297" s="65" t="str">
        <f>IF($M297="Yes",'Invoice Log'!$L275,"")</f>
        <v/>
      </c>
      <c r="H297" s="65" t="str">
        <f>IF($M297="Yes",'Invoice Log'!$S275,"")</f>
        <v/>
      </c>
      <c r="I297" s="65" t="str">
        <f>IF($M297="Yes",'Invoice Log'!$AI275,"")</f>
        <v/>
      </c>
      <c r="J297" s="127" t="str">
        <f>IF($M297="Yes",'Invoice Log'!$AO275,"")</f>
        <v/>
      </c>
      <c r="K297" s="129" t="str">
        <f>IF($M297="Yes",'Invoice Log'!$AP275,"")</f>
        <v/>
      </c>
      <c r="L297" s="65" t="str">
        <f>IF($M297="Yes",ROUND('Invoice Log'!$AP275*Settings!$J$8,2),"")</f>
        <v/>
      </c>
      <c r="M297" s="125" t="str">
        <f>IF(OR('Invoice Log'!$L275="",'Invoice Log'!$AS275=""),"",IF(AND('Invoice Log'!$AR275&lt;=$B$3,'Invoice Log'!$AR275&gt;=Settings!$J$10,'Invoice Log'!$J275&lt;&gt;"Cancelled"),"Yes","No"))</f>
        <v/>
      </c>
    </row>
    <row r="298" ht="15.75" customHeight="1">
      <c r="A298" s="125" t="str">
        <f>IF('Invoice Log'!$AS276="","",TEXT('Invoice Log'!$AS276,"YYYY-MM"))</f>
        <v/>
      </c>
      <c r="B298" s="45" t="str">
        <f>IF('Invoice Log'!$AR276="","",'Invoice Log'!$AR276)</f>
        <v/>
      </c>
      <c r="C298" s="63" t="str">
        <f>IF('Invoice Log'!$D276="","",'Invoice Log'!$D276)</f>
        <v/>
      </c>
      <c r="D298" s="126" t="str">
        <f>IF('Invoice Log'!$L276="","",'Invoice Log'!$E276)</f>
        <v/>
      </c>
      <c r="E298" s="126" t="str">
        <f>IF('Invoice Log'!$L276="","",'Invoice Log'!$J276)</f>
        <v/>
      </c>
      <c r="F298" s="125" t="str">
        <f>IF('Invoice Log'!$L276="","",'Invoice Log'!$Q276)</f>
        <v/>
      </c>
      <c r="G298" s="65" t="str">
        <f>IF($M298="Yes",'Invoice Log'!$L276,"")</f>
        <v/>
      </c>
      <c r="H298" s="65" t="str">
        <f>IF($M298="Yes",'Invoice Log'!$S276,"")</f>
        <v/>
      </c>
      <c r="I298" s="65" t="str">
        <f>IF($M298="Yes",'Invoice Log'!$AI276,"")</f>
        <v/>
      </c>
      <c r="J298" s="127" t="str">
        <f>IF($M298="Yes",'Invoice Log'!$AO276,"")</f>
        <v/>
      </c>
      <c r="K298" s="129" t="str">
        <f>IF($M298="Yes",'Invoice Log'!$AP276,"")</f>
        <v/>
      </c>
      <c r="L298" s="65" t="str">
        <f>IF($M298="Yes",ROUND('Invoice Log'!$AP276*Settings!$J$8,2),"")</f>
        <v/>
      </c>
      <c r="M298" s="125" t="str">
        <f>IF(OR('Invoice Log'!$L276="",'Invoice Log'!$AS276=""),"",IF(AND('Invoice Log'!$AR276&lt;=$B$3,'Invoice Log'!$AR276&gt;=Settings!$J$10,'Invoice Log'!$J276&lt;&gt;"Cancelled"),"Yes","No"))</f>
        <v/>
      </c>
    </row>
    <row r="299" ht="15.75" customHeight="1">
      <c r="A299" s="125" t="str">
        <f>IF('Invoice Log'!$AS277="","",TEXT('Invoice Log'!$AS277,"YYYY-MM"))</f>
        <v/>
      </c>
      <c r="B299" s="45" t="str">
        <f>IF('Invoice Log'!$AR277="","",'Invoice Log'!$AR277)</f>
        <v/>
      </c>
      <c r="C299" s="63" t="str">
        <f>IF('Invoice Log'!$D277="","",'Invoice Log'!$D277)</f>
        <v/>
      </c>
      <c r="D299" s="126" t="str">
        <f>IF('Invoice Log'!$L277="","",'Invoice Log'!$E277)</f>
        <v/>
      </c>
      <c r="E299" s="126" t="str">
        <f>IF('Invoice Log'!$L277="","",'Invoice Log'!$J277)</f>
        <v/>
      </c>
      <c r="F299" s="125" t="str">
        <f>IF('Invoice Log'!$L277="","",'Invoice Log'!$Q277)</f>
        <v/>
      </c>
      <c r="G299" s="65" t="str">
        <f>IF($M299="Yes",'Invoice Log'!$L277,"")</f>
        <v/>
      </c>
      <c r="H299" s="65" t="str">
        <f>IF($M299="Yes",'Invoice Log'!$S277,"")</f>
        <v/>
      </c>
      <c r="I299" s="65" t="str">
        <f>IF($M299="Yes",'Invoice Log'!$AI277,"")</f>
        <v/>
      </c>
      <c r="J299" s="127" t="str">
        <f>IF($M299="Yes",'Invoice Log'!$AO277,"")</f>
        <v/>
      </c>
      <c r="K299" s="129" t="str">
        <f>IF($M299="Yes",'Invoice Log'!$AP277,"")</f>
        <v/>
      </c>
      <c r="L299" s="65" t="str">
        <f>IF($M299="Yes",ROUND('Invoice Log'!$AP277*Settings!$J$8,2),"")</f>
        <v/>
      </c>
      <c r="M299" s="125" t="str">
        <f>IF(OR('Invoice Log'!$L277="",'Invoice Log'!$AS277=""),"",IF(AND('Invoice Log'!$AR277&lt;=$B$3,'Invoice Log'!$AR277&gt;=Settings!$J$10,'Invoice Log'!$J277&lt;&gt;"Cancelled"),"Yes","No"))</f>
        <v/>
      </c>
    </row>
    <row r="300" ht="15.75" customHeight="1">
      <c r="A300" s="125" t="str">
        <f>IF('Invoice Log'!$AS278="","",TEXT('Invoice Log'!$AS278,"YYYY-MM"))</f>
        <v/>
      </c>
      <c r="B300" s="45" t="str">
        <f>IF('Invoice Log'!$AR278="","",'Invoice Log'!$AR278)</f>
        <v/>
      </c>
      <c r="C300" s="63" t="str">
        <f>IF('Invoice Log'!$D278="","",'Invoice Log'!$D278)</f>
        <v/>
      </c>
      <c r="D300" s="126" t="str">
        <f>IF('Invoice Log'!$L278="","",'Invoice Log'!$E278)</f>
        <v/>
      </c>
      <c r="E300" s="126" t="str">
        <f>IF('Invoice Log'!$L278="","",'Invoice Log'!$J278)</f>
        <v/>
      </c>
      <c r="F300" s="125" t="str">
        <f>IF('Invoice Log'!$L278="","",'Invoice Log'!$Q278)</f>
        <v/>
      </c>
      <c r="G300" s="65" t="str">
        <f>IF($M300="Yes",'Invoice Log'!$L278,"")</f>
        <v/>
      </c>
      <c r="H300" s="65" t="str">
        <f>IF($M300="Yes",'Invoice Log'!$S278,"")</f>
        <v/>
      </c>
      <c r="I300" s="65" t="str">
        <f>IF($M300="Yes",'Invoice Log'!$AI278,"")</f>
        <v/>
      </c>
      <c r="J300" s="127" t="str">
        <f>IF($M300="Yes",'Invoice Log'!$AO278,"")</f>
        <v/>
      </c>
      <c r="K300" s="129" t="str">
        <f>IF($M300="Yes",'Invoice Log'!$AP278,"")</f>
        <v/>
      </c>
      <c r="L300" s="65" t="str">
        <f>IF($M300="Yes",ROUND('Invoice Log'!$AP278*Settings!$J$8,2),"")</f>
        <v/>
      </c>
      <c r="M300" s="125" t="str">
        <f>IF(OR('Invoice Log'!$L278="",'Invoice Log'!$AS278=""),"",IF(AND('Invoice Log'!$AR278&lt;=$B$3,'Invoice Log'!$AR278&gt;=Settings!$J$10,'Invoice Log'!$J278&lt;&gt;"Cancelled"),"Yes","No"))</f>
        <v/>
      </c>
    </row>
    <row r="301" ht="15.75" customHeight="1">
      <c r="A301" s="125" t="str">
        <f>IF('Invoice Log'!$AS279="","",TEXT('Invoice Log'!$AS279,"YYYY-MM"))</f>
        <v/>
      </c>
      <c r="B301" s="45" t="str">
        <f>IF('Invoice Log'!$AR279="","",'Invoice Log'!$AR279)</f>
        <v/>
      </c>
      <c r="C301" s="63" t="str">
        <f>IF('Invoice Log'!$D279="","",'Invoice Log'!$D279)</f>
        <v/>
      </c>
      <c r="D301" s="126" t="str">
        <f>IF('Invoice Log'!$L279="","",'Invoice Log'!$E279)</f>
        <v/>
      </c>
      <c r="E301" s="126" t="str">
        <f>IF('Invoice Log'!$L279="","",'Invoice Log'!$J279)</f>
        <v/>
      </c>
      <c r="F301" s="125" t="str">
        <f>IF('Invoice Log'!$L279="","",'Invoice Log'!$Q279)</f>
        <v/>
      </c>
      <c r="G301" s="65" t="str">
        <f>IF($M301="Yes",'Invoice Log'!$L279,"")</f>
        <v/>
      </c>
      <c r="H301" s="65" t="str">
        <f>IF($M301="Yes",'Invoice Log'!$S279,"")</f>
        <v/>
      </c>
      <c r="I301" s="65" t="str">
        <f>IF($M301="Yes",'Invoice Log'!$AI279,"")</f>
        <v/>
      </c>
      <c r="J301" s="127" t="str">
        <f>IF($M301="Yes",'Invoice Log'!$AO279,"")</f>
        <v/>
      </c>
      <c r="K301" s="129" t="str">
        <f>IF($M301="Yes",'Invoice Log'!$AP279,"")</f>
        <v/>
      </c>
      <c r="L301" s="65" t="str">
        <f>IF($M301="Yes",ROUND('Invoice Log'!$AP279*Settings!$J$8,2),"")</f>
        <v/>
      </c>
      <c r="M301" s="125" t="str">
        <f>IF(OR('Invoice Log'!$L279="",'Invoice Log'!$AS279=""),"",IF(AND('Invoice Log'!$AR279&lt;=$B$3,'Invoice Log'!$AR279&gt;=Settings!$J$10,'Invoice Log'!$J279&lt;&gt;"Cancelled"),"Yes","No"))</f>
        <v/>
      </c>
    </row>
    <row r="302" ht="15.75" customHeight="1">
      <c r="A302" s="125" t="str">
        <f>IF('Invoice Log'!$AS280="","",TEXT('Invoice Log'!$AS280,"YYYY-MM"))</f>
        <v/>
      </c>
      <c r="B302" s="45" t="str">
        <f>IF('Invoice Log'!$AR280="","",'Invoice Log'!$AR280)</f>
        <v/>
      </c>
      <c r="C302" s="63" t="str">
        <f>IF('Invoice Log'!$D280="","",'Invoice Log'!$D280)</f>
        <v/>
      </c>
      <c r="D302" s="126" t="str">
        <f>IF('Invoice Log'!$L280="","",'Invoice Log'!$E280)</f>
        <v/>
      </c>
      <c r="E302" s="126" t="str">
        <f>IF('Invoice Log'!$L280="","",'Invoice Log'!$J280)</f>
        <v/>
      </c>
      <c r="F302" s="125" t="str">
        <f>IF('Invoice Log'!$L280="","",'Invoice Log'!$Q280)</f>
        <v/>
      </c>
      <c r="G302" s="65" t="str">
        <f>IF($M302="Yes",'Invoice Log'!$L280,"")</f>
        <v/>
      </c>
      <c r="H302" s="65" t="str">
        <f>IF($M302="Yes",'Invoice Log'!$S280,"")</f>
        <v/>
      </c>
      <c r="I302" s="65" t="str">
        <f>IF($M302="Yes",'Invoice Log'!$AI280,"")</f>
        <v/>
      </c>
      <c r="J302" s="127" t="str">
        <f>IF($M302="Yes",'Invoice Log'!$AO280,"")</f>
        <v/>
      </c>
      <c r="K302" s="129" t="str">
        <f>IF($M302="Yes",'Invoice Log'!$AP280,"")</f>
        <v/>
      </c>
      <c r="L302" s="65" t="str">
        <f>IF($M302="Yes",ROUND('Invoice Log'!$AP280*Settings!$J$8,2),"")</f>
        <v/>
      </c>
      <c r="M302" s="125" t="str">
        <f>IF(OR('Invoice Log'!$L280="",'Invoice Log'!$AS280=""),"",IF(AND('Invoice Log'!$AR280&lt;=$B$3,'Invoice Log'!$AR280&gt;=Settings!$J$10,'Invoice Log'!$J280&lt;&gt;"Cancelled"),"Yes","No"))</f>
        <v/>
      </c>
    </row>
    <row r="303" ht="15.75" customHeight="1">
      <c r="A303" s="125" t="str">
        <f>IF('Invoice Log'!$AS281="","",TEXT('Invoice Log'!$AS281,"YYYY-MM"))</f>
        <v/>
      </c>
      <c r="B303" s="45" t="str">
        <f>IF('Invoice Log'!$AR281="","",'Invoice Log'!$AR281)</f>
        <v/>
      </c>
      <c r="C303" s="63" t="str">
        <f>IF('Invoice Log'!$D281="","",'Invoice Log'!$D281)</f>
        <v/>
      </c>
      <c r="D303" s="126" t="str">
        <f>IF('Invoice Log'!$L281="","",'Invoice Log'!$E281)</f>
        <v/>
      </c>
      <c r="E303" s="126" t="str">
        <f>IF('Invoice Log'!$L281="","",'Invoice Log'!$J281)</f>
        <v/>
      </c>
      <c r="F303" s="125" t="str">
        <f>IF('Invoice Log'!$L281="","",'Invoice Log'!$Q281)</f>
        <v/>
      </c>
      <c r="G303" s="65" t="str">
        <f>IF($M303="Yes",'Invoice Log'!$L281,"")</f>
        <v/>
      </c>
      <c r="H303" s="65" t="str">
        <f>IF($M303="Yes",'Invoice Log'!$S281,"")</f>
        <v/>
      </c>
      <c r="I303" s="65" t="str">
        <f>IF($M303="Yes",'Invoice Log'!$AI281,"")</f>
        <v/>
      </c>
      <c r="J303" s="127" t="str">
        <f>IF($M303="Yes",'Invoice Log'!$AO281,"")</f>
        <v/>
      </c>
      <c r="K303" s="129" t="str">
        <f>IF($M303="Yes",'Invoice Log'!$AP281,"")</f>
        <v/>
      </c>
      <c r="L303" s="65" t="str">
        <f>IF($M303="Yes",ROUND('Invoice Log'!$AP281*Settings!$J$8,2),"")</f>
        <v/>
      </c>
      <c r="M303" s="125" t="str">
        <f>IF(OR('Invoice Log'!$L281="",'Invoice Log'!$AS281=""),"",IF(AND('Invoice Log'!$AR281&lt;=$B$3,'Invoice Log'!$AR281&gt;=Settings!$J$10,'Invoice Log'!$J281&lt;&gt;"Cancelled"),"Yes","No"))</f>
        <v/>
      </c>
    </row>
    <row r="304" ht="15.75" customHeight="1">
      <c r="A304" s="125" t="str">
        <f>IF('Invoice Log'!$AS282="","",TEXT('Invoice Log'!$AS282,"YYYY-MM"))</f>
        <v/>
      </c>
      <c r="B304" s="45" t="str">
        <f>IF('Invoice Log'!$AR282="","",'Invoice Log'!$AR282)</f>
        <v/>
      </c>
      <c r="C304" s="63" t="str">
        <f>IF('Invoice Log'!$D282="","",'Invoice Log'!$D282)</f>
        <v/>
      </c>
      <c r="D304" s="126" t="str">
        <f>IF('Invoice Log'!$L282="","",'Invoice Log'!$E282)</f>
        <v/>
      </c>
      <c r="E304" s="126" t="str">
        <f>IF('Invoice Log'!$L282="","",'Invoice Log'!$J282)</f>
        <v/>
      </c>
      <c r="F304" s="125" t="str">
        <f>IF('Invoice Log'!$L282="","",'Invoice Log'!$Q282)</f>
        <v/>
      </c>
      <c r="G304" s="65" t="str">
        <f>IF($M304="Yes",'Invoice Log'!$L282,"")</f>
        <v/>
      </c>
      <c r="H304" s="65" t="str">
        <f>IF($M304="Yes",'Invoice Log'!$S282,"")</f>
        <v/>
      </c>
      <c r="I304" s="65" t="str">
        <f>IF($M304="Yes",'Invoice Log'!$AI282,"")</f>
        <v/>
      </c>
      <c r="J304" s="127" t="str">
        <f>IF($M304="Yes",'Invoice Log'!$AO282,"")</f>
        <v/>
      </c>
      <c r="K304" s="129" t="str">
        <f>IF($M304="Yes",'Invoice Log'!$AP282,"")</f>
        <v/>
      </c>
      <c r="L304" s="65" t="str">
        <f>IF($M304="Yes",ROUND('Invoice Log'!$AP282*Settings!$J$8,2),"")</f>
        <v/>
      </c>
      <c r="M304" s="125" t="str">
        <f>IF(OR('Invoice Log'!$L282="",'Invoice Log'!$AS282=""),"",IF(AND('Invoice Log'!$AR282&lt;=$B$3,'Invoice Log'!$AR282&gt;=Settings!$J$10,'Invoice Log'!$J282&lt;&gt;"Cancelled"),"Yes","No"))</f>
        <v/>
      </c>
    </row>
    <row r="305" ht="15.75" customHeight="1">
      <c r="A305" s="125" t="str">
        <f>IF('Invoice Log'!$AS283="","",TEXT('Invoice Log'!$AS283,"YYYY-MM"))</f>
        <v/>
      </c>
      <c r="B305" s="45" t="str">
        <f>IF('Invoice Log'!$AR283="","",'Invoice Log'!$AR283)</f>
        <v/>
      </c>
      <c r="C305" s="63" t="str">
        <f>IF('Invoice Log'!$D283="","",'Invoice Log'!$D283)</f>
        <v/>
      </c>
      <c r="D305" s="126" t="str">
        <f>IF('Invoice Log'!$L283="","",'Invoice Log'!$E283)</f>
        <v/>
      </c>
      <c r="E305" s="126" t="str">
        <f>IF('Invoice Log'!$L283="","",'Invoice Log'!$J283)</f>
        <v/>
      </c>
      <c r="F305" s="125" t="str">
        <f>IF('Invoice Log'!$L283="","",'Invoice Log'!$Q283)</f>
        <v/>
      </c>
      <c r="G305" s="65" t="str">
        <f>IF($M305="Yes",'Invoice Log'!$L283,"")</f>
        <v/>
      </c>
      <c r="H305" s="65" t="str">
        <f>IF($M305="Yes",'Invoice Log'!$S283,"")</f>
        <v/>
      </c>
      <c r="I305" s="65" t="str">
        <f>IF($M305="Yes",'Invoice Log'!$AI283,"")</f>
        <v/>
      </c>
      <c r="J305" s="127" t="str">
        <f>IF($M305="Yes",'Invoice Log'!$AO283,"")</f>
        <v/>
      </c>
      <c r="K305" s="129" t="str">
        <f>IF($M305="Yes",'Invoice Log'!$AP283,"")</f>
        <v/>
      </c>
      <c r="L305" s="65" t="str">
        <f>IF($M305="Yes",ROUND('Invoice Log'!$AP283*Settings!$J$8,2),"")</f>
        <v/>
      </c>
      <c r="M305" s="125" t="str">
        <f>IF(OR('Invoice Log'!$L283="",'Invoice Log'!$AS283=""),"",IF(AND('Invoice Log'!$AR283&lt;=$B$3,'Invoice Log'!$AR283&gt;=Settings!$J$10,'Invoice Log'!$J283&lt;&gt;"Cancelled"),"Yes","No"))</f>
        <v/>
      </c>
    </row>
    <row r="306" ht="15.75" customHeight="1">
      <c r="A306" s="125" t="str">
        <f>IF('Invoice Log'!$AS284="","",TEXT('Invoice Log'!$AS284,"YYYY-MM"))</f>
        <v/>
      </c>
      <c r="B306" s="45" t="str">
        <f>IF('Invoice Log'!$AR284="","",'Invoice Log'!$AR284)</f>
        <v/>
      </c>
      <c r="C306" s="63" t="str">
        <f>IF('Invoice Log'!$D284="","",'Invoice Log'!$D284)</f>
        <v/>
      </c>
      <c r="D306" s="126" t="str">
        <f>IF('Invoice Log'!$L284="","",'Invoice Log'!$E284)</f>
        <v/>
      </c>
      <c r="E306" s="126" t="str">
        <f>IF('Invoice Log'!$L284="","",'Invoice Log'!$J284)</f>
        <v/>
      </c>
      <c r="F306" s="125" t="str">
        <f>IF('Invoice Log'!$L284="","",'Invoice Log'!$Q284)</f>
        <v/>
      </c>
      <c r="G306" s="65" t="str">
        <f>IF($M306="Yes",'Invoice Log'!$L284,"")</f>
        <v/>
      </c>
      <c r="H306" s="65" t="str">
        <f>IF($M306="Yes",'Invoice Log'!$S284,"")</f>
        <v/>
      </c>
      <c r="I306" s="65" t="str">
        <f>IF($M306="Yes",'Invoice Log'!$AI284,"")</f>
        <v/>
      </c>
      <c r="J306" s="127" t="str">
        <f>IF($M306="Yes",'Invoice Log'!$AO284,"")</f>
        <v/>
      </c>
      <c r="K306" s="129" t="str">
        <f>IF($M306="Yes",'Invoice Log'!$AP284,"")</f>
        <v/>
      </c>
      <c r="L306" s="65" t="str">
        <f>IF($M306="Yes",ROUND('Invoice Log'!$AP284*Settings!$J$8,2),"")</f>
        <v/>
      </c>
      <c r="M306" s="125" t="str">
        <f>IF(OR('Invoice Log'!$L284="",'Invoice Log'!$AS284=""),"",IF(AND('Invoice Log'!$AR284&lt;=$B$3,'Invoice Log'!$AR284&gt;=Settings!$J$10,'Invoice Log'!$J284&lt;&gt;"Cancelled"),"Yes","No"))</f>
        <v/>
      </c>
    </row>
    <row r="307" ht="15.75" customHeight="1">
      <c r="A307" s="125" t="str">
        <f>IF('Invoice Log'!$AS285="","",TEXT('Invoice Log'!$AS285,"YYYY-MM"))</f>
        <v/>
      </c>
      <c r="B307" s="45" t="str">
        <f>IF('Invoice Log'!$AR285="","",'Invoice Log'!$AR285)</f>
        <v/>
      </c>
      <c r="C307" s="63" t="str">
        <f>IF('Invoice Log'!$D285="","",'Invoice Log'!$D285)</f>
        <v/>
      </c>
      <c r="D307" s="126" t="str">
        <f>IF('Invoice Log'!$L285="","",'Invoice Log'!$E285)</f>
        <v/>
      </c>
      <c r="E307" s="126" t="str">
        <f>IF('Invoice Log'!$L285="","",'Invoice Log'!$J285)</f>
        <v/>
      </c>
      <c r="F307" s="125" t="str">
        <f>IF('Invoice Log'!$L285="","",'Invoice Log'!$Q285)</f>
        <v/>
      </c>
      <c r="G307" s="65" t="str">
        <f>IF($M307="Yes",'Invoice Log'!$L285,"")</f>
        <v/>
      </c>
      <c r="H307" s="65" t="str">
        <f>IF($M307="Yes",'Invoice Log'!$S285,"")</f>
        <v/>
      </c>
      <c r="I307" s="65" t="str">
        <f>IF($M307="Yes",'Invoice Log'!$AI285,"")</f>
        <v/>
      </c>
      <c r="J307" s="127" t="str">
        <f>IF($M307="Yes",'Invoice Log'!$AO285,"")</f>
        <v/>
      </c>
      <c r="K307" s="129" t="str">
        <f>IF($M307="Yes",'Invoice Log'!$AP285,"")</f>
        <v/>
      </c>
      <c r="L307" s="65" t="str">
        <f>IF($M307="Yes",ROUND('Invoice Log'!$AP285*Settings!$J$8,2),"")</f>
        <v/>
      </c>
      <c r="M307" s="125" t="str">
        <f>IF(OR('Invoice Log'!$L285="",'Invoice Log'!$AS285=""),"",IF(AND('Invoice Log'!$AR285&lt;=$B$3,'Invoice Log'!$AR285&gt;=Settings!$J$10,'Invoice Log'!$J285&lt;&gt;"Cancelled"),"Yes","No"))</f>
        <v/>
      </c>
    </row>
    <row r="308" ht="15.75" customHeight="1">
      <c r="A308" s="125" t="str">
        <f>IF('Invoice Log'!$AS286="","",TEXT('Invoice Log'!$AS286,"YYYY-MM"))</f>
        <v/>
      </c>
      <c r="B308" s="45" t="str">
        <f>IF('Invoice Log'!$AR286="","",'Invoice Log'!$AR286)</f>
        <v/>
      </c>
      <c r="C308" s="63" t="str">
        <f>IF('Invoice Log'!$D286="","",'Invoice Log'!$D286)</f>
        <v/>
      </c>
      <c r="D308" s="126" t="str">
        <f>IF('Invoice Log'!$L286="","",'Invoice Log'!$E286)</f>
        <v/>
      </c>
      <c r="E308" s="126" t="str">
        <f>IF('Invoice Log'!$L286="","",'Invoice Log'!$J286)</f>
        <v/>
      </c>
      <c r="F308" s="125" t="str">
        <f>IF('Invoice Log'!$L286="","",'Invoice Log'!$Q286)</f>
        <v/>
      </c>
      <c r="G308" s="65" t="str">
        <f>IF($M308="Yes",'Invoice Log'!$L286,"")</f>
        <v/>
      </c>
      <c r="H308" s="65" t="str">
        <f>IF($M308="Yes",'Invoice Log'!$S286,"")</f>
        <v/>
      </c>
      <c r="I308" s="65" t="str">
        <f>IF($M308="Yes",'Invoice Log'!$AI286,"")</f>
        <v/>
      </c>
      <c r="J308" s="127" t="str">
        <f>IF($M308="Yes",'Invoice Log'!$AO286,"")</f>
        <v/>
      </c>
      <c r="K308" s="129" t="str">
        <f>IF($M308="Yes",'Invoice Log'!$AP286,"")</f>
        <v/>
      </c>
      <c r="L308" s="65" t="str">
        <f>IF($M308="Yes",ROUND('Invoice Log'!$AP286*Settings!$J$8,2),"")</f>
        <v/>
      </c>
      <c r="M308" s="125" t="str">
        <f>IF(OR('Invoice Log'!$L286="",'Invoice Log'!$AS286=""),"",IF(AND('Invoice Log'!$AR286&lt;=$B$3,'Invoice Log'!$AR286&gt;=Settings!$J$10,'Invoice Log'!$J286&lt;&gt;"Cancelled"),"Yes","No"))</f>
        <v/>
      </c>
    </row>
    <row r="309" ht="15.75" customHeight="1">
      <c r="A309" s="125" t="str">
        <f>IF('Invoice Log'!$AS287="","",TEXT('Invoice Log'!$AS287,"YYYY-MM"))</f>
        <v/>
      </c>
      <c r="B309" s="45" t="str">
        <f>IF('Invoice Log'!$AR287="","",'Invoice Log'!$AR287)</f>
        <v/>
      </c>
      <c r="C309" s="63" t="str">
        <f>IF('Invoice Log'!$D287="","",'Invoice Log'!$D287)</f>
        <v/>
      </c>
      <c r="D309" s="126" t="str">
        <f>IF('Invoice Log'!$L287="","",'Invoice Log'!$E287)</f>
        <v/>
      </c>
      <c r="E309" s="126" t="str">
        <f>IF('Invoice Log'!$L287="","",'Invoice Log'!$J287)</f>
        <v/>
      </c>
      <c r="F309" s="125" t="str">
        <f>IF('Invoice Log'!$L287="","",'Invoice Log'!$Q287)</f>
        <v/>
      </c>
      <c r="G309" s="65" t="str">
        <f>IF($M309="Yes",'Invoice Log'!$L287,"")</f>
        <v/>
      </c>
      <c r="H309" s="65" t="str">
        <f>IF($M309="Yes",'Invoice Log'!$S287,"")</f>
        <v/>
      </c>
      <c r="I309" s="65" t="str">
        <f>IF($M309="Yes",'Invoice Log'!$AI287,"")</f>
        <v/>
      </c>
      <c r="J309" s="127" t="str">
        <f>IF($M309="Yes",'Invoice Log'!$AO287,"")</f>
        <v/>
      </c>
      <c r="K309" s="129" t="str">
        <f>IF($M309="Yes",'Invoice Log'!$AP287,"")</f>
        <v/>
      </c>
      <c r="L309" s="65" t="str">
        <f>IF($M309="Yes",ROUND('Invoice Log'!$AP287*Settings!$J$8,2),"")</f>
        <v/>
      </c>
      <c r="M309" s="125" t="str">
        <f>IF(OR('Invoice Log'!$L287="",'Invoice Log'!$AS287=""),"",IF(AND('Invoice Log'!$AR287&lt;=$B$3,'Invoice Log'!$AR287&gt;=Settings!$J$10,'Invoice Log'!$J287&lt;&gt;"Cancelled"),"Yes","No"))</f>
        <v/>
      </c>
    </row>
    <row r="310" ht="15.75" customHeight="1">
      <c r="A310" s="125" t="str">
        <f>IF('Invoice Log'!$AS288="","",TEXT('Invoice Log'!$AS288,"YYYY-MM"))</f>
        <v/>
      </c>
      <c r="B310" s="45" t="str">
        <f>IF('Invoice Log'!$AR288="","",'Invoice Log'!$AR288)</f>
        <v/>
      </c>
      <c r="C310" s="63" t="str">
        <f>IF('Invoice Log'!$D288="","",'Invoice Log'!$D288)</f>
        <v/>
      </c>
      <c r="D310" s="126" t="str">
        <f>IF('Invoice Log'!$L288="","",'Invoice Log'!$E288)</f>
        <v/>
      </c>
      <c r="E310" s="126" t="str">
        <f>IF('Invoice Log'!$L288="","",'Invoice Log'!$J288)</f>
        <v/>
      </c>
      <c r="F310" s="125" t="str">
        <f>IF('Invoice Log'!$L288="","",'Invoice Log'!$Q288)</f>
        <v/>
      </c>
      <c r="G310" s="65" t="str">
        <f>IF($M310="Yes",'Invoice Log'!$L288,"")</f>
        <v/>
      </c>
      <c r="H310" s="65" t="str">
        <f>IF($M310="Yes",'Invoice Log'!$S288,"")</f>
        <v/>
      </c>
      <c r="I310" s="65" t="str">
        <f>IF($M310="Yes",'Invoice Log'!$AI288,"")</f>
        <v/>
      </c>
      <c r="J310" s="127" t="str">
        <f>IF($M310="Yes",'Invoice Log'!$AO288,"")</f>
        <v/>
      </c>
      <c r="K310" s="129" t="str">
        <f>IF($M310="Yes",'Invoice Log'!$AP288,"")</f>
        <v/>
      </c>
      <c r="L310" s="65" t="str">
        <f>IF($M310="Yes",ROUND('Invoice Log'!$AP288*Settings!$J$8,2),"")</f>
        <v/>
      </c>
      <c r="M310" s="125" t="str">
        <f>IF(OR('Invoice Log'!$L288="",'Invoice Log'!$AS288=""),"",IF(AND('Invoice Log'!$AR288&lt;=$B$3,'Invoice Log'!$AR288&gt;=Settings!$J$10,'Invoice Log'!$J288&lt;&gt;"Cancelled"),"Yes","No"))</f>
        <v/>
      </c>
    </row>
    <row r="311" ht="15.75" customHeight="1">
      <c r="A311" s="125" t="str">
        <f>IF('Invoice Log'!$AS289="","",TEXT('Invoice Log'!$AS289,"YYYY-MM"))</f>
        <v/>
      </c>
      <c r="B311" s="45" t="str">
        <f>IF('Invoice Log'!$AR289="","",'Invoice Log'!$AR289)</f>
        <v/>
      </c>
      <c r="C311" s="63" t="str">
        <f>IF('Invoice Log'!$D289="","",'Invoice Log'!$D289)</f>
        <v/>
      </c>
      <c r="D311" s="126" t="str">
        <f>IF('Invoice Log'!$L289="","",'Invoice Log'!$E289)</f>
        <v/>
      </c>
      <c r="E311" s="126" t="str">
        <f>IF('Invoice Log'!$L289="","",'Invoice Log'!$J289)</f>
        <v/>
      </c>
      <c r="F311" s="125" t="str">
        <f>IF('Invoice Log'!$L289="","",'Invoice Log'!$Q289)</f>
        <v/>
      </c>
      <c r="G311" s="65" t="str">
        <f>IF($M311="Yes",'Invoice Log'!$L289,"")</f>
        <v/>
      </c>
      <c r="H311" s="65" t="str">
        <f>IF($M311="Yes",'Invoice Log'!$S289,"")</f>
        <v/>
      </c>
      <c r="I311" s="65" t="str">
        <f>IF($M311="Yes",'Invoice Log'!$AI289,"")</f>
        <v/>
      </c>
      <c r="J311" s="127" t="str">
        <f>IF($M311="Yes",'Invoice Log'!$AO289,"")</f>
        <v/>
      </c>
      <c r="K311" s="129" t="str">
        <f>IF($M311="Yes",'Invoice Log'!$AP289,"")</f>
        <v/>
      </c>
      <c r="L311" s="65" t="str">
        <f>IF($M311="Yes",ROUND('Invoice Log'!$AP289*Settings!$J$8,2),"")</f>
        <v/>
      </c>
      <c r="M311" s="125" t="str">
        <f>IF(OR('Invoice Log'!$L289="",'Invoice Log'!$AS289=""),"",IF(AND('Invoice Log'!$AR289&lt;=$B$3,'Invoice Log'!$AR289&gt;=Settings!$J$10,'Invoice Log'!$J289&lt;&gt;"Cancelled"),"Yes","No"))</f>
        <v/>
      </c>
    </row>
    <row r="312" ht="15.75" customHeight="1">
      <c r="A312" s="125" t="str">
        <f>IF('Invoice Log'!$AS290="","",TEXT('Invoice Log'!$AS290,"YYYY-MM"))</f>
        <v/>
      </c>
      <c r="B312" s="45" t="str">
        <f>IF('Invoice Log'!$AR290="","",'Invoice Log'!$AR290)</f>
        <v/>
      </c>
      <c r="C312" s="63" t="str">
        <f>IF('Invoice Log'!$D290="","",'Invoice Log'!$D290)</f>
        <v/>
      </c>
      <c r="D312" s="126" t="str">
        <f>IF('Invoice Log'!$L290="","",'Invoice Log'!$E290)</f>
        <v/>
      </c>
      <c r="E312" s="126" t="str">
        <f>IF('Invoice Log'!$L290="","",'Invoice Log'!$J290)</f>
        <v/>
      </c>
      <c r="F312" s="125" t="str">
        <f>IF('Invoice Log'!$L290="","",'Invoice Log'!$Q290)</f>
        <v/>
      </c>
      <c r="G312" s="65" t="str">
        <f>IF($M312="Yes",'Invoice Log'!$L290,"")</f>
        <v/>
      </c>
      <c r="H312" s="65" t="str">
        <f>IF($M312="Yes",'Invoice Log'!$S290,"")</f>
        <v/>
      </c>
      <c r="I312" s="65" t="str">
        <f>IF($M312="Yes",'Invoice Log'!$AI290,"")</f>
        <v/>
      </c>
      <c r="J312" s="127" t="str">
        <f>IF($M312="Yes",'Invoice Log'!$AO290,"")</f>
        <v/>
      </c>
      <c r="K312" s="129" t="str">
        <f>IF($M312="Yes",'Invoice Log'!$AP290,"")</f>
        <v/>
      </c>
      <c r="L312" s="65" t="str">
        <f>IF($M312="Yes",ROUND('Invoice Log'!$AP290*Settings!$J$8,2),"")</f>
        <v/>
      </c>
      <c r="M312" s="125" t="str">
        <f>IF(OR('Invoice Log'!$L290="",'Invoice Log'!$AS290=""),"",IF(AND('Invoice Log'!$AR290&lt;=$B$3,'Invoice Log'!$AR290&gt;=Settings!$J$10,'Invoice Log'!$J290&lt;&gt;"Cancelled"),"Yes","No"))</f>
        <v/>
      </c>
    </row>
    <row r="313" ht="15.75" customHeight="1">
      <c r="A313" s="125" t="str">
        <f>IF('Invoice Log'!$AS291="","",TEXT('Invoice Log'!$AS291,"YYYY-MM"))</f>
        <v/>
      </c>
      <c r="B313" s="45" t="str">
        <f>IF('Invoice Log'!$AR291="","",'Invoice Log'!$AR291)</f>
        <v/>
      </c>
      <c r="C313" s="63" t="str">
        <f>IF('Invoice Log'!$D291="","",'Invoice Log'!$D291)</f>
        <v/>
      </c>
      <c r="D313" s="126" t="str">
        <f>IF('Invoice Log'!$L291="","",'Invoice Log'!$E291)</f>
        <v/>
      </c>
      <c r="E313" s="126" t="str">
        <f>IF('Invoice Log'!$L291="","",'Invoice Log'!$J291)</f>
        <v/>
      </c>
      <c r="F313" s="125" t="str">
        <f>IF('Invoice Log'!$L291="","",'Invoice Log'!$Q291)</f>
        <v/>
      </c>
      <c r="G313" s="65" t="str">
        <f>IF($M313="Yes",'Invoice Log'!$L291,"")</f>
        <v/>
      </c>
      <c r="H313" s="65" t="str">
        <f>IF($M313="Yes",'Invoice Log'!$S291,"")</f>
        <v/>
      </c>
      <c r="I313" s="65" t="str">
        <f>IF($M313="Yes",'Invoice Log'!$AI291,"")</f>
        <v/>
      </c>
      <c r="J313" s="127" t="str">
        <f>IF($M313="Yes",'Invoice Log'!$AO291,"")</f>
        <v/>
      </c>
      <c r="K313" s="129" t="str">
        <f>IF($M313="Yes",'Invoice Log'!$AP291,"")</f>
        <v/>
      </c>
      <c r="L313" s="65" t="str">
        <f>IF($M313="Yes",ROUND('Invoice Log'!$AP291*Settings!$J$8,2),"")</f>
        <v/>
      </c>
      <c r="M313" s="125" t="str">
        <f>IF(OR('Invoice Log'!$L291="",'Invoice Log'!$AS291=""),"",IF(AND('Invoice Log'!$AR291&lt;=$B$3,'Invoice Log'!$AR291&gt;=Settings!$J$10,'Invoice Log'!$J291&lt;&gt;"Cancelled"),"Yes","No"))</f>
        <v/>
      </c>
    </row>
    <row r="314" ht="15.75" customHeight="1">
      <c r="A314" s="125" t="str">
        <f>IF('Invoice Log'!$AS292="","",TEXT('Invoice Log'!$AS292,"YYYY-MM"))</f>
        <v/>
      </c>
      <c r="B314" s="45" t="str">
        <f>IF('Invoice Log'!$AR292="","",'Invoice Log'!$AR292)</f>
        <v/>
      </c>
      <c r="C314" s="63" t="str">
        <f>IF('Invoice Log'!$D292="","",'Invoice Log'!$D292)</f>
        <v/>
      </c>
      <c r="D314" s="126" t="str">
        <f>IF('Invoice Log'!$L292="","",'Invoice Log'!$E292)</f>
        <v/>
      </c>
      <c r="E314" s="126" t="str">
        <f>IF('Invoice Log'!$L292="","",'Invoice Log'!$J292)</f>
        <v/>
      </c>
      <c r="F314" s="125" t="str">
        <f>IF('Invoice Log'!$L292="","",'Invoice Log'!$Q292)</f>
        <v/>
      </c>
      <c r="G314" s="65" t="str">
        <f>IF($M314="Yes",'Invoice Log'!$L292,"")</f>
        <v/>
      </c>
      <c r="H314" s="65" t="str">
        <f>IF($M314="Yes",'Invoice Log'!$S292,"")</f>
        <v/>
      </c>
      <c r="I314" s="65" t="str">
        <f>IF($M314="Yes",'Invoice Log'!$AI292,"")</f>
        <v/>
      </c>
      <c r="J314" s="127" t="str">
        <f>IF($M314="Yes",'Invoice Log'!$AO292,"")</f>
        <v/>
      </c>
      <c r="K314" s="129" t="str">
        <f>IF($M314="Yes",'Invoice Log'!$AP292,"")</f>
        <v/>
      </c>
      <c r="L314" s="65" t="str">
        <f>IF($M314="Yes",ROUND('Invoice Log'!$AP292*Settings!$J$8,2),"")</f>
        <v/>
      </c>
      <c r="M314" s="125" t="str">
        <f>IF(OR('Invoice Log'!$L292="",'Invoice Log'!$AS292=""),"",IF(AND('Invoice Log'!$AR292&lt;=$B$3,'Invoice Log'!$AR292&gt;=Settings!$J$10,'Invoice Log'!$J292&lt;&gt;"Cancelled"),"Yes","No"))</f>
        <v/>
      </c>
    </row>
    <row r="315" ht="15.75" customHeight="1">
      <c r="A315" s="125" t="str">
        <f>IF('Invoice Log'!$AS293="","",TEXT('Invoice Log'!$AS293,"YYYY-MM"))</f>
        <v/>
      </c>
      <c r="B315" s="45" t="str">
        <f>IF('Invoice Log'!$AR293="","",'Invoice Log'!$AR293)</f>
        <v/>
      </c>
      <c r="C315" s="63" t="str">
        <f>IF('Invoice Log'!$D293="","",'Invoice Log'!$D293)</f>
        <v/>
      </c>
      <c r="D315" s="126" t="str">
        <f>IF('Invoice Log'!$L293="","",'Invoice Log'!$E293)</f>
        <v/>
      </c>
      <c r="E315" s="126" t="str">
        <f>IF('Invoice Log'!$L293="","",'Invoice Log'!$J293)</f>
        <v/>
      </c>
      <c r="F315" s="125" t="str">
        <f>IF('Invoice Log'!$L293="","",'Invoice Log'!$Q293)</f>
        <v/>
      </c>
      <c r="G315" s="65" t="str">
        <f>IF($M315="Yes",'Invoice Log'!$L293,"")</f>
        <v/>
      </c>
      <c r="H315" s="65" t="str">
        <f>IF($M315="Yes",'Invoice Log'!$S293,"")</f>
        <v/>
      </c>
      <c r="I315" s="65" t="str">
        <f>IF($M315="Yes",'Invoice Log'!$AI293,"")</f>
        <v/>
      </c>
      <c r="J315" s="127" t="str">
        <f>IF($M315="Yes",'Invoice Log'!$AO293,"")</f>
        <v/>
      </c>
      <c r="K315" s="129" t="str">
        <f>IF($M315="Yes",'Invoice Log'!$AP293,"")</f>
        <v/>
      </c>
      <c r="L315" s="65" t="str">
        <f>IF($M315="Yes",ROUND('Invoice Log'!$AP293*Settings!$J$8,2),"")</f>
        <v/>
      </c>
      <c r="M315" s="125" t="str">
        <f>IF(OR('Invoice Log'!$L293="",'Invoice Log'!$AS293=""),"",IF(AND('Invoice Log'!$AR293&lt;=$B$3,'Invoice Log'!$AR293&gt;=Settings!$J$10,'Invoice Log'!$J293&lt;&gt;"Cancelled"),"Yes","No"))</f>
        <v/>
      </c>
    </row>
    <row r="316" ht="15.75" customHeight="1">
      <c r="A316" s="125" t="str">
        <f>IF('Invoice Log'!$AS294="","",TEXT('Invoice Log'!$AS294,"YYYY-MM"))</f>
        <v/>
      </c>
      <c r="B316" s="45" t="str">
        <f>IF('Invoice Log'!$AR294="","",'Invoice Log'!$AR294)</f>
        <v/>
      </c>
      <c r="C316" s="63" t="str">
        <f>IF('Invoice Log'!$D294="","",'Invoice Log'!$D294)</f>
        <v/>
      </c>
      <c r="D316" s="126" t="str">
        <f>IF('Invoice Log'!$L294="","",'Invoice Log'!$E294)</f>
        <v/>
      </c>
      <c r="E316" s="126" t="str">
        <f>IF('Invoice Log'!$L294="","",'Invoice Log'!$J294)</f>
        <v/>
      </c>
      <c r="F316" s="125" t="str">
        <f>IF('Invoice Log'!$L294="","",'Invoice Log'!$Q294)</f>
        <v/>
      </c>
      <c r="G316" s="65" t="str">
        <f>IF($M316="Yes",'Invoice Log'!$L294,"")</f>
        <v/>
      </c>
      <c r="H316" s="65" t="str">
        <f>IF($M316="Yes",'Invoice Log'!$S294,"")</f>
        <v/>
      </c>
      <c r="I316" s="65" t="str">
        <f>IF($M316="Yes",'Invoice Log'!$AI294,"")</f>
        <v/>
      </c>
      <c r="J316" s="127" t="str">
        <f>IF($M316="Yes",'Invoice Log'!$AO294,"")</f>
        <v/>
      </c>
      <c r="K316" s="129" t="str">
        <f>IF($M316="Yes",'Invoice Log'!$AP294,"")</f>
        <v/>
      </c>
      <c r="L316" s="65" t="str">
        <f>IF($M316="Yes",ROUND('Invoice Log'!$AP294*Settings!$J$8,2),"")</f>
        <v/>
      </c>
      <c r="M316" s="125" t="str">
        <f>IF(OR('Invoice Log'!$L294="",'Invoice Log'!$AS294=""),"",IF(AND('Invoice Log'!$AR294&lt;=$B$3,'Invoice Log'!$AR294&gt;=Settings!$J$10,'Invoice Log'!$J294&lt;&gt;"Cancelled"),"Yes","No"))</f>
        <v/>
      </c>
    </row>
    <row r="317" ht="15.75" customHeight="1">
      <c r="A317" s="125" t="str">
        <f>IF('Invoice Log'!$AS295="","",TEXT('Invoice Log'!$AS295,"YYYY-MM"))</f>
        <v/>
      </c>
      <c r="B317" s="45" t="str">
        <f>IF('Invoice Log'!$AR295="","",'Invoice Log'!$AR295)</f>
        <v/>
      </c>
      <c r="C317" s="63" t="str">
        <f>IF('Invoice Log'!$D295="","",'Invoice Log'!$D295)</f>
        <v/>
      </c>
      <c r="D317" s="126" t="str">
        <f>IF('Invoice Log'!$L295="","",'Invoice Log'!$E295)</f>
        <v/>
      </c>
      <c r="E317" s="126" t="str">
        <f>IF('Invoice Log'!$L295="","",'Invoice Log'!$J295)</f>
        <v/>
      </c>
      <c r="F317" s="125" t="str">
        <f>IF('Invoice Log'!$L295="","",'Invoice Log'!$Q295)</f>
        <v/>
      </c>
      <c r="G317" s="65" t="str">
        <f>IF($M317="Yes",'Invoice Log'!$L295,"")</f>
        <v/>
      </c>
      <c r="H317" s="65" t="str">
        <f>IF($M317="Yes",'Invoice Log'!$S295,"")</f>
        <v/>
      </c>
      <c r="I317" s="65" t="str">
        <f>IF($M317="Yes",'Invoice Log'!$AI295,"")</f>
        <v/>
      </c>
      <c r="J317" s="127" t="str">
        <f>IF($M317="Yes",'Invoice Log'!$AO295,"")</f>
        <v/>
      </c>
      <c r="K317" s="129" t="str">
        <f>IF($M317="Yes",'Invoice Log'!$AP295,"")</f>
        <v/>
      </c>
      <c r="L317" s="65" t="str">
        <f>IF($M317="Yes",ROUND('Invoice Log'!$AP295*Settings!$J$8,2),"")</f>
        <v/>
      </c>
      <c r="M317" s="125" t="str">
        <f>IF(OR('Invoice Log'!$L295="",'Invoice Log'!$AS295=""),"",IF(AND('Invoice Log'!$AR295&lt;=$B$3,'Invoice Log'!$AR295&gt;=Settings!$J$10,'Invoice Log'!$J295&lt;&gt;"Cancelled"),"Yes","No"))</f>
        <v/>
      </c>
    </row>
    <row r="318" ht="15.75" customHeight="1">
      <c r="A318" s="125" t="str">
        <f>IF('Invoice Log'!$AS296="","",TEXT('Invoice Log'!$AS296,"YYYY-MM"))</f>
        <v/>
      </c>
      <c r="B318" s="45" t="str">
        <f>IF('Invoice Log'!$AR296="","",'Invoice Log'!$AR296)</f>
        <v/>
      </c>
      <c r="C318" s="63" t="str">
        <f>IF('Invoice Log'!$D296="","",'Invoice Log'!$D296)</f>
        <v/>
      </c>
      <c r="D318" s="126" t="str">
        <f>IF('Invoice Log'!$L296="","",'Invoice Log'!$E296)</f>
        <v/>
      </c>
      <c r="E318" s="126" t="str">
        <f>IF('Invoice Log'!$L296="","",'Invoice Log'!$J296)</f>
        <v/>
      </c>
      <c r="F318" s="125" t="str">
        <f>IF('Invoice Log'!$L296="","",'Invoice Log'!$Q296)</f>
        <v/>
      </c>
      <c r="G318" s="65" t="str">
        <f>IF($M318="Yes",'Invoice Log'!$L296,"")</f>
        <v/>
      </c>
      <c r="H318" s="65" t="str">
        <f>IF($M318="Yes",'Invoice Log'!$S296,"")</f>
        <v/>
      </c>
      <c r="I318" s="65" t="str">
        <f>IF($M318="Yes",'Invoice Log'!$AI296,"")</f>
        <v/>
      </c>
      <c r="J318" s="127" t="str">
        <f>IF($M318="Yes",'Invoice Log'!$AO296,"")</f>
        <v/>
      </c>
      <c r="K318" s="129" t="str">
        <f>IF($M318="Yes",'Invoice Log'!$AP296,"")</f>
        <v/>
      </c>
      <c r="L318" s="65" t="str">
        <f>IF($M318="Yes",ROUND('Invoice Log'!$AP296*Settings!$J$8,2),"")</f>
        <v/>
      </c>
      <c r="M318" s="125" t="str">
        <f>IF(OR('Invoice Log'!$L296="",'Invoice Log'!$AS296=""),"",IF(AND('Invoice Log'!$AR296&lt;=$B$3,'Invoice Log'!$AR296&gt;=Settings!$J$10,'Invoice Log'!$J296&lt;&gt;"Cancelled"),"Yes","No"))</f>
        <v/>
      </c>
    </row>
    <row r="319" ht="15.75" customHeight="1">
      <c r="A319" s="125" t="str">
        <f>IF('Invoice Log'!$AS297="","",TEXT('Invoice Log'!$AS297,"YYYY-MM"))</f>
        <v/>
      </c>
      <c r="B319" s="45" t="str">
        <f>IF('Invoice Log'!$AR297="","",'Invoice Log'!$AR297)</f>
        <v/>
      </c>
      <c r="C319" s="63" t="str">
        <f>IF('Invoice Log'!$D297="","",'Invoice Log'!$D297)</f>
        <v/>
      </c>
      <c r="D319" s="126" t="str">
        <f>IF('Invoice Log'!$L297="","",'Invoice Log'!$E297)</f>
        <v/>
      </c>
      <c r="E319" s="126" t="str">
        <f>IF('Invoice Log'!$L297="","",'Invoice Log'!$J297)</f>
        <v/>
      </c>
      <c r="F319" s="125" t="str">
        <f>IF('Invoice Log'!$L297="","",'Invoice Log'!$Q297)</f>
        <v/>
      </c>
      <c r="G319" s="65" t="str">
        <f>IF($M319="Yes",'Invoice Log'!$L297,"")</f>
        <v/>
      </c>
      <c r="H319" s="65" t="str">
        <f>IF($M319="Yes",'Invoice Log'!$S297,"")</f>
        <v/>
      </c>
      <c r="I319" s="65" t="str">
        <f>IF($M319="Yes",'Invoice Log'!$AI297,"")</f>
        <v/>
      </c>
      <c r="J319" s="127" t="str">
        <f>IF($M319="Yes",'Invoice Log'!$AO297,"")</f>
        <v/>
      </c>
      <c r="K319" s="129" t="str">
        <f>IF($M319="Yes",'Invoice Log'!$AP297,"")</f>
        <v/>
      </c>
      <c r="L319" s="65" t="str">
        <f>IF($M319="Yes",ROUND('Invoice Log'!$AP297*Settings!$J$8,2),"")</f>
        <v/>
      </c>
      <c r="M319" s="125" t="str">
        <f>IF(OR('Invoice Log'!$L297="",'Invoice Log'!$AS297=""),"",IF(AND('Invoice Log'!$AR297&lt;=$B$3,'Invoice Log'!$AR297&gt;=Settings!$J$10,'Invoice Log'!$J297&lt;&gt;"Cancelled"),"Yes","No"))</f>
        <v/>
      </c>
    </row>
    <row r="320" ht="15.75" customHeight="1">
      <c r="A320" s="125" t="str">
        <f>IF('Invoice Log'!$AS298="","",TEXT('Invoice Log'!$AS298,"YYYY-MM"))</f>
        <v/>
      </c>
      <c r="B320" s="45" t="str">
        <f>IF('Invoice Log'!$AR298="","",'Invoice Log'!$AR298)</f>
        <v/>
      </c>
      <c r="C320" s="63" t="str">
        <f>IF('Invoice Log'!$D298="","",'Invoice Log'!$D298)</f>
        <v/>
      </c>
      <c r="D320" s="126" t="str">
        <f>IF('Invoice Log'!$L298="","",'Invoice Log'!$E298)</f>
        <v/>
      </c>
      <c r="E320" s="126" t="str">
        <f>IF('Invoice Log'!$L298="","",'Invoice Log'!$J298)</f>
        <v/>
      </c>
      <c r="F320" s="125" t="str">
        <f>IF('Invoice Log'!$L298="","",'Invoice Log'!$Q298)</f>
        <v/>
      </c>
      <c r="G320" s="65" t="str">
        <f>IF($M320="Yes",'Invoice Log'!$L298,"")</f>
        <v/>
      </c>
      <c r="H320" s="65" t="str">
        <f>IF($M320="Yes",'Invoice Log'!$S298,"")</f>
        <v/>
      </c>
      <c r="I320" s="65" t="str">
        <f>IF($M320="Yes",'Invoice Log'!$AI298,"")</f>
        <v/>
      </c>
      <c r="J320" s="127" t="str">
        <f>IF($M320="Yes",'Invoice Log'!$AO298,"")</f>
        <v/>
      </c>
      <c r="K320" s="129" t="str">
        <f>IF($M320="Yes",'Invoice Log'!$AP298,"")</f>
        <v/>
      </c>
      <c r="L320" s="65" t="str">
        <f>IF($M320="Yes",ROUND('Invoice Log'!$AP298*Settings!$J$8,2),"")</f>
        <v/>
      </c>
      <c r="M320" s="125" t="str">
        <f>IF(OR('Invoice Log'!$L298="",'Invoice Log'!$AS298=""),"",IF(AND('Invoice Log'!$AR298&lt;=$B$3,'Invoice Log'!$AR298&gt;=Settings!$J$10,'Invoice Log'!$J298&lt;&gt;"Cancelled"),"Yes","No"))</f>
        <v/>
      </c>
    </row>
    <row r="321" ht="15.75" customHeight="1">
      <c r="A321" s="125" t="str">
        <f>IF('Invoice Log'!$AS299="","",TEXT('Invoice Log'!$AS299,"YYYY-MM"))</f>
        <v/>
      </c>
      <c r="B321" s="45" t="str">
        <f>IF('Invoice Log'!$AR299="","",'Invoice Log'!$AR299)</f>
        <v/>
      </c>
      <c r="C321" s="63" t="str">
        <f>IF('Invoice Log'!$D299="","",'Invoice Log'!$D299)</f>
        <v/>
      </c>
      <c r="D321" s="126" t="str">
        <f>IF('Invoice Log'!$L299="","",'Invoice Log'!$E299)</f>
        <v/>
      </c>
      <c r="E321" s="126" t="str">
        <f>IF('Invoice Log'!$L299="","",'Invoice Log'!$J299)</f>
        <v/>
      </c>
      <c r="F321" s="125" t="str">
        <f>IF('Invoice Log'!$L299="","",'Invoice Log'!$Q299)</f>
        <v/>
      </c>
      <c r="G321" s="65" t="str">
        <f>IF($M321="Yes",'Invoice Log'!$L299,"")</f>
        <v/>
      </c>
      <c r="H321" s="65" t="str">
        <f>IF($M321="Yes",'Invoice Log'!$S299,"")</f>
        <v/>
      </c>
      <c r="I321" s="65" t="str">
        <f>IF($M321="Yes",'Invoice Log'!$AI299,"")</f>
        <v/>
      </c>
      <c r="J321" s="127" t="str">
        <f>IF($M321="Yes",'Invoice Log'!$AO299,"")</f>
        <v/>
      </c>
      <c r="K321" s="129" t="str">
        <f>IF($M321="Yes",'Invoice Log'!$AP299,"")</f>
        <v/>
      </c>
      <c r="L321" s="65" t="str">
        <f>IF($M321="Yes",ROUND('Invoice Log'!$AP299*Settings!$J$8,2),"")</f>
        <v/>
      </c>
      <c r="M321" s="125" t="str">
        <f>IF(OR('Invoice Log'!$L299="",'Invoice Log'!$AS299=""),"",IF(AND('Invoice Log'!$AR299&lt;=$B$3,'Invoice Log'!$AR299&gt;=Settings!$J$10,'Invoice Log'!$J299&lt;&gt;"Cancelled"),"Yes","No"))</f>
        <v/>
      </c>
    </row>
    <row r="322" ht="15.75" customHeight="1">
      <c r="A322" s="125" t="str">
        <f>IF('Invoice Log'!$AS300="","",TEXT('Invoice Log'!$AS300,"YYYY-MM"))</f>
        <v/>
      </c>
      <c r="B322" s="45" t="str">
        <f>IF('Invoice Log'!$AR300="","",'Invoice Log'!$AR300)</f>
        <v/>
      </c>
      <c r="C322" s="63" t="str">
        <f>IF('Invoice Log'!$D300="","",'Invoice Log'!$D300)</f>
        <v/>
      </c>
      <c r="D322" s="126" t="str">
        <f>IF('Invoice Log'!$L300="","",'Invoice Log'!$E300)</f>
        <v/>
      </c>
      <c r="E322" s="126" t="str">
        <f>IF('Invoice Log'!$L300="","",'Invoice Log'!$J300)</f>
        <v/>
      </c>
      <c r="F322" s="125" t="str">
        <f>IF('Invoice Log'!$L300="","",'Invoice Log'!$Q300)</f>
        <v/>
      </c>
      <c r="G322" s="65" t="str">
        <f>IF($M322="Yes",'Invoice Log'!$L300,"")</f>
        <v/>
      </c>
      <c r="H322" s="65" t="str">
        <f>IF($M322="Yes",'Invoice Log'!$S300,"")</f>
        <v/>
      </c>
      <c r="I322" s="65" t="str">
        <f>IF($M322="Yes",'Invoice Log'!$AI300,"")</f>
        <v/>
      </c>
      <c r="J322" s="127" t="str">
        <f>IF($M322="Yes",'Invoice Log'!$AO300,"")</f>
        <v/>
      </c>
      <c r="K322" s="129" t="str">
        <f>IF($M322="Yes",'Invoice Log'!$AP300,"")</f>
        <v/>
      </c>
      <c r="L322" s="65" t="str">
        <f>IF($M322="Yes",ROUND('Invoice Log'!$AP300*Settings!$J$8,2),"")</f>
        <v/>
      </c>
      <c r="M322" s="125" t="str">
        <f>IF(OR('Invoice Log'!$L300="",'Invoice Log'!$AS300=""),"",IF(AND('Invoice Log'!$AR300&lt;=$B$3,'Invoice Log'!$AR300&gt;=Settings!$J$10,'Invoice Log'!$J300&lt;&gt;"Cancelled"),"Yes","No"))</f>
        <v/>
      </c>
    </row>
    <row r="323" ht="15.75" customHeight="1">
      <c r="A323" s="125" t="str">
        <f>IF('Invoice Log'!$AS301="","",TEXT('Invoice Log'!$AS301,"YYYY-MM"))</f>
        <v/>
      </c>
      <c r="B323" s="45" t="str">
        <f>IF('Invoice Log'!$AR301="","",'Invoice Log'!$AR301)</f>
        <v/>
      </c>
      <c r="C323" s="63" t="str">
        <f>IF('Invoice Log'!$D301="","",'Invoice Log'!$D301)</f>
        <v/>
      </c>
      <c r="D323" s="126" t="str">
        <f>IF('Invoice Log'!$L301="","",'Invoice Log'!$E301)</f>
        <v/>
      </c>
      <c r="E323" s="126" t="str">
        <f>IF('Invoice Log'!$L301="","",'Invoice Log'!$J301)</f>
        <v/>
      </c>
      <c r="F323" s="125" t="str">
        <f>IF('Invoice Log'!$L301="","",'Invoice Log'!$Q301)</f>
        <v/>
      </c>
      <c r="G323" s="65" t="str">
        <f>IF($M323="Yes",'Invoice Log'!$L301,"")</f>
        <v/>
      </c>
      <c r="H323" s="65" t="str">
        <f>IF($M323="Yes",'Invoice Log'!$S301,"")</f>
        <v/>
      </c>
      <c r="I323" s="65" t="str">
        <f>IF($M323="Yes",'Invoice Log'!$AI301,"")</f>
        <v/>
      </c>
      <c r="J323" s="127" t="str">
        <f>IF($M323="Yes",'Invoice Log'!$AO301,"")</f>
        <v/>
      </c>
      <c r="K323" s="129" t="str">
        <f>IF($M323="Yes",'Invoice Log'!$AP301,"")</f>
        <v/>
      </c>
      <c r="L323" s="65" t="str">
        <f>IF($M323="Yes",ROUND('Invoice Log'!$AP301*Settings!$J$8,2),"")</f>
        <v/>
      </c>
      <c r="M323" s="125" t="str">
        <f>IF(OR('Invoice Log'!$L301="",'Invoice Log'!$AS301=""),"",IF(AND('Invoice Log'!$AR301&lt;=$B$3,'Invoice Log'!$AR301&gt;=Settings!$J$10,'Invoice Log'!$J301&lt;&gt;"Cancelled"),"Yes","No"))</f>
        <v/>
      </c>
    </row>
    <row r="324" ht="15.75" customHeight="1">
      <c r="A324" s="125" t="str">
        <f>IF('Invoice Log'!$AS302="","",TEXT('Invoice Log'!$AS302,"YYYY-MM"))</f>
        <v/>
      </c>
      <c r="B324" s="45" t="str">
        <f>IF('Invoice Log'!$AR302="","",'Invoice Log'!$AR302)</f>
        <v/>
      </c>
      <c r="C324" s="63" t="str">
        <f>IF('Invoice Log'!$D302="","",'Invoice Log'!$D302)</f>
        <v/>
      </c>
      <c r="D324" s="126" t="str">
        <f>IF('Invoice Log'!$L302="","",'Invoice Log'!$E302)</f>
        <v/>
      </c>
      <c r="E324" s="126" t="str">
        <f>IF('Invoice Log'!$L302="","",'Invoice Log'!$J302)</f>
        <v/>
      </c>
      <c r="F324" s="125" t="str">
        <f>IF('Invoice Log'!$L302="","",'Invoice Log'!$Q302)</f>
        <v/>
      </c>
      <c r="G324" s="65" t="str">
        <f>IF($M324="Yes",'Invoice Log'!$L302,"")</f>
        <v/>
      </c>
      <c r="H324" s="65" t="str">
        <f>IF($M324="Yes",'Invoice Log'!$S302,"")</f>
        <v/>
      </c>
      <c r="I324" s="65" t="str">
        <f>IF($M324="Yes",'Invoice Log'!$AI302,"")</f>
        <v/>
      </c>
      <c r="J324" s="127" t="str">
        <f>IF($M324="Yes",'Invoice Log'!$AO302,"")</f>
        <v/>
      </c>
      <c r="K324" s="129" t="str">
        <f>IF($M324="Yes",'Invoice Log'!$AP302,"")</f>
        <v/>
      </c>
      <c r="L324" s="65" t="str">
        <f>IF($M324="Yes",ROUND('Invoice Log'!$AP302*Settings!$J$8,2),"")</f>
        <v/>
      </c>
      <c r="M324" s="125" t="str">
        <f>IF(OR('Invoice Log'!$L302="",'Invoice Log'!$AS302=""),"",IF(AND('Invoice Log'!$AR302&lt;=$B$3,'Invoice Log'!$AR302&gt;=Settings!$J$10,'Invoice Log'!$J302&lt;&gt;"Cancelled"),"Yes","No"))</f>
        <v/>
      </c>
    </row>
    <row r="325" ht="15.75" customHeight="1">
      <c r="A325" s="125" t="str">
        <f>IF('Invoice Log'!$AS303="","",TEXT('Invoice Log'!$AS303,"YYYY-MM"))</f>
        <v/>
      </c>
      <c r="B325" s="45" t="str">
        <f>IF('Invoice Log'!$AR303="","",'Invoice Log'!$AR303)</f>
        <v/>
      </c>
      <c r="C325" s="63" t="str">
        <f>IF('Invoice Log'!$D303="","",'Invoice Log'!$D303)</f>
        <v/>
      </c>
      <c r="D325" s="126" t="str">
        <f>IF('Invoice Log'!$L303="","",'Invoice Log'!$E303)</f>
        <v/>
      </c>
      <c r="E325" s="126" t="str">
        <f>IF('Invoice Log'!$L303="","",'Invoice Log'!$J303)</f>
        <v/>
      </c>
      <c r="F325" s="125" t="str">
        <f>IF('Invoice Log'!$L303="","",'Invoice Log'!$Q303)</f>
        <v/>
      </c>
      <c r="G325" s="65" t="str">
        <f>IF($M325="Yes",'Invoice Log'!$L303,"")</f>
        <v/>
      </c>
      <c r="H325" s="65" t="str">
        <f>IF($M325="Yes",'Invoice Log'!$S303,"")</f>
        <v/>
      </c>
      <c r="I325" s="65" t="str">
        <f>IF($M325="Yes",'Invoice Log'!$AI303,"")</f>
        <v/>
      </c>
      <c r="J325" s="127" t="str">
        <f>IF($M325="Yes",'Invoice Log'!$AO303,"")</f>
        <v/>
      </c>
      <c r="K325" s="129" t="str">
        <f>IF($M325="Yes",'Invoice Log'!$AP303,"")</f>
        <v/>
      </c>
      <c r="L325" s="65" t="str">
        <f>IF($M325="Yes",ROUND('Invoice Log'!$AP303*Settings!$J$8,2),"")</f>
        <v/>
      </c>
      <c r="M325" s="125" t="str">
        <f>IF(OR('Invoice Log'!$L303="",'Invoice Log'!$AS303=""),"",IF(AND('Invoice Log'!$AR303&lt;=$B$3,'Invoice Log'!$AR303&gt;=Settings!$J$10,'Invoice Log'!$J303&lt;&gt;"Cancelled"),"Yes","No"))</f>
        <v/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4:$M$325"/>
  <mergeCells count="5">
    <mergeCell ref="E1:I1"/>
    <mergeCell ref="E2:I2"/>
    <mergeCell ref="A5:K5"/>
    <mergeCell ref="L20:M20"/>
    <mergeCell ref="A23:M23"/>
  </mergeCells>
  <conditionalFormatting sqref="A25:M325">
    <cfRule type="expression" dxfId="23" priority="1">
      <formula>$M25="No"</formula>
    </cfRule>
  </conditionalFormatting>
  <conditionalFormatting sqref="J25:J325">
    <cfRule type="cellIs" dxfId="22" priority="2" operator="lessThan">
      <formula>0</formula>
    </cfRule>
  </conditionalFormatting>
  <conditionalFormatting sqref="J25:J325">
    <cfRule type="cellIs" dxfId="21" priority="3" operator="greaterThan">
      <formula>0</formula>
    </cfRule>
  </conditionalFormatting>
  <conditionalFormatting sqref="M7:M18">
    <cfRule type="expression" dxfId="24" priority="4">
      <formula>$M7="PAID"</formula>
    </cfRule>
  </conditionalFormatting>
  <conditionalFormatting sqref="M7:M18">
    <cfRule type="expression" dxfId="6" priority="5">
      <formula>$M7="OVERDUE"</formula>
    </cfRule>
  </conditionalFormatting>
  <conditionalFormatting sqref="M7:M18">
    <cfRule type="expression" dxfId="2" priority="6">
      <formula>LEFT($M7,3)="Due"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C36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5" width="16.0"/>
    <col customWidth="1" min="6" max="6" width="3.0"/>
    <col customWidth="1" min="7" max="7" width="17.0"/>
    <col customWidth="1" min="8" max="26" width="8.71"/>
  </cols>
  <sheetData>
    <row r="1">
      <c r="A1" s="3" t="str">
        <f>"VAT TALLY  "&amp;Settings!$J$7</f>
        <v>VAT TALLY  2026</v>
      </c>
    </row>
    <row r="2">
      <c r="A2" s="5" t="s">
        <v>1</v>
      </c>
    </row>
    <row r="3">
      <c r="A3" s="5" t="s">
        <v>3</v>
      </c>
    </row>
    <row r="4">
      <c r="A4" s="5" t="str">
        <f>"Every event is standard-rated, so a blank VAT Rate is treated as "&amp;TEXT(Settings!$J$11,"0%")&amp;" automatically. Type a rate in only when a job is genuinely different. Deposits carry no VAT."</f>
        <v>Every event is standard-rated, so a blank VAT Rate is treated as 20% automatically. Type a rate in only when a job is genuinely different. Deposits carry no VAT.</v>
      </c>
    </row>
    <row r="6">
      <c r="A6" s="8" t="s">
        <v>6</v>
      </c>
      <c r="B6" s="2"/>
      <c r="C6" s="2"/>
      <c r="D6" s="2"/>
      <c r="E6" s="4"/>
      <c r="G6" s="10" t="s">
        <v>7</v>
      </c>
    </row>
    <row r="7" ht="30.0" customHeight="1">
      <c r="A7" s="11" t="s">
        <v>8</v>
      </c>
      <c r="B7" s="11" t="s">
        <v>10</v>
      </c>
      <c r="C7" s="11" t="s">
        <v>11</v>
      </c>
      <c r="D7" s="14" t="s">
        <v>12</v>
      </c>
      <c r="E7" s="11" t="s">
        <v>15</v>
      </c>
      <c r="G7" s="11" t="s">
        <v>16</v>
      </c>
    </row>
    <row r="8">
      <c r="A8" s="20">
        <f>DATE(Settings!$J$7,1,1)</f>
        <v>46023</v>
      </c>
      <c r="B8" s="22">
        <f>COUNTIFS('Invoice Log'!$H$3:$H$303,"&gt;="&amp;$A8,'Invoice Log'!$H$3:$H$303,"&lt;="&amp;EOMONTH($A8,0),'Invoice Log'!$J$3:$J$303,"&lt;&gt;Cancelled")</f>
        <v>21</v>
      </c>
      <c r="C8" s="30">
        <f>SUMIFS('Invoice Log'!$L$3:$L$303,'Invoice Log'!$H$3:$H$303,"&gt;="&amp;$A8,'Invoice Log'!$H$3:$H$303,"&lt;="&amp;EOMONTH($A8,0),'Invoice Log'!$J$3:$J$303,"&lt;&gt;Cancelled")</f>
        <v>76594.71</v>
      </c>
      <c r="D8" s="35">
        <f>SUMIFS('Invoice Log'!$O$3:$O$303,'Invoice Log'!$H$3:$H$303,"&gt;="&amp;$A8,'Invoice Log'!$H$3:$H$303,"&lt;="&amp;EOMONTH($A8,0),'Invoice Log'!$J$3:$J$303,"&lt;&gt;Cancelled")</f>
        <v>15318.942</v>
      </c>
      <c r="E8" s="30">
        <f t="shared" ref="E8:E19" si="1">ROUND($C8+$D8,2)</f>
        <v>91913.65</v>
      </c>
      <c r="G8" s="39">
        <f>SUMIFS('Invoice Log'!$O$3:$O$303,'Invoice Log'!$AS$3:$AS$303,$A8,'Invoice Log'!$J$3:$J$303,"&lt;&gt;Cancelled")</f>
        <v>7762.24</v>
      </c>
    </row>
    <row r="9">
      <c r="A9" s="20">
        <f>DATE(Settings!$J$7,2,1)</f>
        <v>46054</v>
      </c>
      <c r="B9" s="22">
        <f>COUNTIFS('Invoice Log'!$H$3:$H$303,"&gt;="&amp;$A9,'Invoice Log'!$H$3:$H$303,"&lt;="&amp;EOMONTH($A9,0),'Invoice Log'!$J$3:$J$303,"&lt;&gt;Cancelled")</f>
        <v>14</v>
      </c>
      <c r="C9" s="30">
        <f>SUMIFS('Invoice Log'!$L$3:$L$303,'Invoice Log'!$H$3:$H$303,"&gt;="&amp;$A9,'Invoice Log'!$H$3:$H$303,"&lt;="&amp;EOMONTH($A9,0),'Invoice Log'!$J$3:$J$303,"&lt;&gt;Cancelled")</f>
        <v>35261.6</v>
      </c>
      <c r="D9" s="35">
        <f>SUMIFS('Invoice Log'!$O$3:$O$303,'Invoice Log'!$H$3:$H$303,"&gt;="&amp;$A9,'Invoice Log'!$H$3:$H$303,"&lt;="&amp;EOMONTH($A9,0),'Invoice Log'!$J$3:$J$303,"&lt;&gt;Cancelled")</f>
        <v>7052.32</v>
      </c>
      <c r="E9" s="30">
        <f t="shared" si="1"/>
        <v>42313.92</v>
      </c>
      <c r="G9" s="39">
        <f>SUMIFS('Invoice Log'!$O$3:$O$303,'Invoice Log'!$AS$3:$AS$303,$A9,'Invoice Log'!$J$3:$J$303,"&lt;&gt;Cancelled")</f>
        <v>7106.836</v>
      </c>
    </row>
    <row r="10">
      <c r="A10" s="20">
        <f>DATE(Settings!$J$7,3,1)</f>
        <v>46082</v>
      </c>
      <c r="B10" s="22">
        <f>COUNTIFS('Invoice Log'!$H$3:$H$303,"&gt;="&amp;$A10,'Invoice Log'!$H$3:$H$303,"&lt;="&amp;EOMONTH($A10,0),'Invoice Log'!$J$3:$J$303,"&lt;&gt;Cancelled")</f>
        <v>22</v>
      </c>
      <c r="C10" s="30">
        <f>SUMIFS('Invoice Log'!$L$3:$L$303,'Invoice Log'!$H$3:$H$303,"&gt;="&amp;$A10,'Invoice Log'!$H$3:$H$303,"&lt;="&amp;EOMONTH($A10,0),'Invoice Log'!$J$3:$J$303,"&lt;&gt;Cancelled")</f>
        <v>42918.7</v>
      </c>
      <c r="D10" s="35">
        <f>SUMIFS('Invoice Log'!$O$3:$O$303,'Invoice Log'!$H$3:$H$303,"&gt;="&amp;$A10,'Invoice Log'!$H$3:$H$303,"&lt;="&amp;EOMONTH($A10,0),'Invoice Log'!$J$3:$J$303,"&lt;&gt;Cancelled")</f>
        <v>8297.74</v>
      </c>
      <c r="E10" s="30">
        <f t="shared" si="1"/>
        <v>51216.44</v>
      </c>
      <c r="G10" s="39">
        <f>SUMIFS('Invoice Log'!$O$3:$O$303,'Invoice Log'!$AS$3:$AS$303,$A10,'Invoice Log'!$J$3:$J$303,"&lt;&gt;Cancelled")</f>
        <v>8150.626</v>
      </c>
    </row>
    <row r="11">
      <c r="A11" s="20">
        <f>DATE(Settings!$J$7,4,1)</f>
        <v>46113</v>
      </c>
      <c r="B11" s="22">
        <f>COUNTIFS('Invoice Log'!$H$3:$H$303,"&gt;="&amp;$A11,'Invoice Log'!$H$3:$H$303,"&lt;="&amp;EOMONTH($A11,0),'Invoice Log'!$J$3:$J$303,"&lt;&gt;Cancelled")</f>
        <v>14</v>
      </c>
      <c r="C11" s="30">
        <f>SUMIFS('Invoice Log'!$L$3:$L$303,'Invoice Log'!$H$3:$H$303,"&gt;="&amp;$A11,'Invoice Log'!$H$3:$H$303,"&lt;="&amp;EOMONTH($A11,0),'Invoice Log'!$J$3:$J$303,"&lt;&gt;Cancelled")</f>
        <v>90718.75</v>
      </c>
      <c r="D11" s="35">
        <f>SUMIFS('Invoice Log'!$O$3:$O$303,'Invoice Log'!$H$3:$H$303,"&gt;="&amp;$A11,'Invoice Log'!$H$3:$H$303,"&lt;="&amp;EOMONTH($A11,0),'Invoice Log'!$J$3:$J$303,"&lt;&gt;Cancelled")</f>
        <v>18143.75</v>
      </c>
      <c r="E11" s="30">
        <f t="shared" si="1"/>
        <v>108862.5</v>
      </c>
      <c r="G11" s="39">
        <f>SUMIFS('Invoice Log'!$O$3:$O$303,'Invoice Log'!$AS$3:$AS$303,$A11,'Invoice Log'!$J$3:$J$303,"&lt;&gt;Cancelled")</f>
        <v>4737.82</v>
      </c>
    </row>
    <row r="12">
      <c r="A12" s="20">
        <f>DATE(Settings!$J$7,5,1)</f>
        <v>46143</v>
      </c>
      <c r="B12" s="22">
        <f>COUNTIFS('Invoice Log'!$H$3:$H$303,"&gt;="&amp;$A12,'Invoice Log'!$H$3:$H$303,"&lt;="&amp;EOMONTH($A12,0),'Invoice Log'!$J$3:$J$303,"&lt;&gt;Cancelled")</f>
        <v>9</v>
      </c>
      <c r="C12" s="30">
        <f>SUMIFS('Invoice Log'!$L$3:$L$303,'Invoice Log'!$H$3:$H$303,"&gt;="&amp;$A12,'Invoice Log'!$H$3:$H$303,"&lt;="&amp;EOMONTH($A12,0),'Invoice Log'!$J$3:$J$303,"&lt;&gt;Cancelled")</f>
        <v>57141.3</v>
      </c>
      <c r="D12" s="35">
        <f>SUMIFS('Invoice Log'!$O$3:$O$303,'Invoice Log'!$H$3:$H$303,"&gt;="&amp;$A12,'Invoice Log'!$H$3:$H$303,"&lt;="&amp;EOMONTH($A12,0),'Invoice Log'!$J$3:$J$303,"&lt;&gt;Cancelled")</f>
        <v>11428.26</v>
      </c>
      <c r="E12" s="30">
        <f t="shared" si="1"/>
        <v>68569.56</v>
      </c>
      <c r="G12" s="39">
        <f>SUMIFS('Invoice Log'!$O$3:$O$303,'Invoice Log'!$AS$3:$AS$303,$A12,'Invoice Log'!$J$3:$J$303,"&lt;&gt;Cancelled")</f>
        <v>3093.1</v>
      </c>
    </row>
    <row r="13">
      <c r="A13" s="20">
        <f>DATE(Settings!$J$7,6,1)</f>
        <v>46174</v>
      </c>
      <c r="B13" s="22">
        <f>COUNTIFS('Invoice Log'!$H$3:$H$303,"&gt;="&amp;$A13,'Invoice Log'!$H$3:$H$303,"&lt;="&amp;EOMONTH($A13,0),'Invoice Log'!$J$3:$J$303,"&lt;&gt;Cancelled")</f>
        <v>25</v>
      </c>
      <c r="C13" s="30">
        <f>SUMIFS('Invoice Log'!$L$3:$L$303,'Invoice Log'!$H$3:$H$303,"&gt;="&amp;$A13,'Invoice Log'!$H$3:$H$303,"&lt;="&amp;EOMONTH($A13,0),'Invoice Log'!$J$3:$J$303,"&lt;&gt;Cancelled")</f>
        <v>72924.69</v>
      </c>
      <c r="D13" s="35">
        <f>SUMIFS('Invoice Log'!$O$3:$O$303,'Invoice Log'!$H$3:$H$303,"&gt;="&amp;$A13,'Invoice Log'!$H$3:$H$303,"&lt;="&amp;EOMONTH($A13,0),'Invoice Log'!$J$3:$J$303,"&lt;&gt;Cancelled")</f>
        <v>14584.938</v>
      </c>
      <c r="E13" s="30">
        <f t="shared" si="1"/>
        <v>87509.63</v>
      </c>
      <c r="G13" s="39">
        <f>SUMIFS('Invoice Log'!$O$3:$O$303,'Invoice Log'!$AS$3:$AS$303,$A13,'Invoice Log'!$J$3:$J$303,"&lt;&gt;Cancelled")</f>
        <v>28384.418</v>
      </c>
    </row>
    <row r="14">
      <c r="A14" s="20">
        <f>DATE(Settings!$J$7,7,1)</f>
        <v>46204</v>
      </c>
      <c r="B14" s="22">
        <f>COUNTIFS('Invoice Log'!$H$3:$H$303,"&gt;="&amp;$A14,'Invoice Log'!$H$3:$H$303,"&lt;="&amp;EOMONTH($A14,0),'Invoice Log'!$J$3:$J$303,"&lt;&gt;Cancelled")</f>
        <v>5</v>
      </c>
      <c r="C14" s="30">
        <f>SUMIFS('Invoice Log'!$L$3:$L$303,'Invoice Log'!$H$3:$H$303,"&gt;="&amp;$A14,'Invoice Log'!$H$3:$H$303,"&lt;="&amp;EOMONTH($A14,0),'Invoice Log'!$J$3:$J$303,"&lt;&gt;Cancelled")</f>
        <v>11479.8</v>
      </c>
      <c r="D14" s="35">
        <f>SUMIFS('Invoice Log'!$O$3:$O$303,'Invoice Log'!$H$3:$H$303,"&gt;="&amp;$A14,'Invoice Log'!$H$3:$H$303,"&lt;="&amp;EOMONTH($A14,0),'Invoice Log'!$J$3:$J$303,"&lt;&gt;Cancelled")</f>
        <v>2295.96</v>
      </c>
      <c r="E14" s="30">
        <f t="shared" si="1"/>
        <v>13775.76</v>
      </c>
      <c r="G14" s="39">
        <f>SUMIFS('Invoice Log'!$O$3:$O$303,'Invoice Log'!$AS$3:$AS$303,$A14,'Invoice Log'!$J$3:$J$303,"&lt;&gt;Cancelled")</f>
        <v>13437.12</v>
      </c>
    </row>
    <row r="15">
      <c r="A15" s="20">
        <f>DATE(Settings!$J$7,8,1)</f>
        <v>46235</v>
      </c>
      <c r="B15" s="22">
        <f>COUNTIFS('Invoice Log'!$H$3:$H$303,"&gt;="&amp;$A15,'Invoice Log'!$H$3:$H$303,"&lt;="&amp;EOMONTH($A15,0),'Invoice Log'!$J$3:$J$303,"&lt;&gt;Cancelled")</f>
        <v>16</v>
      </c>
      <c r="C15" s="30">
        <f>SUMIFS('Invoice Log'!$L$3:$L$303,'Invoice Log'!$H$3:$H$303,"&gt;="&amp;$A15,'Invoice Log'!$H$3:$H$303,"&lt;="&amp;EOMONTH($A15,0),'Invoice Log'!$J$3:$J$303,"&lt;&gt;Cancelled")</f>
        <v>42446.2</v>
      </c>
      <c r="D15" s="35">
        <f>SUMIFS('Invoice Log'!$O$3:$O$303,'Invoice Log'!$H$3:$H$303,"&gt;="&amp;$A15,'Invoice Log'!$H$3:$H$303,"&lt;="&amp;EOMONTH($A15,0),'Invoice Log'!$J$3:$J$303,"&lt;&gt;Cancelled")</f>
        <v>8489.24</v>
      </c>
      <c r="E15" s="30">
        <f t="shared" si="1"/>
        <v>50935.44</v>
      </c>
      <c r="G15" s="39">
        <f>SUMIFS('Invoice Log'!$O$3:$O$303,'Invoice Log'!$AS$3:$AS$303,$A15,'Invoice Log'!$J$3:$J$303,"&lt;&gt;Cancelled")</f>
        <v>2373.09</v>
      </c>
    </row>
    <row r="16">
      <c r="A16" s="20">
        <f>DATE(Settings!$J$7,9,1)</f>
        <v>46266</v>
      </c>
      <c r="B16" s="22">
        <f>COUNTIFS('Invoice Log'!$H$3:$H$303,"&gt;="&amp;$A16,'Invoice Log'!$H$3:$H$303,"&lt;="&amp;EOMONTH($A16,0),'Invoice Log'!$J$3:$J$303,"&lt;&gt;Cancelled")</f>
        <v>24</v>
      </c>
      <c r="C16" s="30">
        <f>SUMIFS('Invoice Log'!$L$3:$L$303,'Invoice Log'!$H$3:$H$303,"&gt;="&amp;$A16,'Invoice Log'!$H$3:$H$303,"&lt;="&amp;EOMONTH($A16,0),'Invoice Log'!$J$3:$J$303,"&lt;&gt;Cancelled")</f>
        <v>99485.6</v>
      </c>
      <c r="D16" s="35">
        <f>SUMIFS('Invoice Log'!$O$3:$O$303,'Invoice Log'!$H$3:$H$303,"&gt;="&amp;$A16,'Invoice Log'!$H$3:$H$303,"&lt;="&amp;EOMONTH($A16,0),'Invoice Log'!$J$3:$J$303,"&lt;&gt;Cancelled")</f>
        <v>19897.12</v>
      </c>
      <c r="E16" s="30">
        <f t="shared" si="1"/>
        <v>119382.72</v>
      </c>
      <c r="G16" s="39">
        <f>SUMIFS('Invoice Log'!$O$3:$O$303,'Invoice Log'!$AS$3:$AS$303,$A16,'Invoice Log'!$J$3:$J$303,"&lt;&gt;Cancelled")</f>
        <v>17538.18</v>
      </c>
    </row>
    <row r="17">
      <c r="A17" s="20">
        <f>DATE(Settings!$J$7,10,1)</f>
        <v>46296</v>
      </c>
      <c r="B17" s="22">
        <f>COUNTIFS('Invoice Log'!$H$3:$H$303,"&gt;="&amp;$A17,'Invoice Log'!$H$3:$H$303,"&lt;="&amp;EOMONTH($A17,0),'Invoice Log'!$J$3:$J$303,"&lt;&gt;Cancelled")</f>
        <v>2</v>
      </c>
      <c r="C17" s="30">
        <f>SUMIFS('Invoice Log'!$L$3:$L$303,'Invoice Log'!$H$3:$H$303,"&gt;="&amp;$A17,'Invoice Log'!$H$3:$H$303,"&lt;="&amp;EOMONTH($A17,0),'Invoice Log'!$J$3:$J$303,"&lt;&gt;Cancelled")</f>
        <v>6705.9</v>
      </c>
      <c r="D17" s="35">
        <f>SUMIFS('Invoice Log'!$O$3:$O$303,'Invoice Log'!$H$3:$H$303,"&gt;="&amp;$A17,'Invoice Log'!$H$3:$H$303,"&lt;="&amp;EOMONTH($A17,0),'Invoice Log'!$J$3:$J$303,"&lt;&gt;Cancelled")</f>
        <v>1341.18</v>
      </c>
      <c r="E17" s="30">
        <f t="shared" si="1"/>
        <v>8047.08</v>
      </c>
      <c r="G17" s="39">
        <f>SUMIFS('Invoice Log'!$O$3:$O$303,'Invoice Log'!$AS$3:$AS$303,$A17,'Invoice Log'!$J$3:$J$303,"&lt;&gt;Cancelled")</f>
        <v>5178.11</v>
      </c>
    </row>
    <row r="18">
      <c r="A18" s="20">
        <f>DATE(Settings!$J$7,11,1)</f>
        <v>46327</v>
      </c>
      <c r="B18" s="22">
        <f>COUNTIFS('Invoice Log'!$H$3:$H$303,"&gt;="&amp;$A18,'Invoice Log'!$H$3:$H$303,"&lt;="&amp;EOMONTH($A18,0),'Invoice Log'!$J$3:$J$303,"&lt;&gt;Cancelled")</f>
        <v>0</v>
      </c>
      <c r="C18" s="30">
        <f>SUMIFS('Invoice Log'!$L$3:$L$303,'Invoice Log'!$H$3:$H$303,"&gt;="&amp;$A18,'Invoice Log'!$H$3:$H$303,"&lt;="&amp;EOMONTH($A18,0),'Invoice Log'!$J$3:$J$303,"&lt;&gt;Cancelled")</f>
        <v>0</v>
      </c>
      <c r="D18" s="35">
        <f>SUMIFS('Invoice Log'!$O$3:$O$303,'Invoice Log'!$H$3:$H$303,"&gt;="&amp;$A18,'Invoice Log'!$H$3:$H$303,"&lt;="&amp;EOMONTH($A18,0),'Invoice Log'!$J$3:$J$303,"&lt;&gt;Cancelled")</f>
        <v>0</v>
      </c>
      <c r="E18" s="30">
        <f t="shared" si="1"/>
        <v>0</v>
      </c>
      <c r="G18" s="39">
        <f>SUMIFS('Invoice Log'!$O$3:$O$303,'Invoice Log'!$AS$3:$AS$303,$A18,'Invoice Log'!$J$3:$J$303,"&lt;&gt;Cancelled")</f>
        <v>1573.87</v>
      </c>
    </row>
    <row r="19">
      <c r="A19" s="20">
        <f>DATE(Settings!$J$7,12,1)</f>
        <v>46357</v>
      </c>
      <c r="B19" s="22">
        <f>COUNTIFS('Invoice Log'!$H$3:$H$303,"&gt;="&amp;$A19,'Invoice Log'!$H$3:$H$303,"&lt;="&amp;EOMONTH($A19,0),'Invoice Log'!$J$3:$J$303,"&lt;&gt;Cancelled")</f>
        <v>0</v>
      </c>
      <c r="C19" s="30">
        <f>SUMIFS('Invoice Log'!$L$3:$L$303,'Invoice Log'!$H$3:$H$303,"&gt;="&amp;$A19,'Invoice Log'!$H$3:$H$303,"&lt;="&amp;EOMONTH($A19,0),'Invoice Log'!$J$3:$J$303,"&lt;&gt;Cancelled")</f>
        <v>0</v>
      </c>
      <c r="D19" s="35">
        <f>SUMIFS('Invoice Log'!$O$3:$O$303,'Invoice Log'!$H$3:$H$303,"&gt;="&amp;$A19,'Invoice Log'!$H$3:$H$303,"&lt;="&amp;EOMONTH($A19,0),'Invoice Log'!$J$3:$J$303,"&lt;&gt;Cancelled")</f>
        <v>0</v>
      </c>
      <c r="E19" s="30">
        <f t="shared" si="1"/>
        <v>0</v>
      </c>
      <c r="G19" s="39">
        <f>SUMIFS('Invoice Log'!$O$3:$O$303,'Invoice Log'!$AS$3:$AS$303,$A19,'Invoice Log'!$J$3:$J$303,"&lt;&gt;Cancelled")</f>
        <v>4490.98</v>
      </c>
    </row>
    <row r="20">
      <c r="A20" s="50" t="s">
        <v>93</v>
      </c>
      <c r="B20" s="52">
        <f t="shared" ref="B20:E20" si="2">SUM(B8:B19)</f>
        <v>152</v>
      </c>
      <c r="C20" s="53">
        <f t="shared" si="2"/>
        <v>535677.25</v>
      </c>
      <c r="D20" s="53">
        <f t="shared" si="2"/>
        <v>106849.45</v>
      </c>
      <c r="E20" s="53">
        <f t="shared" si="2"/>
        <v>642526.7</v>
      </c>
    </row>
    <row r="21" ht="15.75" customHeight="1"/>
    <row r="22" ht="15.75" customHeight="1"/>
    <row r="23" ht="15.75" customHeight="1">
      <c r="A23" s="8" t="s">
        <v>96</v>
      </c>
      <c r="B23" s="2"/>
      <c r="C23" s="2"/>
      <c r="D23" s="2"/>
      <c r="E23" s="4"/>
    </row>
    <row r="24" ht="15.75" customHeight="1">
      <c r="A24" s="56" t="s">
        <v>98</v>
      </c>
      <c r="B24" s="56" t="s">
        <v>10</v>
      </c>
      <c r="C24" s="56" t="s">
        <v>11</v>
      </c>
      <c r="D24" s="56" t="s">
        <v>12</v>
      </c>
      <c r="E24" s="56" t="s">
        <v>15</v>
      </c>
    </row>
    <row r="25" ht="15.75" customHeight="1">
      <c r="A25" s="58" t="s">
        <v>100</v>
      </c>
      <c r="B25" s="63">
        <f t="shared" ref="B25:E25" si="3">SUM(B8:B10)</f>
        <v>57</v>
      </c>
      <c r="C25" s="65">
        <f t="shared" si="3"/>
        <v>154775.01</v>
      </c>
      <c r="D25" s="68">
        <f t="shared" si="3"/>
        <v>30669.002</v>
      </c>
      <c r="E25" s="65">
        <f t="shared" si="3"/>
        <v>185444.01</v>
      </c>
    </row>
    <row r="26" ht="15.75" customHeight="1">
      <c r="A26" s="58" t="s">
        <v>107</v>
      </c>
      <c r="B26" s="63">
        <f t="shared" ref="B26:E26" si="4">SUM(B11:B13)</f>
        <v>48</v>
      </c>
      <c r="C26" s="65">
        <f t="shared" si="4"/>
        <v>220784.74</v>
      </c>
      <c r="D26" s="68">
        <f t="shared" si="4"/>
        <v>44156.948</v>
      </c>
      <c r="E26" s="65">
        <f t="shared" si="4"/>
        <v>264941.69</v>
      </c>
    </row>
    <row r="27" ht="15.75" customHeight="1">
      <c r="A27" s="58" t="s">
        <v>112</v>
      </c>
      <c r="B27" s="63">
        <f t="shared" ref="B27:E27" si="5">SUM(B14:B16)</f>
        <v>45</v>
      </c>
      <c r="C27" s="65">
        <f t="shared" si="5"/>
        <v>153411.6</v>
      </c>
      <c r="D27" s="68">
        <f t="shared" si="5"/>
        <v>30682.32</v>
      </c>
      <c r="E27" s="65">
        <f t="shared" si="5"/>
        <v>184093.92</v>
      </c>
    </row>
    <row r="28" ht="15.75" customHeight="1">
      <c r="A28" s="58" t="s">
        <v>116</v>
      </c>
      <c r="B28" s="63">
        <f t="shared" ref="B28:E28" si="6">SUM(B17:B19)</f>
        <v>2</v>
      </c>
      <c r="C28" s="65">
        <f t="shared" si="6"/>
        <v>6705.9</v>
      </c>
      <c r="D28" s="68">
        <f t="shared" si="6"/>
        <v>1341.18</v>
      </c>
      <c r="E28" s="65">
        <f t="shared" si="6"/>
        <v>8047.08</v>
      </c>
    </row>
    <row r="29" ht="15.75" customHeight="1">
      <c r="A29" s="28" t="s">
        <v>117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:E6"/>
    <mergeCell ref="A23:E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6B52"/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7.0"/>
    <col customWidth="1" min="3" max="3" width="24.0"/>
    <col customWidth="1" min="4" max="4" width="17.0"/>
    <col customWidth="1" min="5" max="5" width="4.0"/>
    <col customWidth="1" min="6" max="6" width="30.0"/>
    <col customWidth="1" min="7" max="7" width="20.0"/>
    <col customWidth="1" min="8" max="8" width="16.0"/>
    <col customWidth="1" min="9" max="26" width="8.71"/>
  </cols>
  <sheetData>
    <row r="1">
      <c r="A1" s="51" t="str">
        <f>"QUOTE &amp; INVOICE LOG "&amp;Settings!$J$7&amp;"  -  Dashboard"</f>
        <v>QUOTE &amp; INVOICE LOG 2026  -  Dashboard</v>
      </c>
    </row>
    <row r="2">
      <c r="A2" s="5" t="str">
        <f>"Everything here updates itself - showing "&amp;Settings!$J$7&amp;". Change the Reporting year on Settings to look at another year."</f>
        <v>Everything here updates itself - showing 2026. Change the Reporting year on Settings to look at another year.</v>
      </c>
    </row>
    <row r="4" ht="15.75" customHeight="1">
      <c r="A4" s="54" t="s">
        <v>95</v>
      </c>
      <c r="B4" s="4"/>
      <c r="C4" s="55" t="s">
        <v>97</v>
      </c>
      <c r="D4" s="4"/>
      <c r="F4" s="57" t="s">
        <v>99</v>
      </c>
      <c r="G4" s="2"/>
      <c r="H4" s="4"/>
    </row>
    <row r="5" ht="19.5" customHeight="1">
      <c r="A5" s="59">
        <f>SUMIFS('Invoice Log'!$T$3:$T$303,'Invoice Log'!$J$3:$J$303,"&lt;&gt;Cancelled",'Invoice Log'!$AT$3:$AT$303,Settings!$J$7)</f>
        <v>691446.46</v>
      </c>
      <c r="B5" s="60"/>
      <c r="C5" s="61">
        <f>SUMIFS('Invoice Log'!$AE$3:$AE$303,'Invoice Log'!$AT$3:$AT$303,Settings!$J$7)</f>
        <v>614090.51</v>
      </c>
      <c r="D5" s="60"/>
      <c r="F5" s="62" t="s">
        <v>101</v>
      </c>
      <c r="G5" s="64" t="s">
        <v>102</v>
      </c>
    </row>
    <row r="6" ht="15.75" customHeight="1">
      <c r="A6" s="66"/>
      <c r="B6" s="67"/>
      <c r="C6" s="66"/>
      <c r="D6" s="67"/>
      <c r="F6" s="69" t="s">
        <v>103</v>
      </c>
      <c r="G6" s="64" t="s">
        <v>104</v>
      </c>
    </row>
    <row r="7">
      <c r="F7" s="70" t="s">
        <v>105</v>
      </c>
      <c r="G7" s="64" t="s">
        <v>106</v>
      </c>
    </row>
    <row r="8">
      <c r="F8" s="71" t="s">
        <v>108</v>
      </c>
      <c r="G8" s="64" t="s">
        <v>109</v>
      </c>
    </row>
    <row r="9" ht="15.75" customHeight="1">
      <c r="A9" s="72" t="s">
        <v>110</v>
      </c>
      <c r="B9" s="4"/>
      <c r="C9" s="73" t="s">
        <v>111</v>
      </c>
      <c r="D9" s="4"/>
      <c r="F9" s="74" t="s">
        <v>114</v>
      </c>
      <c r="G9" s="64" t="s">
        <v>115</v>
      </c>
    </row>
    <row r="10" ht="19.5" customHeight="1">
      <c r="A10" s="75">
        <f>SUMIFS('Invoice Log'!$AG$3:$AG$303,'Invoice Log'!$AT$3:$AT$303,Settings!$J$7)</f>
        <v>61962.01</v>
      </c>
      <c r="B10" s="60"/>
      <c r="C10" s="76">
        <f>SUMIFS('Invoice Log'!$AG$3:$AG$303,'Invoice Log'!$AH$3:$AH$303,"&gt;0",'Invoice Log'!$AT$3:$AT$303,Settings!$J$7)</f>
        <v>4128.22</v>
      </c>
      <c r="D10" s="60"/>
      <c r="F10" s="77" t="s">
        <v>76</v>
      </c>
      <c r="G10" s="64" t="s">
        <v>118</v>
      </c>
    </row>
    <row r="11" ht="15.75" customHeight="1">
      <c r="A11" s="66"/>
      <c r="B11" s="67"/>
      <c r="C11" s="66"/>
      <c r="D11" s="67"/>
      <c r="F11" s="78" t="s">
        <v>119</v>
      </c>
      <c r="G11" s="64" t="s">
        <v>120</v>
      </c>
    </row>
    <row r="12">
      <c r="A12" s="28" t="s">
        <v>121</v>
      </c>
      <c r="C12" s="28" t="s">
        <v>122</v>
      </c>
    </row>
    <row r="13">
      <c r="F13" s="57" t="s">
        <v>123</v>
      </c>
      <c r="G13" s="2"/>
      <c r="H13" s="4"/>
    </row>
    <row r="14" ht="15.75" customHeight="1">
      <c r="A14" s="79" t="s">
        <v>124</v>
      </c>
      <c r="B14" s="4"/>
      <c r="C14" s="80" t="s">
        <v>125</v>
      </c>
      <c r="D14" s="4"/>
      <c r="F14" s="81" t="s">
        <v>8</v>
      </c>
      <c r="G14" s="81" t="s">
        <v>10</v>
      </c>
      <c r="H14" s="81" t="s">
        <v>127</v>
      </c>
    </row>
    <row r="15" ht="19.5" customHeight="1">
      <c r="A15" s="82">
        <f>SUMIFS('Invoice Log'!$AI$3:$AI$303,'Invoice Log'!$AN$3:$AN$303,"",'Invoice Log'!$AT$3:$AT$303,Settings!$J$7)</f>
        <v>11704.65</v>
      </c>
      <c r="B15" s="60"/>
      <c r="C15" s="83">
        <f>COUNTIFS('Invoice Log'!$L$3:$L$303,"&gt;0",'Invoice Log'!$J$3:$J$303,"")</f>
        <v>7</v>
      </c>
      <c r="D15" s="60"/>
      <c r="F15" s="84">
        <f>DATE(Settings!$J$7,1,1)</f>
        <v>46023</v>
      </c>
      <c r="G15" s="85">
        <f>COUNTIFS('Invoice Log'!$AS$3:$AS$303,$F15)</f>
        <v>11</v>
      </c>
      <c r="H15" s="86">
        <f>SUMIFS('Invoice Log'!$T$3:$T$303,'Invoice Log'!$AS$3:$AS$303,$F15,'Invoice Log'!$J$3:$J$303,"&lt;&gt;Cancelled")</f>
        <v>49666.03</v>
      </c>
    </row>
    <row r="16" ht="15.75" customHeight="1">
      <c r="A16" s="66"/>
      <c r="B16" s="67"/>
      <c r="C16" s="66"/>
      <c r="D16" s="67"/>
      <c r="F16" s="84">
        <f>DATE(Settings!$J$7,2,1)</f>
        <v>46054</v>
      </c>
      <c r="G16" s="85">
        <f>COUNTIFS('Invoice Log'!$AS$3:$AS$303,$F16)</f>
        <v>14</v>
      </c>
      <c r="H16" s="86">
        <f>SUMIFS('Invoice Log'!$T$3:$T$303,'Invoice Log'!$AS$3:$AS$303,$F16,'Invoice Log'!$J$3:$J$303,"&lt;&gt;Cancelled")</f>
        <v>47275.736</v>
      </c>
    </row>
    <row r="17">
      <c r="A17" s="28" t="str">
        <f>COUNTIFS('Invoice Log'!$AI$3:$AI$303,"&gt;0",'Invoice Log'!$AN$3:$AN$303,"",'Invoice Log'!$AT$3:$AT$303,Settings!$J$7)&amp;" jobs waiting"</f>
        <v>19 jobs waiting</v>
      </c>
      <c r="C17" s="28" t="s">
        <v>129</v>
      </c>
      <c r="F17" s="84">
        <f>DATE(Settings!$J$7,3,1)</f>
        <v>46082</v>
      </c>
      <c r="G17" s="85">
        <f>COUNTIFS('Invoice Log'!$AS$3:$AS$303,$F17)</f>
        <v>22</v>
      </c>
      <c r="H17" s="86">
        <f>SUMIFS('Invoice Log'!$T$3:$T$303,'Invoice Log'!$AS$3:$AS$303,$F17,'Invoice Log'!$J$3:$J$303,"&lt;&gt;Cancelled")</f>
        <v>50725.116</v>
      </c>
    </row>
    <row r="18">
      <c r="F18" s="84">
        <f>DATE(Settings!$J$7,4,1)</f>
        <v>46113</v>
      </c>
      <c r="G18" s="85">
        <f>COUNTIFS('Invoice Log'!$AS$3:$AS$303,$F18)</f>
        <v>9</v>
      </c>
      <c r="H18" s="86">
        <f>SUMIFS('Invoice Log'!$T$3:$T$303,'Invoice Log'!$AS$3:$AS$303,$F18,'Invoice Log'!$J$3:$J$303,"&lt;&gt;Cancelled")</f>
        <v>29168.91</v>
      </c>
    </row>
    <row r="19" ht="15.75" customHeight="1">
      <c r="A19" s="87" t="s">
        <v>131</v>
      </c>
      <c r="B19" s="4"/>
      <c r="C19" s="88" t="s">
        <v>132</v>
      </c>
      <c r="D19" s="4"/>
      <c r="F19" s="84">
        <f>DATE(Settings!$J$7,5,1)</f>
        <v>46143</v>
      </c>
      <c r="G19" s="85">
        <f>COUNTIFS('Invoice Log'!$AS$3:$AS$303,$F19)</f>
        <v>7</v>
      </c>
      <c r="H19" s="86">
        <f>SUMIFS('Invoice Log'!$T$3:$T$303,'Invoice Log'!$AS$3:$AS$303,$F19,'Invoice Log'!$J$3:$J$303,"&lt;&gt;Cancelled")</f>
        <v>19543.34</v>
      </c>
    </row>
    <row r="20" ht="19.5" customHeight="1">
      <c r="A20" s="90">
        <f>SUM(Collective!$H$7:$H$18)</f>
        <v>18738.57</v>
      </c>
      <c r="B20" s="60"/>
      <c r="C20" s="92">
        <f>SUM(Collective!$I$7:$I$18)</f>
        <v>0</v>
      </c>
      <c r="D20" s="60"/>
      <c r="F20" s="84">
        <f>DATE(Settings!$J$7,6,1)</f>
        <v>46174</v>
      </c>
      <c r="G20" s="85">
        <f>COUNTIFS('Invoice Log'!$AS$3:$AS$303,$F20)</f>
        <v>25</v>
      </c>
      <c r="H20" s="86">
        <f>SUMIFS('Invoice Log'!$T$3:$T$303,'Invoice Log'!$AS$3:$AS$303,$F20,'Invoice Log'!$J$3:$J$303,"&lt;&gt;Cancelled")</f>
        <v>181689.398</v>
      </c>
    </row>
    <row r="21" ht="15.75" customHeight="1">
      <c r="A21" s="66"/>
      <c r="B21" s="67"/>
      <c r="C21" s="66"/>
      <c r="D21" s="67"/>
      <c r="F21" s="84">
        <f>DATE(Settings!$J$7,7,1)</f>
        <v>46204</v>
      </c>
      <c r="G21" s="85">
        <f>COUNTIFS('Invoice Log'!$AS$3:$AS$303,$F21)</f>
        <v>14</v>
      </c>
      <c r="H21" s="86">
        <f>SUMIFS('Invoice Log'!$T$3:$T$303,'Invoice Log'!$AS$3:$AS$303,$F21,'Invoice Log'!$J$3:$J$303,"&lt;&gt;Cancelled")</f>
        <v>87042.19</v>
      </c>
    </row>
    <row r="22" ht="15.75" customHeight="1">
      <c r="A22" s="28" t="s">
        <v>154</v>
      </c>
      <c r="C22" s="28" t="str">
        <f>TEXT(SUM(Collective!$J$7:$J$18),"£#,##0.00")&amp;" still outstanding"</f>
        <v>£18,738.57 still outstanding</v>
      </c>
      <c r="F22" s="84">
        <f>DATE(Settings!$J$7,8,1)</f>
        <v>46235</v>
      </c>
      <c r="G22" s="85">
        <f>COUNTIFS('Invoice Log'!$AS$3:$AS$303,$F22)</f>
        <v>7</v>
      </c>
      <c r="H22" s="86">
        <f>SUMIFS('Invoice Log'!$T$3:$T$303,'Invoice Log'!$AS$3:$AS$303,$F22,'Invoice Log'!$J$3:$J$303,"&lt;&gt;Cancelled")</f>
        <v>15207.04</v>
      </c>
    </row>
    <row r="23" ht="15.75" customHeight="1">
      <c r="F23" s="84">
        <f>DATE(Settings!$J$7,9,1)</f>
        <v>46266</v>
      </c>
      <c r="G23" s="85">
        <f>COUNTIFS('Invoice Log'!$AS$3:$AS$303,$F23)</f>
        <v>26</v>
      </c>
      <c r="H23" s="86">
        <f>SUMIFS('Invoice Log'!$T$3:$T$303,'Invoice Log'!$AS$3:$AS$303,$F23,'Invoice Log'!$J$3:$J$303,"&lt;&gt;Cancelled")</f>
        <v>111979.51</v>
      </c>
    </row>
    <row r="24" ht="15.75" customHeight="1">
      <c r="F24" s="84">
        <f>DATE(Settings!$J$7,10,1)</f>
        <v>46296</v>
      </c>
      <c r="G24" s="85">
        <f>COUNTIFS('Invoice Log'!$AS$3:$AS$303,$F24)</f>
        <v>7</v>
      </c>
      <c r="H24" s="86">
        <f>SUMIFS('Invoice Log'!$T$3:$T$303,'Invoice Log'!$AS$3:$AS$303,$F24,'Invoice Log'!$J$3:$J$303,"&lt;&gt;Cancelled")</f>
        <v>33197.8</v>
      </c>
    </row>
    <row r="25" ht="15.75" customHeight="1">
      <c r="A25" s="57" t="s">
        <v>187</v>
      </c>
      <c r="B25" s="2"/>
      <c r="C25" s="2"/>
      <c r="D25" s="4"/>
      <c r="F25" s="84">
        <f>DATE(Settings!$J$7,11,1)</f>
        <v>46327</v>
      </c>
      <c r="G25" s="85">
        <f>COUNTIFS('Invoice Log'!$AS$3:$AS$303,$F25)</f>
        <v>2</v>
      </c>
      <c r="H25" s="86">
        <f>SUMIFS('Invoice Log'!$T$3:$T$303,'Invoice Log'!$AS$3:$AS$303,$F25,'Invoice Log'!$J$3:$J$303,"&lt;&gt;Cancelled")</f>
        <v>10230.16</v>
      </c>
    </row>
    <row r="26" ht="15.75" customHeight="1">
      <c r="A26" s="81" t="s">
        <v>199</v>
      </c>
      <c r="B26" s="81" t="s">
        <v>127</v>
      </c>
      <c r="C26" s="81" t="s">
        <v>201</v>
      </c>
      <c r="D26" s="81" t="s">
        <v>202</v>
      </c>
      <c r="F26" s="84">
        <f>DATE(Settings!$J$7,12,1)</f>
        <v>46357</v>
      </c>
      <c r="G26" s="85">
        <f>COUNTIFS('Invoice Log'!$AS$3:$AS$303,$F26)</f>
        <v>2</v>
      </c>
      <c r="H26" s="86">
        <f>SUMIFS('Invoice Log'!$T$3:$T$303,'Invoice Log'!$AS$3:$AS$303,$F26,'Invoice Log'!$J$3:$J$303,"&lt;&gt;Cancelled")</f>
        <v>29191.37</v>
      </c>
    </row>
    <row r="27" ht="15.75" customHeight="1">
      <c r="A27" s="25" t="str">
        <f>IF(Settings!$B$4="","",Settings!$B$4)</f>
        <v>Penni Black</v>
      </c>
      <c r="B27" s="96">
        <f>IF($A27="","",SUMIFS('Invoice Log'!$T$3:$T$303,'Invoice Log'!$B$3:$B$303,$A27,'Invoice Log'!$J$3:$J$303,"&lt;&gt;Cancelled",'Invoice Log'!$AT$3:$AT$303,Settings!$J$7))</f>
        <v>691072.06</v>
      </c>
      <c r="C27" s="97">
        <f>IF($A27="","",SUMIFS('Invoice Log'!$AG$3:$AG$303,'Invoice Log'!$B$3:$B$303,$A27,'Invoice Log'!$AT$3:$AT$303,Settings!$J$7))</f>
        <v>61962.01</v>
      </c>
      <c r="D27" s="98">
        <f>IF($A27="","",SUMIFS('Invoice Log'!$AI$3:$AI$303,'Invoice Log'!$B$3:$B$303,$A27,'Invoice Log'!$AN$3:$AN$303,"",'Invoice Log'!$AT$3:$AT$303,Settings!$J$7))</f>
        <v>11704.65</v>
      </c>
    </row>
    <row r="28" ht="15.75" customHeight="1">
      <c r="A28" s="25" t="str">
        <f>IF(Settings!$B$5="","",Settings!$B$5)</f>
        <v>Venn</v>
      </c>
      <c r="B28" s="96">
        <f>IF($A28="","",SUMIFS('Invoice Log'!$T$3:$T$303,'Invoice Log'!$B$3:$B$303,$A28,'Invoice Log'!$J$3:$J$303,"&lt;&gt;Cancelled",'Invoice Log'!$AT$3:$AT$303,Settings!$J$7))</f>
        <v>0</v>
      </c>
      <c r="C28" s="97">
        <f>IF($A28="","",SUMIFS('Invoice Log'!$AG$3:$AG$303,'Invoice Log'!$B$3:$B$303,$A28,'Invoice Log'!$AT$3:$AT$303,Settings!$J$7))</f>
        <v>0</v>
      </c>
      <c r="D28" s="98">
        <f>IF($A28="","",SUMIFS('Invoice Log'!$AI$3:$AI$303,'Invoice Log'!$B$3:$B$303,$A28,'Invoice Log'!$AN$3:$AN$303,"",'Invoice Log'!$AT$3:$AT$303,Settings!$J$7))</f>
        <v>0</v>
      </c>
    </row>
    <row r="29" ht="15.75" customHeight="1">
      <c r="A29" s="25" t="str">
        <f>IF(Settings!$B$6="","",Settings!$B$6)</f>
        <v>Raquel's</v>
      </c>
      <c r="B29" s="96">
        <f>IF($A29="","",SUMIFS('Invoice Log'!$T$3:$T$303,'Invoice Log'!$B$3:$B$303,$A29,'Invoice Log'!$J$3:$J$303,"&lt;&gt;Cancelled",'Invoice Log'!$AT$3:$AT$303,Settings!$J$7))</f>
        <v>374.4</v>
      </c>
      <c r="C29" s="97">
        <f>IF($A29="","",SUMIFS('Invoice Log'!$AG$3:$AG$303,'Invoice Log'!$B$3:$B$303,$A29,'Invoice Log'!$AT$3:$AT$303,Settings!$J$7))</f>
        <v>0</v>
      </c>
      <c r="D29" s="98">
        <f>IF($A29="","",SUMIFS('Invoice Log'!$AI$3:$AI$303,'Invoice Log'!$B$3:$B$303,$A29,'Invoice Log'!$AN$3:$AN$303,"",'Invoice Log'!$AT$3:$AT$303,Settings!$J$7))</f>
        <v>0</v>
      </c>
    </row>
    <row r="30" ht="15.75" customHeight="1">
      <c r="A30" s="25" t="str">
        <f>IF(Settings!$B$7="","",Settings!$B$7)</f>
        <v>Free Spirit</v>
      </c>
      <c r="B30" s="96">
        <f>IF($A30="","",SUMIFS('Invoice Log'!$T$3:$T$303,'Invoice Log'!$B$3:$B$303,$A30,'Invoice Log'!$J$3:$J$303,"&lt;&gt;Cancelled",'Invoice Log'!$AT$3:$AT$303,Settings!$J$7))</f>
        <v>0</v>
      </c>
      <c r="C30" s="97">
        <f>IF($A30="","",SUMIFS('Invoice Log'!$AG$3:$AG$303,'Invoice Log'!$B$3:$B$303,$A30,'Invoice Log'!$AT$3:$AT$303,Settings!$J$7))</f>
        <v>0</v>
      </c>
      <c r="D30" s="98">
        <f>IF($A30="","",SUMIFS('Invoice Log'!$AI$3:$AI$303,'Invoice Log'!$B$3:$B$303,$A30,'Invoice Log'!$AN$3:$AN$303,"",'Invoice Log'!$AT$3:$AT$303,Settings!$J$7))</f>
        <v>0</v>
      </c>
    </row>
    <row r="31" ht="15.75" customHeight="1">
      <c r="A31" s="25" t="str">
        <f>IF(Settings!$B$8="","",Settings!$B$8)</f>
        <v/>
      </c>
      <c r="B31" s="96" t="str">
        <f>IF($A31="","",SUMIFS('Invoice Log'!$T$3:$T$303,'Invoice Log'!$B$3:$B$303,$A31,'Invoice Log'!$J$3:$J$303,"&lt;&gt;Cancelled",'Invoice Log'!$AT$3:$AT$303,Settings!$J$7))</f>
        <v/>
      </c>
      <c r="C31" s="97" t="str">
        <f>IF($A31="","",SUMIFS('Invoice Log'!$AG$3:$AG$303,'Invoice Log'!$B$3:$B$303,$A31,'Invoice Log'!$AT$3:$AT$303,Settings!$J$7))</f>
        <v/>
      </c>
      <c r="D31" s="98" t="str">
        <f>IF($A31="","",SUMIFS('Invoice Log'!$AI$3:$AI$303,'Invoice Log'!$B$3:$B$303,$A31,'Invoice Log'!$AN$3:$AN$303,"",'Invoice Log'!$AT$3:$AT$303,Settings!$J$7))</f>
        <v/>
      </c>
    </row>
    <row r="32" ht="15.75" customHeight="1">
      <c r="A32" s="25" t="str">
        <f>IF(Settings!$B$9="","",Settings!$B$9)</f>
        <v/>
      </c>
      <c r="B32" s="96" t="str">
        <f>IF($A32="","",SUMIFS('Invoice Log'!$T$3:$T$303,'Invoice Log'!$B$3:$B$303,$A32,'Invoice Log'!$J$3:$J$303,"&lt;&gt;Cancelled",'Invoice Log'!$AT$3:$AT$303,Settings!$J$7))</f>
        <v/>
      </c>
      <c r="C32" s="97" t="str">
        <f>IF($A32="","",SUMIFS('Invoice Log'!$AG$3:$AG$303,'Invoice Log'!$B$3:$B$303,$A32,'Invoice Log'!$AT$3:$AT$303,Settings!$J$7))</f>
        <v/>
      </c>
      <c r="D32" s="98" t="str">
        <f>IF($A32="","",SUMIFS('Invoice Log'!$AI$3:$AI$303,'Invoice Log'!$B$3:$B$303,$A32,'Invoice Log'!$AN$3:$AN$303,"",'Invoice Log'!$AT$3:$AT$303,Settings!$J$7))</f>
        <v/>
      </c>
    </row>
    <row r="33" ht="15.75" customHeight="1"/>
    <row r="34" ht="15.75" customHeight="1"/>
    <row r="35" ht="15.75" customHeight="1">
      <c r="A35" s="57" t="s">
        <v>208</v>
      </c>
      <c r="B35" s="2"/>
      <c r="C35" s="4"/>
    </row>
    <row r="36" ht="15.75" customHeight="1">
      <c r="A36" s="81" t="s">
        <v>209</v>
      </c>
      <c r="B36" s="81" t="s">
        <v>10</v>
      </c>
      <c r="C36" s="81" t="s">
        <v>210</v>
      </c>
    </row>
    <row r="37" ht="15.75" customHeight="1">
      <c r="A37" s="62" t="s">
        <v>101</v>
      </c>
      <c r="B37" s="85">
        <f>COUNTIFS('Invoice Log'!$J$3:$J$303,$A37,'Invoice Log'!$AT$3:$AT$303,Settings!$J$7)</f>
        <v>0</v>
      </c>
      <c r="C37" s="86">
        <f>SUMIFS('Invoice Log'!$T$3:$T$303,'Invoice Log'!$J$3:$J$303,$A37,'Invoice Log'!$AT$3:$AT$303,Settings!$J$7)</f>
        <v>0</v>
      </c>
    </row>
    <row r="38" ht="15.75" customHeight="1">
      <c r="A38" s="69" t="s">
        <v>103</v>
      </c>
      <c r="B38" s="85">
        <f>COUNTIFS('Invoice Log'!$J$3:$J$303,$A38,'Invoice Log'!$AT$3:$AT$303,Settings!$J$7)</f>
        <v>0</v>
      </c>
      <c r="C38" s="86">
        <f>SUMIFS('Invoice Log'!$T$3:$T$303,'Invoice Log'!$J$3:$J$303,$A38,'Invoice Log'!$AT$3:$AT$303,Settings!$J$7)</f>
        <v>0</v>
      </c>
    </row>
    <row r="39" ht="15.75" customHeight="1">
      <c r="A39" s="70" t="s">
        <v>105</v>
      </c>
      <c r="B39" s="85">
        <f>COUNTIFS('Invoice Log'!$J$3:$J$303,$A39,'Invoice Log'!$AT$3:$AT$303,Settings!$J$7)</f>
        <v>0</v>
      </c>
      <c r="C39" s="86">
        <f>SUMIFS('Invoice Log'!$T$3:$T$303,'Invoice Log'!$J$3:$J$303,$A39,'Invoice Log'!$AT$3:$AT$303,Settings!$J$7)</f>
        <v>0</v>
      </c>
    </row>
    <row r="40" ht="15.75" customHeight="1">
      <c r="A40" s="71" t="s">
        <v>108</v>
      </c>
      <c r="B40" s="85">
        <f>COUNTIFS('Invoice Log'!$J$3:$J$303,$A40,'Invoice Log'!$AT$3:$AT$303,Settings!$J$7)</f>
        <v>2</v>
      </c>
      <c r="C40" s="86">
        <f>SUMIFS('Invoice Log'!$T$3:$T$303,'Invoice Log'!$J$3:$J$303,$A40,'Invoice Log'!$AT$3:$AT$303,Settings!$J$7)</f>
        <v>7555.08</v>
      </c>
    </row>
    <row r="41" ht="15.75" customHeight="1">
      <c r="A41" s="74" t="s">
        <v>114</v>
      </c>
      <c r="B41" s="85">
        <f>COUNTIFS('Invoice Log'!$J$3:$J$303,$A41,'Invoice Log'!$AT$3:$AT$303,Settings!$J$7)</f>
        <v>1</v>
      </c>
      <c r="C41" s="86">
        <f>SUMIFS('Invoice Log'!$T$3:$T$303,'Invoice Log'!$J$3:$J$303,$A41,'Invoice Log'!$AT$3:$AT$303,Settings!$J$7)</f>
        <v>1632.8</v>
      </c>
    </row>
    <row r="42" ht="15.75" customHeight="1">
      <c r="A42" s="77" t="s">
        <v>76</v>
      </c>
      <c r="B42" s="85">
        <f>COUNTIFS('Invoice Log'!$J$3:$J$303,$A42,'Invoice Log'!$AT$3:$AT$303,Settings!$J$7)</f>
        <v>141</v>
      </c>
      <c r="C42" s="86">
        <f>SUMIFS('Invoice Log'!$T$3:$T$303,'Invoice Log'!$J$3:$J$303,$A42,'Invoice Log'!$AT$3:$AT$303,Settings!$J$7)</f>
        <v>620296.57</v>
      </c>
    </row>
    <row r="43" ht="15.75" customHeight="1">
      <c r="A43" s="78" t="s">
        <v>119</v>
      </c>
      <c r="B43" s="85">
        <f>COUNTIFS('Invoice Log'!$J$3:$J$303,$A43,'Invoice Log'!$AT$3:$AT$303,Settings!$J$7)</f>
        <v>3</v>
      </c>
      <c r="C43" s="86">
        <f>SUMIFS('Invoice Log'!$T$3:$T$303,'Invoice Log'!$J$3:$J$303,$A43,'Invoice Log'!$AT$3:$AT$303,Settings!$J$7)</f>
        <v>6531.62</v>
      </c>
    </row>
    <row r="44" ht="15.75" customHeight="1"/>
    <row r="45" ht="15.75" customHeight="1"/>
    <row r="46" ht="15.75" customHeight="1">
      <c r="A46" s="57" t="s">
        <v>218</v>
      </c>
      <c r="B46" s="2"/>
      <c r="C46" s="4"/>
    </row>
    <row r="47" ht="15.75" customHeight="1">
      <c r="A47" s="81" t="s">
        <v>18</v>
      </c>
      <c r="B47" s="81" t="s">
        <v>127</v>
      </c>
      <c r="C47" s="81" t="s">
        <v>201</v>
      </c>
    </row>
    <row r="48" ht="15.75" customHeight="1">
      <c r="A48" s="104" t="str">
        <f>IF(Settings!$A$4="","",Settings!$A$4)</f>
        <v>Charlotte</v>
      </c>
      <c r="B48" s="96">
        <f>IF($A48="","",SUMIFS('Invoice Log'!$T$3:$T$303,'Invoice Log'!$A$3:$A$303,$A48,'Invoice Log'!$J$3:$J$303,"&lt;&gt;Cancelled",'Invoice Log'!$AT$3:$AT$303,Settings!$J$7))</f>
        <v>28015.548</v>
      </c>
      <c r="C48" s="97">
        <f>IF($A48="","",SUMIFS('Invoice Log'!$AG$3:$AG$303,'Invoice Log'!$A$3:$A$303,$A48,'Invoice Log'!$AT$3:$AT$303,Settings!$J$7))</f>
        <v>0</v>
      </c>
    </row>
    <row r="49" ht="15.75" customHeight="1">
      <c r="A49" s="104" t="str">
        <f>IF(Settings!$A$5="","",Settings!$A$5)</f>
        <v>Danelle</v>
      </c>
      <c r="B49" s="96">
        <f>IF($A49="","",SUMIFS('Invoice Log'!$T$3:$T$303,'Invoice Log'!$A$3:$A$303,$A49,'Invoice Log'!$J$3:$J$303,"&lt;&gt;Cancelled",'Invoice Log'!$AT$3:$AT$303,Settings!$J$7))</f>
        <v>663430.912</v>
      </c>
      <c r="C49" s="97">
        <f>IF($A49="","",SUMIFS('Invoice Log'!$AG$3:$AG$303,'Invoice Log'!$A$3:$A$303,$A49,'Invoice Log'!$AT$3:$AT$303,Settings!$J$7))</f>
        <v>61962.01</v>
      </c>
    </row>
    <row r="50" ht="15.75" customHeight="1">
      <c r="A50" s="104" t="str">
        <f>IF(Settings!$A$6="","",Settings!$A$6)</f>
        <v>Raquel</v>
      </c>
      <c r="B50" s="96">
        <f>IF($A50="","",SUMIFS('Invoice Log'!$T$3:$T$303,'Invoice Log'!$A$3:$A$303,$A50,'Invoice Log'!$J$3:$J$303,"&lt;&gt;Cancelled",'Invoice Log'!$AT$3:$AT$303,Settings!$J$7))</f>
        <v>0</v>
      </c>
      <c r="C50" s="97">
        <f>IF($A50="","",SUMIFS('Invoice Log'!$AG$3:$AG$303,'Invoice Log'!$A$3:$A$303,$A50,'Invoice Log'!$AT$3:$AT$303,Settings!$J$7))</f>
        <v>0</v>
      </c>
    </row>
    <row r="51" ht="15.75" customHeight="1">
      <c r="A51" s="104" t="str">
        <f>IF(Settings!$A$7="","",Settings!$A$7)</f>
        <v/>
      </c>
      <c r="B51" s="96" t="str">
        <f>IF($A51="","",SUMIFS('Invoice Log'!$T$3:$T$303,'Invoice Log'!$A$3:$A$303,$A51,'Invoice Log'!$J$3:$J$303,"&lt;&gt;Cancelled",'Invoice Log'!$AT$3:$AT$303,Settings!$J$7))</f>
        <v/>
      </c>
      <c r="C51" s="97" t="str">
        <f>IF($A51="","",SUMIFS('Invoice Log'!$AG$3:$AG$303,'Invoice Log'!$A$3:$A$303,$A51,'Invoice Log'!$AT$3:$AT$303,Settings!$J$7))</f>
        <v/>
      </c>
    </row>
    <row r="52" ht="15.75" customHeight="1">
      <c r="A52" s="104" t="str">
        <f>IF(Settings!$A$8="","",Settings!$A$8)</f>
        <v/>
      </c>
      <c r="B52" s="96" t="str">
        <f>IF($A52="","",SUMIFS('Invoice Log'!$T$3:$T$303,'Invoice Log'!$A$3:$A$303,$A52,'Invoice Log'!$J$3:$J$303,"&lt;&gt;Cancelled",'Invoice Log'!$AT$3:$AT$303,Settings!$J$7))</f>
        <v/>
      </c>
      <c r="C52" s="97" t="str">
        <f>IF($A52="","",SUMIFS('Invoice Log'!$AG$3:$AG$303,'Invoice Log'!$A$3:$A$303,$A52,'Invoice Log'!$AT$3:$AT$303,Settings!$J$7))</f>
        <v/>
      </c>
    </row>
    <row r="53" ht="15.75" customHeight="1">
      <c r="A53" s="104" t="str">
        <f>IF(Settings!$A$9="","",Settings!$A$9)</f>
        <v/>
      </c>
      <c r="B53" s="96" t="str">
        <f>IF($A53="","",SUMIFS('Invoice Log'!$T$3:$T$303,'Invoice Log'!$A$3:$A$303,$A53,'Invoice Log'!$J$3:$J$303,"&lt;&gt;Cancelled",'Invoice Log'!$AT$3:$AT$303,Settings!$J$7))</f>
        <v/>
      </c>
      <c r="C53" s="97" t="str">
        <f>IF($A53="","",SUMIFS('Invoice Log'!$AG$3:$AG$303,'Invoice Log'!$A$3:$A$303,$A53,'Invoice Log'!$AT$3:$AT$303,Settings!$J$7))</f>
        <v/>
      </c>
    </row>
    <row r="54" ht="15.75" customHeight="1"/>
    <row r="55" ht="15.75" customHeight="1"/>
    <row r="56" ht="15.75" customHeight="1">
      <c r="A56" s="57" t="s">
        <v>235</v>
      </c>
      <c r="B56" s="2"/>
      <c r="C56" s="4"/>
    </row>
    <row r="57" ht="15.75" customHeight="1">
      <c r="A57" s="104" t="s">
        <v>236</v>
      </c>
      <c r="B57" s="105">
        <f>COUNTA('Archive 2022-2025'!$E$3:$E$572)</f>
        <v>570</v>
      </c>
    </row>
    <row r="58" ht="15.75" customHeight="1">
      <c r="A58" s="104" t="s">
        <v>239</v>
      </c>
      <c r="B58" s="106">
        <f>SUM('Archive 2022-2025'!$R$3:$R$572)</f>
        <v>2361835.324</v>
      </c>
    </row>
    <row r="59" ht="15.75" customHeight="1">
      <c r="A59" s="104" t="s">
        <v>240</v>
      </c>
      <c r="B59" s="105">
        <f>COUNTIF('Archive 2022-2025'!$I$3:$I$572,"Cancelled")</f>
        <v>39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4:B4"/>
    <mergeCell ref="C4:D4"/>
    <mergeCell ref="F4:H4"/>
    <mergeCell ref="A5:B6"/>
    <mergeCell ref="C5:D6"/>
    <mergeCell ref="G5:H5"/>
    <mergeCell ref="G6:H6"/>
    <mergeCell ref="G10:H10"/>
    <mergeCell ref="G11:H11"/>
    <mergeCell ref="F13:H13"/>
    <mergeCell ref="G7:H7"/>
    <mergeCell ref="G8:H8"/>
    <mergeCell ref="A9:B9"/>
    <mergeCell ref="C9:D9"/>
    <mergeCell ref="G9:H9"/>
    <mergeCell ref="A10:B11"/>
    <mergeCell ref="C10:D11"/>
    <mergeCell ref="A12:B12"/>
    <mergeCell ref="C12:D12"/>
    <mergeCell ref="A14:B14"/>
    <mergeCell ref="C14:D14"/>
    <mergeCell ref="A15:B16"/>
    <mergeCell ref="C15:D16"/>
    <mergeCell ref="C17:D17"/>
    <mergeCell ref="A25:D25"/>
    <mergeCell ref="A35:C35"/>
    <mergeCell ref="A46:C46"/>
    <mergeCell ref="A56:C56"/>
    <mergeCell ref="A17:B17"/>
    <mergeCell ref="A19:B19"/>
    <mergeCell ref="C19:D19"/>
    <mergeCell ref="A20:B21"/>
    <mergeCell ref="C20:D21"/>
    <mergeCell ref="A22:B22"/>
    <mergeCell ref="C22:D2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000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32.0"/>
    <col customWidth="1" min="3" max="3" width="13.0"/>
    <col customWidth="1" min="4" max="4" width="88.0"/>
    <col customWidth="1" min="5" max="26" width="8.71"/>
  </cols>
  <sheetData>
    <row r="1">
      <c r="A1" s="89" t="s">
        <v>133</v>
      </c>
    </row>
    <row r="2">
      <c r="A2" s="5" t="s">
        <v>134</v>
      </c>
    </row>
    <row r="4">
      <c r="A4" s="91" t="s">
        <v>21</v>
      </c>
      <c r="B4" s="91" t="s">
        <v>135</v>
      </c>
      <c r="C4" s="91" t="s">
        <v>18</v>
      </c>
      <c r="D4" s="91" t="s">
        <v>136</v>
      </c>
    </row>
    <row r="5">
      <c r="A5" s="93">
        <v>2.2004225E7</v>
      </c>
      <c r="B5" s="94" t="s">
        <v>137</v>
      </c>
      <c r="C5" s="94" t="s">
        <v>61</v>
      </c>
      <c r="D5" s="95" t="s">
        <v>138</v>
      </c>
    </row>
    <row r="6">
      <c r="A6" s="93">
        <v>2.2004254E7</v>
      </c>
      <c r="B6" s="94" t="s">
        <v>139</v>
      </c>
      <c r="C6" s="94" t="s">
        <v>61</v>
      </c>
      <c r="D6" s="95" t="s">
        <v>138</v>
      </c>
    </row>
    <row r="7">
      <c r="A7" s="93">
        <v>2.2004261E7</v>
      </c>
      <c r="B7" s="94" t="s">
        <v>140</v>
      </c>
      <c r="C7" s="94" t="s">
        <v>61</v>
      </c>
      <c r="D7" s="95" t="s">
        <v>138</v>
      </c>
    </row>
    <row r="8">
      <c r="A8" s="93">
        <v>2.2004273E7</v>
      </c>
      <c r="B8" s="94" t="s">
        <v>141</v>
      </c>
      <c r="C8" s="94" t="s">
        <v>61</v>
      </c>
      <c r="D8" s="95" t="s">
        <v>138</v>
      </c>
    </row>
    <row r="9">
      <c r="A9" s="93">
        <v>2.2004281E7</v>
      </c>
      <c r="B9" s="94" t="s">
        <v>142</v>
      </c>
      <c r="C9" s="94" t="s">
        <v>61</v>
      </c>
      <c r="D9" s="95" t="s">
        <v>138</v>
      </c>
    </row>
    <row r="10">
      <c r="A10" s="93">
        <v>2.2004289E7</v>
      </c>
      <c r="B10" s="94" t="s">
        <v>139</v>
      </c>
      <c r="C10" s="94" t="s">
        <v>61</v>
      </c>
      <c r="D10" s="95" t="s">
        <v>138</v>
      </c>
    </row>
    <row r="11">
      <c r="A11" s="93">
        <v>2.2004306E7</v>
      </c>
      <c r="B11" s="94" t="s">
        <v>143</v>
      </c>
      <c r="C11" s="94" t="s">
        <v>61</v>
      </c>
      <c r="D11" s="95" t="s">
        <v>138</v>
      </c>
    </row>
    <row r="12">
      <c r="A12" s="93">
        <v>2.2004312E7</v>
      </c>
      <c r="B12" s="94" t="s">
        <v>144</v>
      </c>
      <c r="C12" s="94" t="s">
        <v>61</v>
      </c>
      <c r="D12" s="95" t="s">
        <v>138</v>
      </c>
    </row>
    <row r="13">
      <c r="A13" s="93">
        <v>2.2004279E7</v>
      </c>
      <c r="B13" s="94" t="s">
        <v>145</v>
      </c>
      <c r="C13" s="94" t="s">
        <v>61</v>
      </c>
      <c r="D13" s="95" t="s">
        <v>146</v>
      </c>
    </row>
    <row r="14">
      <c r="A14" s="93">
        <v>2.2004307E7</v>
      </c>
      <c r="B14" s="94" t="s">
        <v>147</v>
      </c>
      <c r="C14" s="94" t="s">
        <v>61</v>
      </c>
      <c r="D14" s="95" t="s">
        <v>146</v>
      </c>
    </row>
    <row r="15">
      <c r="A15" s="93">
        <v>2.2004268E7</v>
      </c>
      <c r="B15" s="94" t="s">
        <v>148</v>
      </c>
      <c r="C15" s="94" t="s">
        <v>61</v>
      </c>
      <c r="D15" s="95" t="s">
        <v>149</v>
      </c>
    </row>
    <row r="16">
      <c r="A16" s="93">
        <v>2.2004283E7</v>
      </c>
      <c r="B16" s="94" t="s">
        <v>150</v>
      </c>
      <c r="C16" s="94" t="s">
        <v>61</v>
      </c>
      <c r="D16" s="95" t="s">
        <v>149</v>
      </c>
    </row>
    <row r="17">
      <c r="A17" s="93">
        <v>2.2004325E7</v>
      </c>
      <c r="B17" s="94" t="s">
        <v>151</v>
      </c>
      <c r="C17" s="94" t="s">
        <v>61</v>
      </c>
      <c r="D17" s="95" t="s">
        <v>149</v>
      </c>
    </row>
    <row r="18">
      <c r="A18" s="93">
        <v>2.2004198E7</v>
      </c>
      <c r="B18" s="94" t="s">
        <v>65</v>
      </c>
      <c r="C18" s="94" t="s">
        <v>61</v>
      </c>
      <c r="D18" s="95" t="s">
        <v>153</v>
      </c>
    </row>
    <row r="19">
      <c r="A19" s="93">
        <v>2.2004199E7</v>
      </c>
      <c r="B19" s="94" t="s">
        <v>81</v>
      </c>
      <c r="C19" s="94" t="s">
        <v>61</v>
      </c>
      <c r="D19" s="95" t="s">
        <v>153</v>
      </c>
    </row>
    <row r="20">
      <c r="A20" s="93">
        <v>2.2004201E7</v>
      </c>
      <c r="B20" s="94" t="s">
        <v>86</v>
      </c>
      <c r="C20" s="94" t="s">
        <v>61</v>
      </c>
      <c r="D20" s="95" t="s">
        <v>153</v>
      </c>
    </row>
    <row r="21" ht="15.75" customHeight="1">
      <c r="A21" s="93">
        <v>2.2004202E7</v>
      </c>
      <c r="B21" s="94" t="s">
        <v>90</v>
      </c>
      <c r="C21" s="94" t="s">
        <v>61</v>
      </c>
      <c r="D21" s="95" t="s">
        <v>153</v>
      </c>
    </row>
    <row r="22" ht="15.75" customHeight="1">
      <c r="A22" s="93">
        <v>2.2004205E7</v>
      </c>
      <c r="B22" s="94" t="s">
        <v>126</v>
      </c>
      <c r="C22" s="94" t="s">
        <v>61</v>
      </c>
      <c r="D22" s="95" t="s">
        <v>153</v>
      </c>
    </row>
    <row r="23" ht="15.75" customHeight="1">
      <c r="A23" s="93">
        <v>2.2004206E7</v>
      </c>
      <c r="B23" s="94" t="s">
        <v>128</v>
      </c>
      <c r="C23" s="94" t="s">
        <v>61</v>
      </c>
      <c r="D23" s="95" t="s">
        <v>153</v>
      </c>
    </row>
    <row r="24" ht="15.75" customHeight="1">
      <c r="A24" s="93">
        <v>2.2004207E7</v>
      </c>
      <c r="B24" s="94" t="s">
        <v>130</v>
      </c>
      <c r="C24" s="94" t="s">
        <v>61</v>
      </c>
      <c r="D24" s="95" t="s">
        <v>153</v>
      </c>
    </row>
    <row r="25" ht="15.75" customHeight="1">
      <c r="A25" s="93">
        <v>2.2004211E7</v>
      </c>
      <c r="B25" s="94" t="s">
        <v>155</v>
      </c>
      <c r="C25" s="94" t="s">
        <v>61</v>
      </c>
      <c r="D25" s="95" t="s">
        <v>153</v>
      </c>
    </row>
    <row r="26" ht="15.75" customHeight="1">
      <c r="A26" s="93">
        <v>2.2004212E7</v>
      </c>
      <c r="B26" s="94" t="s">
        <v>155</v>
      </c>
      <c r="C26" s="94" t="s">
        <v>61</v>
      </c>
      <c r="D26" s="95" t="s">
        <v>153</v>
      </c>
    </row>
    <row r="27" ht="15.75" customHeight="1">
      <c r="A27" s="93">
        <v>2.2004213E7</v>
      </c>
      <c r="B27" s="94" t="s">
        <v>156</v>
      </c>
      <c r="C27" s="94" t="s">
        <v>61</v>
      </c>
      <c r="D27" s="95" t="s">
        <v>153</v>
      </c>
    </row>
    <row r="28" ht="15.75" customHeight="1">
      <c r="A28" s="93">
        <v>2.2004215E7</v>
      </c>
      <c r="B28" s="94" t="s">
        <v>157</v>
      </c>
      <c r="C28" s="94" t="s">
        <v>61</v>
      </c>
      <c r="D28" s="95" t="s">
        <v>153</v>
      </c>
    </row>
    <row r="29" ht="15.75" customHeight="1">
      <c r="A29" s="93">
        <v>2.2004216E7</v>
      </c>
      <c r="B29" s="94" t="s">
        <v>158</v>
      </c>
      <c r="C29" s="94" t="s">
        <v>61</v>
      </c>
      <c r="D29" s="95" t="s">
        <v>153</v>
      </c>
    </row>
    <row r="30" ht="15.75" customHeight="1">
      <c r="A30" s="93">
        <v>2.200422E7</v>
      </c>
      <c r="B30" s="94" t="s">
        <v>159</v>
      </c>
      <c r="C30" s="94" t="s">
        <v>61</v>
      </c>
      <c r="D30" s="95" t="s">
        <v>153</v>
      </c>
    </row>
    <row r="31" ht="15.75" customHeight="1">
      <c r="A31" s="93">
        <v>2.2004221E7</v>
      </c>
      <c r="B31" s="94" t="s">
        <v>130</v>
      </c>
      <c r="C31" s="94" t="s">
        <v>61</v>
      </c>
      <c r="D31" s="95" t="s">
        <v>153</v>
      </c>
    </row>
    <row r="32" ht="15.75" customHeight="1">
      <c r="A32" s="93">
        <v>2.2004222E7</v>
      </c>
      <c r="B32" s="94" t="s">
        <v>160</v>
      </c>
      <c r="C32" s="94" t="s">
        <v>61</v>
      </c>
      <c r="D32" s="95" t="s">
        <v>153</v>
      </c>
    </row>
    <row r="33" ht="15.75" customHeight="1">
      <c r="A33" s="93">
        <v>2.2004225E7</v>
      </c>
      <c r="B33" s="94" t="s">
        <v>137</v>
      </c>
      <c r="C33" s="94" t="s">
        <v>61</v>
      </c>
      <c r="D33" s="95" t="s">
        <v>153</v>
      </c>
    </row>
    <row r="34" ht="15.75" customHeight="1">
      <c r="A34" s="93">
        <v>2.2004227E7</v>
      </c>
      <c r="B34" s="94" t="s">
        <v>161</v>
      </c>
      <c r="C34" s="94" t="s">
        <v>61</v>
      </c>
      <c r="D34" s="95" t="s">
        <v>153</v>
      </c>
    </row>
    <row r="35" ht="15.75" customHeight="1">
      <c r="A35" s="93">
        <v>2.200423E7</v>
      </c>
      <c r="B35" s="94" t="s">
        <v>162</v>
      </c>
      <c r="C35" s="94" t="s">
        <v>61</v>
      </c>
      <c r="D35" s="95" t="s">
        <v>153</v>
      </c>
    </row>
    <row r="36" ht="15.75" customHeight="1">
      <c r="A36" s="93">
        <v>2.2004238E7</v>
      </c>
      <c r="B36" s="94" t="s">
        <v>163</v>
      </c>
      <c r="C36" s="94" t="s">
        <v>61</v>
      </c>
      <c r="D36" s="95" t="s">
        <v>153</v>
      </c>
    </row>
    <row r="37" ht="15.75" customHeight="1">
      <c r="A37" s="93">
        <v>2.2004239E7</v>
      </c>
      <c r="B37" s="94" t="s">
        <v>164</v>
      </c>
      <c r="C37" s="94" t="s">
        <v>61</v>
      </c>
      <c r="D37" s="95" t="s">
        <v>153</v>
      </c>
    </row>
    <row r="38" ht="15.75" customHeight="1">
      <c r="A38" s="93">
        <v>2.2004242E7</v>
      </c>
      <c r="B38" s="94" t="s">
        <v>165</v>
      </c>
      <c r="C38" s="94" t="s">
        <v>61</v>
      </c>
      <c r="D38" s="95" t="s">
        <v>153</v>
      </c>
    </row>
    <row r="39" ht="15.75" customHeight="1">
      <c r="A39" s="93">
        <v>2.2004244E7</v>
      </c>
      <c r="B39" s="94" t="s">
        <v>166</v>
      </c>
      <c r="C39" s="94" t="s">
        <v>167</v>
      </c>
      <c r="D39" s="95" t="s">
        <v>153</v>
      </c>
    </row>
    <row r="40" ht="15.75" customHeight="1">
      <c r="A40" s="93">
        <v>2.2004246E7</v>
      </c>
      <c r="B40" s="94" t="s">
        <v>168</v>
      </c>
      <c r="C40" s="94" t="s">
        <v>167</v>
      </c>
      <c r="D40" s="95" t="s">
        <v>153</v>
      </c>
    </row>
    <row r="41" ht="15.75" customHeight="1">
      <c r="A41" s="93">
        <v>2.2004247E7</v>
      </c>
      <c r="B41" s="94" t="s">
        <v>169</v>
      </c>
      <c r="C41" s="94" t="s">
        <v>61</v>
      </c>
      <c r="D41" s="95" t="s">
        <v>153</v>
      </c>
    </row>
    <row r="42" ht="15.75" customHeight="1">
      <c r="A42" s="93">
        <v>2.200425E7</v>
      </c>
      <c r="B42" s="94" t="s">
        <v>170</v>
      </c>
      <c r="C42" s="94" t="s">
        <v>61</v>
      </c>
      <c r="D42" s="95" t="s">
        <v>153</v>
      </c>
    </row>
    <row r="43" ht="15.75" customHeight="1">
      <c r="A43" s="93">
        <v>2.2004255E7</v>
      </c>
      <c r="B43" s="94" t="s">
        <v>158</v>
      </c>
      <c r="C43" s="94" t="s">
        <v>61</v>
      </c>
      <c r="D43" s="95" t="s">
        <v>153</v>
      </c>
    </row>
    <row r="44" ht="15.75" customHeight="1">
      <c r="A44" s="93">
        <v>2.2004257E7</v>
      </c>
      <c r="B44" s="94" t="s">
        <v>171</v>
      </c>
      <c r="C44" s="94" t="s">
        <v>61</v>
      </c>
      <c r="D44" s="95" t="s">
        <v>153</v>
      </c>
    </row>
    <row r="45" ht="15.75" customHeight="1">
      <c r="A45" s="93">
        <v>2.2004258E7</v>
      </c>
      <c r="B45" s="94" t="s">
        <v>172</v>
      </c>
      <c r="C45" s="94" t="s">
        <v>61</v>
      </c>
      <c r="D45" s="95" t="s">
        <v>153</v>
      </c>
    </row>
    <row r="46" ht="15.75" customHeight="1">
      <c r="A46" s="93">
        <v>2.200426E7</v>
      </c>
      <c r="B46" s="94" t="s">
        <v>173</v>
      </c>
      <c r="C46" s="94" t="s">
        <v>61</v>
      </c>
      <c r="D46" s="95" t="s">
        <v>153</v>
      </c>
    </row>
    <row r="47" ht="15.75" customHeight="1">
      <c r="A47" s="93">
        <v>2.2004261E7</v>
      </c>
      <c r="B47" s="94" t="s">
        <v>140</v>
      </c>
      <c r="C47" s="94" t="s">
        <v>61</v>
      </c>
      <c r="D47" s="95" t="s">
        <v>153</v>
      </c>
    </row>
    <row r="48" ht="15.75" customHeight="1">
      <c r="A48" s="93">
        <v>2.2004262E7</v>
      </c>
      <c r="B48" s="94" t="s">
        <v>174</v>
      </c>
      <c r="C48" s="94" t="s">
        <v>61</v>
      </c>
      <c r="D48" s="95" t="s">
        <v>153</v>
      </c>
    </row>
    <row r="49" ht="15.75" customHeight="1">
      <c r="A49" s="93">
        <v>2.2004264E7</v>
      </c>
      <c r="B49" s="94" t="s">
        <v>141</v>
      </c>
      <c r="C49" s="94" t="s">
        <v>61</v>
      </c>
      <c r="D49" s="95" t="s">
        <v>153</v>
      </c>
    </row>
    <row r="50" ht="15.75" customHeight="1">
      <c r="A50" s="93">
        <v>2.2004265E7</v>
      </c>
      <c r="B50" s="94" t="s">
        <v>175</v>
      </c>
      <c r="C50" s="94" t="s">
        <v>61</v>
      </c>
      <c r="D50" s="95" t="s">
        <v>153</v>
      </c>
    </row>
    <row r="51" ht="15.75" customHeight="1">
      <c r="A51" s="93">
        <v>2.2004266E7</v>
      </c>
      <c r="B51" s="94" t="s">
        <v>176</v>
      </c>
      <c r="C51" s="94" t="s">
        <v>61</v>
      </c>
      <c r="D51" s="95" t="s">
        <v>153</v>
      </c>
    </row>
    <row r="52" ht="15.75" customHeight="1">
      <c r="A52" s="93">
        <v>2.2004269E7</v>
      </c>
      <c r="B52" s="94" t="s">
        <v>148</v>
      </c>
      <c r="C52" s="94" t="s">
        <v>61</v>
      </c>
      <c r="D52" s="95" t="s">
        <v>153</v>
      </c>
    </row>
    <row r="53" ht="15.75" customHeight="1">
      <c r="A53" s="93">
        <v>2.2004273E7</v>
      </c>
      <c r="B53" s="94" t="s">
        <v>141</v>
      </c>
      <c r="C53" s="94" t="s">
        <v>61</v>
      </c>
      <c r="D53" s="95" t="s">
        <v>153</v>
      </c>
    </row>
    <row r="54" ht="15.75" customHeight="1">
      <c r="A54" s="93">
        <v>2.2004275E7</v>
      </c>
      <c r="B54" s="94" t="s">
        <v>158</v>
      </c>
      <c r="C54" s="94" t="s">
        <v>61</v>
      </c>
      <c r="D54" s="95" t="s">
        <v>153</v>
      </c>
    </row>
    <row r="55" ht="15.75" customHeight="1">
      <c r="A55" s="93">
        <v>2.2004276E7</v>
      </c>
      <c r="B55" s="94" t="s">
        <v>172</v>
      </c>
      <c r="C55" s="94" t="s">
        <v>61</v>
      </c>
      <c r="D55" s="95" t="s">
        <v>153</v>
      </c>
    </row>
    <row r="56" ht="15.75" customHeight="1">
      <c r="A56" s="93">
        <v>2.2004277E7</v>
      </c>
      <c r="B56" s="94" t="s">
        <v>86</v>
      </c>
      <c r="C56" s="94" t="s">
        <v>61</v>
      </c>
      <c r="D56" s="95" t="s">
        <v>153</v>
      </c>
    </row>
    <row r="57" ht="15.75" customHeight="1">
      <c r="A57" s="93">
        <v>2.2004278E7</v>
      </c>
      <c r="B57" s="94" t="s">
        <v>178</v>
      </c>
      <c r="C57" s="94" t="s">
        <v>61</v>
      </c>
      <c r="D57" s="95" t="s">
        <v>153</v>
      </c>
    </row>
    <row r="58" ht="15.75" customHeight="1">
      <c r="A58" s="93">
        <v>2.2004279E7</v>
      </c>
      <c r="B58" s="94" t="s">
        <v>145</v>
      </c>
      <c r="C58" s="94" t="s">
        <v>61</v>
      </c>
      <c r="D58" s="95" t="s">
        <v>153</v>
      </c>
    </row>
    <row r="59" ht="15.75" customHeight="1">
      <c r="A59" s="93">
        <v>2.2004282E7</v>
      </c>
      <c r="B59" s="94" t="s">
        <v>179</v>
      </c>
      <c r="C59" s="94" t="s">
        <v>61</v>
      </c>
      <c r="D59" s="95" t="s">
        <v>153</v>
      </c>
    </row>
    <row r="60" ht="15.75" customHeight="1">
      <c r="A60" s="93">
        <v>2.2004284E7</v>
      </c>
      <c r="B60" s="94" t="s">
        <v>180</v>
      </c>
      <c r="C60" s="94" t="s">
        <v>61</v>
      </c>
      <c r="D60" s="95" t="s">
        <v>153</v>
      </c>
    </row>
    <row r="61" ht="15.75" customHeight="1">
      <c r="A61" s="93">
        <v>2.2004285E7</v>
      </c>
      <c r="B61" s="94" t="s">
        <v>181</v>
      </c>
      <c r="C61" s="94" t="s">
        <v>61</v>
      </c>
      <c r="D61" s="95" t="s">
        <v>153</v>
      </c>
    </row>
    <row r="62" ht="15.75" customHeight="1">
      <c r="A62" s="93">
        <v>2.2004288E7</v>
      </c>
      <c r="B62" s="94" t="s">
        <v>170</v>
      </c>
      <c r="C62" s="94" t="s">
        <v>61</v>
      </c>
      <c r="D62" s="95" t="s">
        <v>153</v>
      </c>
    </row>
    <row r="63" ht="15.75" customHeight="1">
      <c r="A63" s="93">
        <v>2.2004292E7</v>
      </c>
      <c r="B63" s="94" t="s">
        <v>182</v>
      </c>
      <c r="C63" s="94" t="s">
        <v>61</v>
      </c>
      <c r="D63" s="95" t="s">
        <v>153</v>
      </c>
    </row>
    <row r="64" ht="15.75" customHeight="1">
      <c r="A64" s="93">
        <v>2.2004298E7</v>
      </c>
      <c r="B64" s="94" t="s">
        <v>160</v>
      </c>
      <c r="C64" s="94" t="s">
        <v>61</v>
      </c>
      <c r="D64" s="95" t="s">
        <v>153</v>
      </c>
    </row>
    <row r="65" ht="15.75" customHeight="1">
      <c r="A65" s="93">
        <v>2.20043E7</v>
      </c>
      <c r="B65" s="94" t="s">
        <v>183</v>
      </c>
      <c r="C65" s="94" t="s">
        <v>61</v>
      </c>
      <c r="D65" s="95" t="s">
        <v>153</v>
      </c>
    </row>
    <row r="66" ht="15.75" customHeight="1">
      <c r="A66" s="93">
        <v>2.2004301E7</v>
      </c>
      <c r="B66" s="94" t="s">
        <v>184</v>
      </c>
      <c r="C66" s="94" t="s">
        <v>61</v>
      </c>
      <c r="D66" s="95" t="s">
        <v>153</v>
      </c>
    </row>
    <row r="67" ht="15.75" customHeight="1">
      <c r="A67" s="93">
        <v>2.2004302E7</v>
      </c>
      <c r="B67" s="94" t="s">
        <v>185</v>
      </c>
      <c r="C67" s="94" t="s">
        <v>61</v>
      </c>
      <c r="D67" s="95" t="s">
        <v>153</v>
      </c>
    </row>
    <row r="68" ht="15.75" customHeight="1">
      <c r="A68" s="93">
        <v>2.2004309E7</v>
      </c>
      <c r="B68" s="94" t="s">
        <v>186</v>
      </c>
      <c r="C68" s="94" t="s">
        <v>61</v>
      </c>
      <c r="D68" s="95" t="s">
        <v>153</v>
      </c>
    </row>
    <row r="69" ht="15.75" customHeight="1">
      <c r="A69" s="93">
        <v>2.200431E7</v>
      </c>
      <c r="B69" s="94" t="s">
        <v>188</v>
      </c>
      <c r="C69" s="94" t="s">
        <v>61</v>
      </c>
      <c r="D69" s="95" t="s">
        <v>153</v>
      </c>
    </row>
    <row r="70" ht="15.75" customHeight="1">
      <c r="A70" s="93">
        <v>2.200432E7</v>
      </c>
      <c r="B70" s="94" t="s">
        <v>189</v>
      </c>
      <c r="C70" s="94" t="s">
        <v>61</v>
      </c>
      <c r="D70" s="95" t="s">
        <v>153</v>
      </c>
    </row>
    <row r="71" ht="15.75" customHeight="1">
      <c r="A71" s="93">
        <v>2.2004322E7</v>
      </c>
      <c r="B71" s="94" t="s">
        <v>190</v>
      </c>
      <c r="C71" s="94" t="s">
        <v>61</v>
      </c>
      <c r="D71" s="95" t="s">
        <v>153</v>
      </c>
    </row>
    <row r="72" ht="15.75" customHeight="1">
      <c r="A72" s="93">
        <v>2.2004317E7</v>
      </c>
      <c r="B72" s="94" t="s">
        <v>191</v>
      </c>
      <c r="C72" s="94" t="s">
        <v>61</v>
      </c>
      <c r="D72" s="95" t="s">
        <v>192</v>
      </c>
    </row>
    <row r="73" ht="15.75" customHeight="1">
      <c r="A73" s="93">
        <v>2.2004318E7</v>
      </c>
      <c r="B73" s="94" t="s">
        <v>193</v>
      </c>
      <c r="C73" s="94" t="s">
        <v>61</v>
      </c>
      <c r="D73" s="95" t="s">
        <v>192</v>
      </c>
    </row>
    <row r="74" ht="15.75" customHeight="1">
      <c r="A74" s="93">
        <v>2.2004319E7</v>
      </c>
      <c r="B74" s="94" t="s">
        <v>139</v>
      </c>
      <c r="C74" s="94" t="s">
        <v>61</v>
      </c>
      <c r="D74" s="95" t="s">
        <v>192</v>
      </c>
    </row>
    <row r="75" ht="15.75" customHeight="1">
      <c r="A75" s="93">
        <v>2.2004327E7</v>
      </c>
      <c r="B75" s="94" t="s">
        <v>194</v>
      </c>
      <c r="C75" s="94" t="s">
        <v>61</v>
      </c>
      <c r="D75" s="95" t="s">
        <v>192</v>
      </c>
    </row>
    <row r="76" ht="15.75" customHeight="1">
      <c r="A76" s="93">
        <v>2.2004328E7</v>
      </c>
      <c r="B76" s="94" t="s">
        <v>195</v>
      </c>
      <c r="C76" s="94" t="s">
        <v>61</v>
      </c>
      <c r="D76" s="95" t="s">
        <v>192</v>
      </c>
    </row>
    <row r="77" ht="15.75" customHeight="1">
      <c r="A77" s="93">
        <v>2.2004332E7</v>
      </c>
      <c r="B77" s="94" t="s">
        <v>196</v>
      </c>
      <c r="C77" s="94" t="s">
        <v>61</v>
      </c>
      <c r="D77" s="95" t="s">
        <v>192</v>
      </c>
    </row>
    <row r="78" ht="15.75" customHeight="1">
      <c r="A78" s="93">
        <v>2.2004333E7</v>
      </c>
      <c r="B78" s="94" t="s">
        <v>139</v>
      </c>
      <c r="C78" s="94" t="s">
        <v>61</v>
      </c>
      <c r="D78" s="95" t="s">
        <v>192</v>
      </c>
    </row>
    <row r="79" ht="15.75" customHeight="1">
      <c r="A79" s="93">
        <v>2.2004334E7</v>
      </c>
      <c r="B79" s="94" t="s">
        <v>197</v>
      </c>
      <c r="C79" s="94" t="s">
        <v>61</v>
      </c>
      <c r="D79" s="95" t="s">
        <v>192</v>
      </c>
    </row>
    <row r="80" ht="15.75" customHeight="1">
      <c r="A80" s="93">
        <v>2.2004337E7</v>
      </c>
      <c r="B80" s="94" t="s">
        <v>198</v>
      </c>
      <c r="C80" s="94" t="s">
        <v>61</v>
      </c>
      <c r="D80" s="95" t="s">
        <v>192</v>
      </c>
    </row>
    <row r="81" ht="15.75" customHeight="1">
      <c r="A81" s="93">
        <v>2.2004342E7</v>
      </c>
      <c r="B81" s="94" t="s">
        <v>200</v>
      </c>
      <c r="C81" s="94" t="s">
        <v>61</v>
      </c>
      <c r="D81" s="95" t="s">
        <v>192</v>
      </c>
    </row>
    <row r="82" ht="15.75" customHeight="1">
      <c r="A82" s="93">
        <v>2.2004344E7</v>
      </c>
      <c r="B82" s="94" t="s">
        <v>171</v>
      </c>
      <c r="C82" s="94" t="s">
        <v>61</v>
      </c>
      <c r="D82" s="95" t="s">
        <v>192</v>
      </c>
    </row>
    <row r="83" ht="15.75" customHeight="1">
      <c r="A83" s="93">
        <v>2.2004345E7</v>
      </c>
      <c r="B83" s="94" t="s">
        <v>139</v>
      </c>
      <c r="C83" s="94" t="s">
        <v>61</v>
      </c>
      <c r="D83" s="95" t="s">
        <v>192</v>
      </c>
    </row>
    <row r="84" ht="15.75" customHeight="1">
      <c r="A84" s="93">
        <v>2.2004347E7</v>
      </c>
      <c r="B84" s="94" t="s">
        <v>203</v>
      </c>
      <c r="C84" s="94" t="s">
        <v>61</v>
      </c>
      <c r="D84" s="95" t="s">
        <v>192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84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7B0"/>
    <pageSetUpPr/>
  </sheetPr>
  <sheetViews>
    <sheetView showGridLines="0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7.0"/>
    <col customWidth="1" min="4" max="4" width="12.0"/>
    <col customWidth="1" min="5" max="5" width="32.0"/>
    <col customWidth="1" min="6" max="7" width="12.0"/>
    <col customWidth="1" min="8" max="8" width="8.0"/>
    <col customWidth="1" min="9" max="9" width="22.0"/>
    <col customWidth="1" min="10" max="10" width="8.0"/>
    <col customWidth="1" min="11" max="11" width="12.0"/>
    <col customWidth="1" min="12" max="12" width="15.0"/>
    <col customWidth="1" min="13" max="13" width="9.0"/>
    <col customWidth="1" min="14" max="14" width="12.0"/>
    <col customWidth="1" min="15" max="15" width="14.0"/>
    <col customWidth="1" min="16" max="16" width="10.0"/>
    <col customWidth="1" min="17" max="17" width="13.0"/>
    <col customWidth="1" min="18" max="18" width="14.0"/>
    <col customWidth="1" min="19" max="19" width="13.0"/>
    <col customWidth="1" min="20" max="20" width="12.0"/>
    <col customWidth="1" min="21" max="21" width="9.0"/>
    <col customWidth="1" min="22" max="22" width="11.0"/>
    <col customWidth="1" min="23" max="23" width="12.0"/>
    <col customWidth="1" min="24" max="24" width="9.0"/>
    <col customWidth="1" min="25" max="25" width="11.0"/>
    <col customWidth="1" min="26" max="26" width="12.0"/>
    <col customWidth="1" min="27" max="27" width="9.0"/>
    <col customWidth="1" min="28" max="28" width="11.0"/>
    <col customWidth="1" min="29" max="29" width="13.0"/>
    <col customWidth="1" min="30" max="30" width="11.0"/>
    <col customWidth="1" min="31" max="31" width="13.0"/>
    <col customWidth="1" min="32" max="32" width="22.0"/>
    <col customWidth="1" min="33" max="33" width="11.0"/>
    <col customWidth="1" min="34" max="34" width="14.0"/>
    <col customWidth="1" min="35" max="35" width="40.0"/>
  </cols>
  <sheetData>
    <row r="1" ht="21.75" customHeight="1">
      <c r="A1" s="99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4"/>
    </row>
    <row r="2" ht="33.75" customHeight="1">
      <c r="A2" s="100" t="s">
        <v>18</v>
      </c>
      <c r="B2" s="100" t="s">
        <v>19</v>
      </c>
      <c r="C2" s="100" t="s">
        <v>20</v>
      </c>
      <c r="D2" s="100" t="s">
        <v>21</v>
      </c>
      <c r="E2" s="100" t="s">
        <v>22</v>
      </c>
      <c r="F2" s="100" t="s">
        <v>212</v>
      </c>
      <c r="G2" s="100" t="s">
        <v>25</v>
      </c>
      <c r="H2" s="100" t="s">
        <v>26</v>
      </c>
      <c r="I2" s="100" t="s">
        <v>27</v>
      </c>
      <c r="J2" s="100" t="s">
        <v>28</v>
      </c>
      <c r="K2" s="100" t="s">
        <v>30</v>
      </c>
      <c r="L2" s="100" t="s">
        <v>29</v>
      </c>
      <c r="M2" s="100" t="s">
        <v>31</v>
      </c>
      <c r="N2" s="100" t="s">
        <v>32</v>
      </c>
      <c r="O2" s="100" t="s">
        <v>33</v>
      </c>
      <c r="P2" s="100" t="s">
        <v>34</v>
      </c>
      <c r="Q2" s="100" t="s">
        <v>36</v>
      </c>
      <c r="R2" s="100" t="s">
        <v>213</v>
      </c>
      <c r="S2" s="100" t="s">
        <v>214</v>
      </c>
      <c r="T2" s="100" t="s">
        <v>39</v>
      </c>
      <c r="U2" s="100" t="s">
        <v>40</v>
      </c>
      <c r="V2" s="100" t="s">
        <v>41</v>
      </c>
      <c r="W2" s="100" t="s">
        <v>42</v>
      </c>
      <c r="X2" s="100" t="s">
        <v>40</v>
      </c>
      <c r="Y2" s="100" t="s">
        <v>41</v>
      </c>
      <c r="Z2" s="100" t="s">
        <v>43</v>
      </c>
      <c r="AA2" s="100" t="s">
        <v>40</v>
      </c>
      <c r="AB2" s="100" t="s">
        <v>41</v>
      </c>
      <c r="AC2" s="100" t="s">
        <v>215</v>
      </c>
      <c r="AD2" s="100" t="s">
        <v>52</v>
      </c>
      <c r="AE2" s="100" t="s">
        <v>53</v>
      </c>
      <c r="AF2" s="100" t="s">
        <v>50</v>
      </c>
      <c r="AG2" s="100" t="s">
        <v>51</v>
      </c>
      <c r="AH2" s="100" t="s">
        <v>216</v>
      </c>
      <c r="AI2" s="100" t="s">
        <v>56</v>
      </c>
    </row>
    <row r="3">
      <c r="A3" s="101" t="s">
        <v>61</v>
      </c>
      <c r="B3" s="101" t="s">
        <v>62</v>
      </c>
      <c r="C3" s="101" t="s">
        <v>63</v>
      </c>
      <c r="D3" s="101">
        <v>220019.0</v>
      </c>
      <c r="E3" s="102" t="s">
        <v>176</v>
      </c>
      <c r="F3" s="45">
        <v>45001.0</v>
      </c>
      <c r="G3" s="45">
        <v>44995.0</v>
      </c>
      <c r="H3" s="101" t="s">
        <v>83</v>
      </c>
      <c r="I3" s="101" t="s">
        <v>76</v>
      </c>
      <c r="J3" s="101">
        <v>65.0</v>
      </c>
      <c r="K3" s="65">
        <v>42.36923077</v>
      </c>
      <c r="L3" s="65">
        <v>2754.0</v>
      </c>
      <c r="M3" s="103">
        <v>0.2</v>
      </c>
      <c r="N3" s="65">
        <v>550.8</v>
      </c>
      <c r="O3" s="65">
        <v>3304.8</v>
      </c>
      <c r="P3" s="101" t="s">
        <v>79</v>
      </c>
      <c r="Q3" s="65">
        <v>293.4</v>
      </c>
      <c r="R3" s="65">
        <v>3598.2</v>
      </c>
      <c r="S3" s="65">
        <v>1945.8</v>
      </c>
      <c r="T3" s="65">
        <v>3598.2</v>
      </c>
      <c r="U3" s="101" t="s">
        <v>80</v>
      </c>
      <c r="V3" s="45">
        <v>44995.0</v>
      </c>
      <c r="W3" s="65"/>
      <c r="X3" s="101"/>
      <c r="Y3" s="45"/>
      <c r="Z3" s="65"/>
      <c r="AA3" s="101"/>
      <c r="AB3" s="45"/>
      <c r="AC3" s="65">
        <v>293.4</v>
      </c>
      <c r="AD3" s="101" t="s">
        <v>80</v>
      </c>
      <c r="AE3" s="45">
        <v>44995.0</v>
      </c>
      <c r="AF3" s="102"/>
      <c r="AG3" s="101"/>
      <c r="AH3" s="101"/>
      <c r="AI3" s="102"/>
    </row>
    <row r="4">
      <c r="A4" s="101" t="s">
        <v>61</v>
      </c>
      <c r="B4" s="101" t="s">
        <v>62</v>
      </c>
      <c r="C4" s="101" t="s">
        <v>63</v>
      </c>
      <c r="D4" s="101">
        <v>220020.0</v>
      </c>
      <c r="E4" s="102" t="s">
        <v>217</v>
      </c>
      <c r="F4" s="45">
        <v>45001.0</v>
      </c>
      <c r="G4" s="45">
        <v>44999.0</v>
      </c>
      <c r="H4" s="101" t="s">
        <v>73</v>
      </c>
      <c r="I4" s="101" t="s">
        <v>76</v>
      </c>
      <c r="J4" s="101">
        <v>150.0</v>
      </c>
      <c r="K4" s="65">
        <v>1.8</v>
      </c>
      <c r="L4" s="65">
        <v>270.0</v>
      </c>
      <c r="M4" s="103">
        <v>0.2</v>
      </c>
      <c r="N4" s="65">
        <v>54.0</v>
      </c>
      <c r="O4" s="65">
        <v>324.0</v>
      </c>
      <c r="P4" s="101" t="s">
        <v>79</v>
      </c>
      <c r="Q4" s="65">
        <v>27.0</v>
      </c>
      <c r="R4" s="65">
        <v>351.0</v>
      </c>
      <c r="S4" s="65">
        <v>189.0</v>
      </c>
      <c r="T4" s="65">
        <v>1266.81</v>
      </c>
      <c r="U4" s="101" t="s">
        <v>85</v>
      </c>
      <c r="V4" s="45">
        <v>45000.0</v>
      </c>
      <c r="W4" s="65"/>
      <c r="X4" s="101"/>
      <c r="Y4" s="45"/>
      <c r="Z4" s="65"/>
      <c r="AA4" s="101"/>
      <c r="AB4" s="45"/>
      <c r="AC4" s="65">
        <v>2193.42</v>
      </c>
      <c r="AD4" s="101"/>
      <c r="AE4" s="45">
        <v>45005.0</v>
      </c>
      <c r="AF4" s="102"/>
      <c r="AG4" s="101"/>
      <c r="AH4" s="101"/>
      <c r="AI4" s="102"/>
    </row>
    <row r="5">
      <c r="A5" s="101" t="s">
        <v>219</v>
      </c>
      <c r="B5" s="101" t="s">
        <v>62</v>
      </c>
      <c r="C5" s="101" t="s">
        <v>63</v>
      </c>
      <c r="D5" s="101">
        <v>220021.0</v>
      </c>
      <c r="E5" s="102" t="s">
        <v>220</v>
      </c>
      <c r="F5" s="45">
        <v>45015.0</v>
      </c>
      <c r="G5" s="45">
        <v>45005.0</v>
      </c>
      <c r="H5" s="101" t="s">
        <v>73</v>
      </c>
      <c r="I5" s="101" t="s">
        <v>76</v>
      </c>
      <c r="J5" s="101">
        <v>15.0</v>
      </c>
      <c r="K5" s="65">
        <v>61.2</v>
      </c>
      <c r="L5" s="65">
        <v>918.0</v>
      </c>
      <c r="M5" s="103">
        <v>0.2</v>
      </c>
      <c r="N5" s="65">
        <v>183.6</v>
      </c>
      <c r="O5" s="65">
        <v>1101.6</v>
      </c>
      <c r="P5" s="101" t="s">
        <v>84</v>
      </c>
      <c r="Q5" s="65">
        <v>91.8</v>
      </c>
      <c r="R5" s="65">
        <v>1101.6</v>
      </c>
      <c r="S5" s="65">
        <v>642.6</v>
      </c>
      <c r="T5" s="65">
        <v>1101.6</v>
      </c>
      <c r="U5" s="101" t="s">
        <v>80</v>
      </c>
      <c r="V5" s="45">
        <v>45008.0</v>
      </c>
      <c r="W5" s="65"/>
      <c r="X5" s="101"/>
      <c r="Y5" s="45"/>
      <c r="Z5" s="65"/>
      <c r="AA5" s="101"/>
      <c r="AB5" s="45"/>
      <c r="AC5" s="65"/>
      <c r="AD5" s="101"/>
      <c r="AE5" s="45"/>
      <c r="AF5" s="102"/>
      <c r="AG5" s="101"/>
      <c r="AH5" s="101"/>
      <c r="AI5" s="102"/>
    </row>
    <row r="6">
      <c r="A6" s="101" t="s">
        <v>219</v>
      </c>
      <c r="B6" s="101" t="s">
        <v>62</v>
      </c>
      <c r="C6" s="101" t="s">
        <v>63</v>
      </c>
      <c r="D6" s="101">
        <v>220022.0</v>
      </c>
      <c r="E6" s="102" t="s">
        <v>221</v>
      </c>
      <c r="F6" s="45">
        <v>45034.0</v>
      </c>
      <c r="G6" s="45">
        <v>45006.0</v>
      </c>
      <c r="H6" s="101" t="s">
        <v>73</v>
      </c>
      <c r="I6" s="101" t="s">
        <v>76</v>
      </c>
      <c r="J6" s="101">
        <v>80.0</v>
      </c>
      <c r="K6" s="65">
        <v>31.21875</v>
      </c>
      <c r="L6" s="65">
        <v>2497.5</v>
      </c>
      <c r="M6" s="103">
        <v>0.2</v>
      </c>
      <c r="N6" s="65">
        <v>499.5</v>
      </c>
      <c r="O6" s="65">
        <v>2997.0</v>
      </c>
      <c r="P6" s="101" t="s">
        <v>84</v>
      </c>
      <c r="Q6" s="65">
        <v>249.75</v>
      </c>
      <c r="R6" s="65">
        <v>2997.0</v>
      </c>
      <c r="S6" s="65">
        <v>1748.25</v>
      </c>
      <c r="T6" s="65"/>
      <c r="U6" s="101"/>
      <c r="V6" s="45"/>
      <c r="W6" s="65"/>
      <c r="X6" s="101"/>
      <c r="Y6" s="45"/>
      <c r="Z6" s="65"/>
      <c r="AA6" s="101"/>
      <c r="AB6" s="45"/>
      <c r="AC6" s="65"/>
      <c r="AD6" s="101"/>
      <c r="AE6" s="45"/>
      <c r="AF6" s="102"/>
      <c r="AG6" s="101"/>
      <c r="AH6" s="101"/>
      <c r="AI6" s="102"/>
    </row>
    <row r="7">
      <c r="A7" s="101" t="s">
        <v>167</v>
      </c>
      <c r="B7" s="101" t="s">
        <v>62</v>
      </c>
      <c r="C7" s="101" t="s">
        <v>63</v>
      </c>
      <c r="D7" s="101">
        <v>220023.0</v>
      </c>
      <c r="E7" s="102" t="s">
        <v>222</v>
      </c>
      <c r="F7" s="45">
        <v>45020.0</v>
      </c>
      <c r="G7" s="45">
        <v>45007.0</v>
      </c>
      <c r="H7" s="101" t="s">
        <v>83</v>
      </c>
      <c r="I7" s="101" t="s">
        <v>76</v>
      </c>
      <c r="J7" s="101">
        <v>50.0</v>
      </c>
      <c r="K7" s="65">
        <v>33.55</v>
      </c>
      <c r="L7" s="65">
        <v>1677.5</v>
      </c>
      <c r="M7" s="103">
        <v>0.2</v>
      </c>
      <c r="N7" s="65">
        <v>335.5</v>
      </c>
      <c r="O7" s="65">
        <v>2013.0</v>
      </c>
      <c r="P7" s="101" t="s">
        <v>84</v>
      </c>
      <c r="Q7" s="65">
        <v>167.75</v>
      </c>
      <c r="R7" s="65">
        <v>2013.0</v>
      </c>
      <c r="S7" s="65">
        <v>1174.25</v>
      </c>
      <c r="T7" s="65">
        <v>2013.0</v>
      </c>
      <c r="U7" s="101" t="s">
        <v>80</v>
      </c>
      <c r="V7" s="45">
        <v>45016.0</v>
      </c>
      <c r="W7" s="65"/>
      <c r="X7" s="101"/>
      <c r="Y7" s="45"/>
      <c r="Z7" s="65"/>
      <c r="AA7" s="101"/>
      <c r="AB7" s="45"/>
      <c r="AC7" s="65"/>
      <c r="AD7" s="101"/>
      <c r="AE7" s="45"/>
      <c r="AF7" s="102"/>
      <c r="AG7" s="101"/>
      <c r="AH7" s="101"/>
      <c r="AI7" s="102"/>
    </row>
    <row r="8">
      <c r="A8" s="101" t="s">
        <v>223</v>
      </c>
      <c r="B8" s="101" t="s">
        <v>62</v>
      </c>
      <c r="C8" s="101" t="s">
        <v>63</v>
      </c>
      <c r="D8" s="101">
        <v>220024.0</v>
      </c>
      <c r="E8" s="102" t="s">
        <v>224</v>
      </c>
      <c r="F8" s="45">
        <v>45021.0</v>
      </c>
      <c r="G8" s="45">
        <v>45016.0</v>
      </c>
      <c r="H8" s="101" t="s">
        <v>73</v>
      </c>
      <c r="I8" s="101" t="s">
        <v>76</v>
      </c>
      <c r="J8" s="101">
        <v>26.0</v>
      </c>
      <c r="K8" s="65">
        <v>116.6423077</v>
      </c>
      <c r="L8" s="65">
        <v>3032.7</v>
      </c>
      <c r="M8" s="103">
        <v>0.2</v>
      </c>
      <c r="N8" s="65">
        <v>606.54</v>
      </c>
      <c r="O8" s="65">
        <v>3639.24</v>
      </c>
      <c r="P8" s="101" t="s">
        <v>84</v>
      </c>
      <c r="Q8" s="65">
        <v>303.27</v>
      </c>
      <c r="R8" s="65">
        <v>3639.24</v>
      </c>
      <c r="S8" s="65">
        <v>2122.89</v>
      </c>
      <c r="T8" s="65"/>
      <c r="U8" s="101"/>
      <c r="V8" s="45"/>
      <c r="W8" s="65"/>
      <c r="X8" s="101"/>
      <c r="Y8" s="45"/>
      <c r="Z8" s="65"/>
      <c r="AA8" s="101"/>
      <c r="AB8" s="45"/>
      <c r="AC8" s="65">
        <v>250.52</v>
      </c>
      <c r="AD8" s="101"/>
      <c r="AE8" s="45">
        <v>45035.0</v>
      </c>
      <c r="AF8" s="102"/>
      <c r="AG8" s="101"/>
      <c r="AH8" s="101"/>
      <c r="AI8" s="102"/>
    </row>
    <row r="9">
      <c r="A9" s="101" t="s">
        <v>223</v>
      </c>
      <c r="B9" s="101" t="s">
        <v>62</v>
      </c>
      <c r="C9" s="101" t="s">
        <v>63</v>
      </c>
      <c r="D9" s="101">
        <v>220025.0</v>
      </c>
      <c r="E9" s="102" t="s">
        <v>225</v>
      </c>
      <c r="F9" s="45">
        <v>45099.0</v>
      </c>
      <c r="G9" s="45">
        <v>45019.0</v>
      </c>
      <c r="H9" s="101" t="s">
        <v>83</v>
      </c>
      <c r="I9" s="101" t="s">
        <v>76</v>
      </c>
      <c r="J9" s="101">
        <v>60.0</v>
      </c>
      <c r="K9" s="65">
        <v>72.06666667</v>
      </c>
      <c r="L9" s="65">
        <v>4324.0</v>
      </c>
      <c r="M9" s="103">
        <v>0.2</v>
      </c>
      <c r="N9" s="65">
        <v>864.8</v>
      </c>
      <c r="O9" s="65">
        <v>5188.8</v>
      </c>
      <c r="P9" s="101"/>
      <c r="Q9" s="65">
        <v>432.4</v>
      </c>
      <c r="R9" s="65"/>
      <c r="S9" s="65">
        <v>3026.8</v>
      </c>
      <c r="T9" s="65">
        <v>5707.68</v>
      </c>
      <c r="U9" s="101" t="s">
        <v>85</v>
      </c>
      <c r="V9" s="45">
        <v>45076.0</v>
      </c>
      <c r="W9" s="65"/>
      <c r="X9" s="101"/>
      <c r="Y9" s="45"/>
      <c r="Z9" s="65"/>
      <c r="AA9" s="101"/>
      <c r="AB9" s="45"/>
      <c r="AC9" s="65">
        <v>410.88</v>
      </c>
      <c r="AD9" s="101" t="s">
        <v>85</v>
      </c>
      <c r="AE9" s="45">
        <v>45114.0</v>
      </c>
      <c r="AF9" s="102" t="s">
        <v>226</v>
      </c>
      <c r="AG9" s="101"/>
      <c r="AH9" s="101"/>
      <c r="AI9" s="102"/>
    </row>
    <row r="10">
      <c r="A10" s="101" t="s">
        <v>167</v>
      </c>
      <c r="B10" s="101" t="s">
        <v>62</v>
      </c>
      <c r="C10" s="101" t="s">
        <v>63</v>
      </c>
      <c r="D10" s="101">
        <v>220026.0</v>
      </c>
      <c r="E10" s="102" t="s">
        <v>204</v>
      </c>
      <c r="F10" s="45">
        <v>45015.0</v>
      </c>
      <c r="G10" s="45">
        <v>45020.0</v>
      </c>
      <c r="H10" s="101" t="s">
        <v>83</v>
      </c>
      <c r="I10" s="101" t="s">
        <v>76</v>
      </c>
      <c r="J10" s="101">
        <v>55.0</v>
      </c>
      <c r="K10" s="65">
        <v>50.0</v>
      </c>
      <c r="L10" s="65">
        <v>2750.0</v>
      </c>
      <c r="M10" s="103">
        <v>0.2</v>
      </c>
      <c r="N10" s="65">
        <v>550.0</v>
      </c>
      <c r="O10" s="65">
        <v>3300.0</v>
      </c>
      <c r="P10" s="101" t="s">
        <v>84</v>
      </c>
      <c r="Q10" s="65">
        <v>275.0</v>
      </c>
      <c r="R10" s="65">
        <v>3300.0</v>
      </c>
      <c r="S10" s="65">
        <v>1925.0</v>
      </c>
      <c r="T10" s="65">
        <v>3300.0</v>
      </c>
      <c r="U10" s="101" t="s">
        <v>85</v>
      </c>
      <c r="V10" s="45">
        <v>45035.0</v>
      </c>
      <c r="W10" s="65"/>
      <c r="X10" s="101"/>
      <c r="Y10" s="45"/>
      <c r="Z10" s="65"/>
      <c r="AA10" s="101"/>
      <c r="AB10" s="45"/>
      <c r="AC10" s="65"/>
      <c r="AD10" s="101"/>
      <c r="AE10" s="45"/>
      <c r="AF10" s="102"/>
      <c r="AG10" s="101"/>
      <c r="AH10" s="101"/>
      <c r="AI10" s="102"/>
    </row>
    <row r="11">
      <c r="A11" s="101" t="s">
        <v>223</v>
      </c>
      <c r="B11" s="101" t="s">
        <v>62</v>
      </c>
      <c r="C11" s="101"/>
      <c r="D11" s="101">
        <v>220027.0</v>
      </c>
      <c r="E11" s="102" t="s">
        <v>227</v>
      </c>
      <c r="F11" s="45">
        <v>45035.0</v>
      </c>
      <c r="G11" s="45">
        <v>45027.0</v>
      </c>
      <c r="H11" s="101" t="s">
        <v>83</v>
      </c>
      <c r="I11" s="101" t="s">
        <v>76</v>
      </c>
      <c r="J11" s="101">
        <v>20.0</v>
      </c>
      <c r="K11" s="65">
        <v>67.275</v>
      </c>
      <c r="L11" s="65">
        <v>1345.5</v>
      </c>
      <c r="M11" s="103">
        <v>0.2</v>
      </c>
      <c r="N11" s="65">
        <v>269.1</v>
      </c>
      <c r="O11" s="65">
        <v>1614.6</v>
      </c>
      <c r="P11" s="101" t="s">
        <v>79</v>
      </c>
      <c r="Q11" s="65">
        <v>134.55</v>
      </c>
      <c r="R11" s="65">
        <v>1749.15</v>
      </c>
      <c r="S11" s="65">
        <v>941.85</v>
      </c>
      <c r="T11" s="65">
        <v>1776.06</v>
      </c>
      <c r="U11" s="101" t="s">
        <v>85</v>
      </c>
      <c r="V11" s="45">
        <v>45028.0</v>
      </c>
      <c r="W11" s="65"/>
      <c r="X11" s="101"/>
      <c r="Y11" s="45"/>
      <c r="Z11" s="65"/>
      <c r="AA11" s="101"/>
      <c r="AB11" s="45"/>
      <c r="AC11" s="65">
        <v>161.46</v>
      </c>
      <c r="AD11" s="101"/>
      <c r="AE11" s="45">
        <v>45069.0</v>
      </c>
      <c r="AF11" s="102"/>
      <c r="AG11" s="101"/>
      <c r="AH11" s="101"/>
      <c r="AI11" s="102"/>
    </row>
    <row r="12">
      <c r="A12" s="101" t="s">
        <v>223</v>
      </c>
      <c r="B12" s="101" t="s">
        <v>62</v>
      </c>
      <c r="C12" s="101"/>
      <c r="D12" s="101">
        <v>220028.0</v>
      </c>
      <c r="E12" s="102" t="s">
        <v>229</v>
      </c>
      <c r="F12" s="45">
        <v>45041.0</v>
      </c>
      <c r="G12" s="45"/>
      <c r="H12" s="101" t="s">
        <v>83</v>
      </c>
      <c r="I12" s="101" t="s">
        <v>76</v>
      </c>
      <c r="J12" s="101">
        <v>50.0</v>
      </c>
      <c r="K12" s="65">
        <v>26.52</v>
      </c>
      <c r="L12" s="65">
        <v>1326.0</v>
      </c>
      <c r="M12" s="103">
        <v>0.2</v>
      </c>
      <c r="N12" s="65">
        <v>265.2</v>
      </c>
      <c r="O12" s="65">
        <v>1944.6</v>
      </c>
      <c r="P12" s="101"/>
      <c r="Q12" s="65">
        <v>132.6</v>
      </c>
      <c r="R12" s="65"/>
      <c r="S12" s="65">
        <v>1104.9</v>
      </c>
      <c r="T12" s="65"/>
      <c r="U12" s="101"/>
      <c r="V12" s="45"/>
      <c r="W12" s="65"/>
      <c r="X12" s="101"/>
      <c r="Y12" s="45"/>
      <c r="Z12" s="65"/>
      <c r="AA12" s="101"/>
      <c r="AB12" s="45"/>
      <c r="AC12" s="65"/>
      <c r="AD12" s="101"/>
      <c r="AE12" s="45"/>
      <c r="AF12" s="102"/>
      <c r="AG12" s="101"/>
      <c r="AH12" s="101"/>
      <c r="AI12" s="102"/>
    </row>
    <row r="13">
      <c r="A13" s="101" t="s">
        <v>223</v>
      </c>
      <c r="B13" s="101" t="s">
        <v>62</v>
      </c>
      <c r="C13" s="101"/>
      <c r="D13" s="101">
        <v>220029.0</v>
      </c>
      <c r="E13" s="102" t="s">
        <v>230</v>
      </c>
      <c r="F13" s="45"/>
      <c r="G13" s="45">
        <v>45029.0</v>
      </c>
      <c r="H13" s="101" t="s">
        <v>83</v>
      </c>
      <c r="I13" s="101" t="s">
        <v>76</v>
      </c>
      <c r="J13" s="101">
        <v>60.0</v>
      </c>
      <c r="K13" s="65">
        <v>58.68166667</v>
      </c>
      <c r="L13" s="65">
        <v>3520.9</v>
      </c>
      <c r="M13" s="103">
        <v>0.2</v>
      </c>
      <c r="N13" s="65">
        <v>704.18</v>
      </c>
      <c r="O13" s="65">
        <v>4225.08</v>
      </c>
      <c r="P13" s="101" t="s">
        <v>84</v>
      </c>
      <c r="Q13" s="65">
        <v>352.09</v>
      </c>
      <c r="R13" s="65">
        <v>4225.08</v>
      </c>
      <c r="S13" s="65">
        <v>2464.63</v>
      </c>
      <c r="T13" s="65"/>
      <c r="U13" s="101"/>
      <c r="V13" s="45"/>
      <c r="W13" s="65"/>
      <c r="X13" s="101"/>
      <c r="Y13" s="45"/>
      <c r="Z13" s="65"/>
      <c r="AA13" s="101"/>
      <c r="AB13" s="45"/>
      <c r="AC13" s="65">
        <v>598.21</v>
      </c>
      <c r="AD13" s="101" t="s">
        <v>80</v>
      </c>
      <c r="AE13" s="45">
        <v>45041.0</v>
      </c>
      <c r="AF13" s="102"/>
      <c r="AG13" s="101"/>
      <c r="AH13" s="101"/>
      <c r="AI13" s="102" t="s">
        <v>231</v>
      </c>
    </row>
    <row r="14">
      <c r="A14" s="101" t="s">
        <v>167</v>
      </c>
      <c r="B14" s="101" t="s">
        <v>62</v>
      </c>
      <c r="C14" s="101"/>
      <c r="D14" s="101">
        <v>220030.0</v>
      </c>
      <c r="E14" s="102" t="s">
        <v>232</v>
      </c>
      <c r="F14" s="45">
        <v>45042.0</v>
      </c>
      <c r="G14" s="45">
        <v>45033.0</v>
      </c>
      <c r="H14" s="101" t="s">
        <v>83</v>
      </c>
      <c r="I14" s="101" t="s">
        <v>76</v>
      </c>
      <c r="J14" s="101">
        <v>200.0</v>
      </c>
      <c r="K14" s="65">
        <v>116.26</v>
      </c>
      <c r="L14" s="65">
        <v>23252.0</v>
      </c>
      <c r="M14" s="103">
        <v>0.2</v>
      </c>
      <c r="N14" s="65">
        <v>4650.4</v>
      </c>
      <c r="O14" s="65">
        <v>27902.4</v>
      </c>
      <c r="P14" s="101" t="s">
        <v>84</v>
      </c>
      <c r="Q14" s="65">
        <v>2325.2</v>
      </c>
      <c r="R14" s="65">
        <v>27902.4</v>
      </c>
      <c r="S14" s="65">
        <v>16276.4</v>
      </c>
      <c r="T14" s="65"/>
      <c r="U14" s="101"/>
      <c r="V14" s="45"/>
      <c r="W14" s="65"/>
      <c r="X14" s="101"/>
      <c r="Y14" s="45"/>
      <c r="Z14" s="65"/>
      <c r="AA14" s="101"/>
      <c r="AB14" s="45"/>
      <c r="AC14" s="65"/>
      <c r="AD14" s="101"/>
      <c r="AE14" s="45"/>
      <c r="AF14" s="102"/>
      <c r="AG14" s="101"/>
      <c r="AH14" s="101"/>
      <c r="AI14" s="102"/>
    </row>
    <row r="15">
      <c r="A15" s="101" t="s">
        <v>167</v>
      </c>
      <c r="B15" s="101" t="s">
        <v>62</v>
      </c>
      <c r="C15" s="101"/>
      <c r="D15" s="101">
        <v>220031.0</v>
      </c>
      <c r="E15" s="102" t="s">
        <v>233</v>
      </c>
      <c r="F15" s="45">
        <v>45041.0</v>
      </c>
      <c r="G15" s="45">
        <v>45041.0</v>
      </c>
      <c r="H15" s="101" t="s">
        <v>83</v>
      </c>
      <c r="I15" s="101" t="s">
        <v>76</v>
      </c>
      <c r="J15" s="101">
        <v>30.0</v>
      </c>
      <c r="K15" s="65">
        <v>50.0</v>
      </c>
      <c r="L15" s="65">
        <v>1500.0</v>
      </c>
      <c r="M15" s="103">
        <v>0.2</v>
      </c>
      <c r="N15" s="65">
        <v>300.0</v>
      </c>
      <c r="O15" s="65">
        <v>1800.0</v>
      </c>
      <c r="P15" s="101"/>
      <c r="Q15" s="65">
        <v>150.0</v>
      </c>
      <c r="R15" s="65"/>
      <c r="S15" s="65">
        <v>1050.0</v>
      </c>
      <c r="T15" s="65">
        <v>1800.0</v>
      </c>
      <c r="U15" s="101" t="s">
        <v>85</v>
      </c>
      <c r="V15" s="45">
        <v>45056.0</v>
      </c>
      <c r="W15" s="65"/>
      <c r="X15" s="101"/>
      <c r="Y15" s="45"/>
      <c r="Z15" s="65"/>
      <c r="AA15" s="101"/>
      <c r="AB15" s="45"/>
      <c r="AC15" s="65"/>
      <c r="AD15" s="101"/>
      <c r="AE15" s="45"/>
      <c r="AF15" s="102"/>
      <c r="AG15" s="101"/>
      <c r="AH15" s="101"/>
      <c r="AI15" s="102"/>
    </row>
    <row r="16">
      <c r="A16" s="101" t="s">
        <v>167</v>
      </c>
      <c r="B16" s="101" t="s">
        <v>62</v>
      </c>
      <c r="C16" s="101"/>
      <c r="D16" s="101">
        <v>220032.0</v>
      </c>
      <c r="E16" s="102" t="s">
        <v>234</v>
      </c>
      <c r="F16" s="45">
        <v>45045.0</v>
      </c>
      <c r="G16" s="45">
        <v>45041.0</v>
      </c>
      <c r="H16" s="101" t="s">
        <v>83</v>
      </c>
      <c r="I16" s="101" t="s">
        <v>76</v>
      </c>
      <c r="J16" s="101">
        <v>12.0</v>
      </c>
      <c r="K16" s="65">
        <v>101.2</v>
      </c>
      <c r="L16" s="65">
        <v>1214.4</v>
      </c>
      <c r="M16" s="103">
        <v>0.2</v>
      </c>
      <c r="N16" s="65">
        <v>242.88</v>
      </c>
      <c r="O16" s="65">
        <v>1457.28</v>
      </c>
      <c r="P16" s="101" t="s">
        <v>79</v>
      </c>
      <c r="Q16" s="65">
        <v>121.44</v>
      </c>
      <c r="R16" s="65">
        <v>1578.72</v>
      </c>
      <c r="S16" s="65">
        <v>850.08</v>
      </c>
      <c r="T16" s="65"/>
      <c r="U16" s="101"/>
      <c r="V16" s="45"/>
      <c r="W16" s="65"/>
      <c r="X16" s="101"/>
      <c r="Y16" s="45"/>
      <c r="Z16" s="65"/>
      <c r="AA16" s="101"/>
      <c r="AB16" s="45"/>
      <c r="AC16" s="65"/>
      <c r="AD16" s="101"/>
      <c r="AE16" s="45"/>
      <c r="AF16" s="102"/>
      <c r="AG16" s="101"/>
      <c r="AH16" s="101"/>
      <c r="AI16" s="102"/>
    </row>
    <row r="17">
      <c r="A17" s="101" t="s">
        <v>219</v>
      </c>
      <c r="B17" s="101" t="s">
        <v>62</v>
      </c>
      <c r="C17" s="101" t="s">
        <v>63</v>
      </c>
      <c r="D17" s="101">
        <v>220033.0</v>
      </c>
      <c r="E17" s="102" t="s">
        <v>237</v>
      </c>
      <c r="F17" s="45">
        <v>45049.0</v>
      </c>
      <c r="G17" s="45">
        <v>45042.0</v>
      </c>
      <c r="H17" s="101" t="s">
        <v>83</v>
      </c>
      <c r="I17" s="101" t="s">
        <v>76</v>
      </c>
      <c r="J17" s="101">
        <v>5.0</v>
      </c>
      <c r="K17" s="65">
        <v>56.6</v>
      </c>
      <c r="L17" s="65">
        <v>283.0</v>
      </c>
      <c r="M17" s="103">
        <v>0.2</v>
      </c>
      <c r="N17" s="65">
        <v>56.6</v>
      </c>
      <c r="O17" s="65">
        <v>339.6</v>
      </c>
      <c r="P17" s="101"/>
      <c r="Q17" s="65">
        <v>28.3</v>
      </c>
      <c r="R17" s="65"/>
      <c r="S17" s="65">
        <v>198.1</v>
      </c>
      <c r="T17" s="65">
        <v>339.6</v>
      </c>
      <c r="U17" s="101" t="s">
        <v>85</v>
      </c>
      <c r="V17" s="45">
        <v>45069.0</v>
      </c>
      <c r="W17" s="65"/>
      <c r="X17" s="101"/>
      <c r="Y17" s="45"/>
      <c r="Z17" s="65"/>
      <c r="AA17" s="101"/>
      <c r="AB17" s="45"/>
      <c r="AC17" s="65"/>
      <c r="AD17" s="101"/>
      <c r="AE17" s="45"/>
      <c r="AF17" s="102"/>
      <c r="AG17" s="101"/>
      <c r="AH17" s="101"/>
      <c r="AI17" s="102"/>
    </row>
    <row r="18">
      <c r="A18" s="101" t="s">
        <v>167</v>
      </c>
      <c r="B18" s="101" t="s">
        <v>62</v>
      </c>
      <c r="C18" s="101"/>
      <c r="D18" s="101">
        <v>220034.0</v>
      </c>
      <c r="E18" s="102" t="s">
        <v>233</v>
      </c>
      <c r="F18" s="45">
        <v>45048.0</v>
      </c>
      <c r="G18" s="45">
        <v>45048.0</v>
      </c>
      <c r="H18" s="101" t="s">
        <v>83</v>
      </c>
      <c r="I18" s="101" t="s">
        <v>76</v>
      </c>
      <c r="J18" s="101">
        <v>40.0</v>
      </c>
      <c r="K18" s="65">
        <v>50.0</v>
      </c>
      <c r="L18" s="65">
        <v>2000.0</v>
      </c>
      <c r="M18" s="103">
        <v>0.2</v>
      </c>
      <c r="N18" s="65">
        <v>400.0</v>
      </c>
      <c r="O18" s="65">
        <v>2400.0</v>
      </c>
      <c r="P18" s="101" t="s">
        <v>84</v>
      </c>
      <c r="Q18" s="65">
        <v>200.0</v>
      </c>
      <c r="R18" s="65">
        <v>2400.0</v>
      </c>
      <c r="S18" s="65">
        <v>1400.0</v>
      </c>
      <c r="T18" s="65">
        <v>2400.0</v>
      </c>
      <c r="U18" s="101" t="s">
        <v>85</v>
      </c>
      <c r="V18" s="45">
        <v>45056.0</v>
      </c>
      <c r="W18" s="65"/>
      <c r="X18" s="101"/>
      <c r="Y18" s="45"/>
      <c r="Z18" s="65"/>
      <c r="AA18" s="101"/>
      <c r="AB18" s="45"/>
      <c r="AC18" s="65"/>
      <c r="AD18" s="101"/>
      <c r="AE18" s="45"/>
      <c r="AF18" s="102"/>
      <c r="AG18" s="101"/>
      <c r="AH18" s="101"/>
      <c r="AI18" s="102"/>
    </row>
    <row r="19">
      <c r="A19" s="101" t="s">
        <v>61</v>
      </c>
      <c r="B19" s="101" t="s">
        <v>62</v>
      </c>
      <c r="C19" s="101" t="s">
        <v>63</v>
      </c>
      <c r="D19" s="101">
        <v>220035.0</v>
      </c>
      <c r="E19" s="102" t="s">
        <v>241</v>
      </c>
      <c r="F19" s="45">
        <v>45057.0</v>
      </c>
      <c r="G19" s="45">
        <v>45049.0</v>
      </c>
      <c r="H19" s="101" t="s">
        <v>83</v>
      </c>
      <c r="I19" s="101" t="s">
        <v>76</v>
      </c>
      <c r="J19" s="101">
        <v>30.0</v>
      </c>
      <c r="K19" s="65">
        <v>40.05</v>
      </c>
      <c r="L19" s="65">
        <v>1201.5</v>
      </c>
      <c r="M19" s="103">
        <v>0.2</v>
      </c>
      <c r="N19" s="65">
        <v>240.3</v>
      </c>
      <c r="O19" s="65">
        <v>1441.8</v>
      </c>
      <c r="P19" s="101"/>
      <c r="Q19" s="65">
        <v>0.0</v>
      </c>
      <c r="R19" s="65"/>
      <c r="S19" s="65">
        <v>720.9</v>
      </c>
      <c r="T19" s="65">
        <v>1441.8</v>
      </c>
      <c r="U19" s="101" t="s">
        <v>85</v>
      </c>
      <c r="V19" s="45">
        <v>45049.0</v>
      </c>
      <c r="W19" s="65"/>
      <c r="X19" s="101"/>
      <c r="Y19" s="45"/>
      <c r="Z19" s="65"/>
      <c r="AA19" s="101"/>
      <c r="AB19" s="45"/>
      <c r="AC19" s="65"/>
      <c r="AD19" s="101"/>
      <c r="AE19" s="45"/>
      <c r="AF19" s="102"/>
      <c r="AG19" s="101"/>
      <c r="AH19" s="101"/>
      <c r="AI19" s="102"/>
    </row>
    <row r="20">
      <c r="A20" s="101" t="s">
        <v>242</v>
      </c>
      <c r="B20" s="101" t="s">
        <v>62</v>
      </c>
      <c r="C20" s="101"/>
      <c r="D20" s="101">
        <v>220036.0</v>
      </c>
      <c r="E20" s="102" t="s">
        <v>243</v>
      </c>
      <c r="F20" s="45">
        <v>45071.0</v>
      </c>
      <c r="G20" s="45">
        <v>45049.0</v>
      </c>
      <c r="H20" s="101" t="s">
        <v>73</v>
      </c>
      <c r="I20" s="101" t="s">
        <v>76</v>
      </c>
      <c r="J20" s="101">
        <v>120.0</v>
      </c>
      <c r="K20" s="65">
        <v>91.38</v>
      </c>
      <c r="L20" s="65">
        <v>9137.8</v>
      </c>
      <c r="M20" s="103">
        <v>0.2</v>
      </c>
      <c r="N20" s="65">
        <v>1827.56</v>
      </c>
      <c r="O20" s="65">
        <v>10965.36</v>
      </c>
      <c r="P20" s="101" t="s">
        <v>79</v>
      </c>
      <c r="Q20" s="65">
        <v>913.78</v>
      </c>
      <c r="R20" s="65">
        <v>11879.14</v>
      </c>
      <c r="S20" s="65">
        <v>6396.46</v>
      </c>
      <c r="T20" s="65">
        <v>6251.0</v>
      </c>
      <c r="U20" s="101" t="s">
        <v>85</v>
      </c>
      <c r="V20" s="45">
        <v>45056.0</v>
      </c>
      <c r="W20" s="65">
        <v>5607.36</v>
      </c>
      <c r="X20" s="101" t="s">
        <v>85</v>
      </c>
      <c r="Y20" s="45">
        <v>45068.0</v>
      </c>
      <c r="Z20" s="65"/>
      <c r="AA20" s="101"/>
      <c r="AB20" s="45"/>
      <c r="AC20" s="65">
        <v>913.78</v>
      </c>
      <c r="AD20" s="101"/>
      <c r="AE20" s="45">
        <v>45078.0</v>
      </c>
      <c r="AF20" s="102" t="s">
        <v>244</v>
      </c>
      <c r="AG20" s="101" t="s">
        <v>245</v>
      </c>
      <c r="AH20" s="101" t="s">
        <v>246</v>
      </c>
      <c r="AI20" s="102" t="s">
        <v>247</v>
      </c>
    </row>
    <row r="21" ht="15.75" customHeight="1">
      <c r="A21" s="101" t="s">
        <v>219</v>
      </c>
      <c r="B21" s="101" t="s">
        <v>62</v>
      </c>
      <c r="C21" s="101" t="s">
        <v>63</v>
      </c>
      <c r="D21" s="101">
        <v>220037.0</v>
      </c>
      <c r="E21" s="102" t="s">
        <v>248</v>
      </c>
      <c r="F21" s="45">
        <v>45085.0</v>
      </c>
      <c r="G21" s="45">
        <v>45050.0</v>
      </c>
      <c r="H21" s="101" t="s">
        <v>73</v>
      </c>
      <c r="I21" s="101" t="s">
        <v>76</v>
      </c>
      <c r="J21" s="101">
        <v>50.0</v>
      </c>
      <c r="K21" s="65">
        <v>79.66</v>
      </c>
      <c r="L21" s="65">
        <v>3983.0</v>
      </c>
      <c r="M21" s="103">
        <v>0.2</v>
      </c>
      <c r="N21" s="65">
        <v>796.6</v>
      </c>
      <c r="O21" s="65">
        <v>4779.6</v>
      </c>
      <c r="P21" s="101"/>
      <c r="Q21" s="65">
        <v>398.3</v>
      </c>
      <c r="R21" s="65"/>
      <c r="S21" s="65">
        <v>2788.1</v>
      </c>
      <c r="T21" s="65">
        <v>5164.9</v>
      </c>
      <c r="U21" s="101" t="s">
        <v>85</v>
      </c>
      <c r="V21" s="45">
        <v>45082.0</v>
      </c>
      <c r="W21" s="65"/>
      <c r="X21" s="101"/>
      <c r="Y21" s="45"/>
      <c r="Z21" s="65"/>
      <c r="AA21" s="101"/>
      <c r="AB21" s="45"/>
      <c r="AC21" s="65">
        <v>139.3</v>
      </c>
      <c r="AD21" s="101" t="s">
        <v>80</v>
      </c>
      <c r="AE21" s="45">
        <v>45090.0</v>
      </c>
      <c r="AF21" s="102"/>
      <c r="AG21" s="101"/>
      <c r="AH21" s="101"/>
      <c r="AI21" s="102"/>
    </row>
    <row r="22" ht="15.75" customHeight="1">
      <c r="A22" s="101" t="s">
        <v>223</v>
      </c>
      <c r="B22" s="101" t="s">
        <v>62</v>
      </c>
      <c r="C22" s="101"/>
      <c r="D22" s="101">
        <v>220038.0</v>
      </c>
      <c r="E22" s="102" t="s">
        <v>249</v>
      </c>
      <c r="F22" s="45">
        <v>45105.0</v>
      </c>
      <c r="G22" s="45">
        <v>45051.0</v>
      </c>
      <c r="H22" s="101" t="s">
        <v>73</v>
      </c>
      <c r="I22" s="101" t="s">
        <v>76</v>
      </c>
      <c r="J22" s="101">
        <v>50.0</v>
      </c>
      <c r="K22" s="65">
        <v>122.482</v>
      </c>
      <c r="L22" s="65">
        <v>6124.1</v>
      </c>
      <c r="M22" s="103">
        <v>0.2</v>
      </c>
      <c r="N22" s="65">
        <v>1224.82</v>
      </c>
      <c r="O22" s="65">
        <v>7348.92</v>
      </c>
      <c r="P22" s="101"/>
      <c r="Q22" s="65">
        <v>612.41</v>
      </c>
      <c r="R22" s="65"/>
      <c r="S22" s="65">
        <v>4286.87</v>
      </c>
      <c r="T22" s="65">
        <v>7816.51</v>
      </c>
      <c r="U22" s="101" t="s">
        <v>85</v>
      </c>
      <c r="V22" s="45">
        <v>45100.0</v>
      </c>
      <c r="W22" s="65">
        <v>222.82</v>
      </c>
      <c r="X22" s="101" t="s">
        <v>85</v>
      </c>
      <c r="Y22" s="45">
        <v>45103.0</v>
      </c>
      <c r="Z22" s="65"/>
      <c r="AA22" s="101"/>
      <c r="AB22" s="45"/>
      <c r="AC22" s="65">
        <v>1138.73</v>
      </c>
      <c r="AD22" s="101" t="s">
        <v>85</v>
      </c>
      <c r="AE22" s="45">
        <v>45114.0</v>
      </c>
      <c r="AF22" s="102" t="s">
        <v>250</v>
      </c>
      <c r="AG22" s="101">
        <v>308012.0</v>
      </c>
      <c r="AH22" s="101">
        <v>1.964446E7</v>
      </c>
      <c r="AI22" s="102"/>
    </row>
    <row r="23" ht="15.75" customHeight="1">
      <c r="A23" s="101" t="s">
        <v>61</v>
      </c>
      <c r="B23" s="101" t="s">
        <v>62</v>
      </c>
      <c r="C23" s="101" t="s">
        <v>251</v>
      </c>
      <c r="D23" s="101">
        <v>220039.0</v>
      </c>
      <c r="E23" s="102" t="s">
        <v>252</v>
      </c>
      <c r="F23" s="45">
        <v>45057.0</v>
      </c>
      <c r="G23" s="45">
        <v>45051.0</v>
      </c>
      <c r="H23" s="101" t="s">
        <v>73</v>
      </c>
      <c r="I23" s="101" t="s">
        <v>76</v>
      </c>
      <c r="J23" s="101">
        <v>25.0</v>
      </c>
      <c r="K23" s="65">
        <v>52.23</v>
      </c>
      <c r="L23" s="65">
        <v>1305.75</v>
      </c>
      <c r="M23" s="103">
        <v>0.2</v>
      </c>
      <c r="N23" s="65">
        <v>261.15</v>
      </c>
      <c r="O23" s="65">
        <v>1566.9</v>
      </c>
      <c r="P23" s="101"/>
      <c r="Q23" s="65">
        <v>130.575</v>
      </c>
      <c r="R23" s="65"/>
      <c r="S23" s="65">
        <v>914.025</v>
      </c>
      <c r="T23" s="65">
        <v>1697.47</v>
      </c>
      <c r="U23" s="101" t="s">
        <v>80</v>
      </c>
      <c r="V23" s="45">
        <v>45051.0</v>
      </c>
      <c r="W23" s="65"/>
      <c r="X23" s="101"/>
      <c r="Y23" s="45"/>
      <c r="Z23" s="65"/>
      <c r="AA23" s="101"/>
      <c r="AB23" s="45"/>
      <c r="AC23" s="65">
        <v>130.57</v>
      </c>
      <c r="AD23" s="101" t="s">
        <v>80</v>
      </c>
      <c r="AE23" s="45">
        <v>45063.0</v>
      </c>
      <c r="AF23" s="102"/>
      <c r="AG23" s="101"/>
      <c r="AH23" s="101"/>
      <c r="AI23" s="102"/>
    </row>
    <row r="24" ht="15.75" customHeight="1">
      <c r="A24" s="101" t="s">
        <v>61</v>
      </c>
      <c r="B24" s="101" t="s">
        <v>62</v>
      </c>
      <c r="C24" s="101" t="s">
        <v>63</v>
      </c>
      <c r="D24" s="101">
        <v>220040.0</v>
      </c>
      <c r="E24" s="102" t="s">
        <v>253</v>
      </c>
      <c r="F24" s="45">
        <v>45112.0</v>
      </c>
      <c r="G24" s="45">
        <v>45053.0</v>
      </c>
      <c r="H24" s="101" t="s">
        <v>73</v>
      </c>
      <c r="I24" s="101" t="s">
        <v>76</v>
      </c>
      <c r="J24" s="101">
        <v>50.0</v>
      </c>
      <c r="K24" s="65">
        <v>77.882</v>
      </c>
      <c r="L24" s="65">
        <v>3894.1</v>
      </c>
      <c r="M24" s="103">
        <v>0.2</v>
      </c>
      <c r="N24" s="65">
        <v>778.82</v>
      </c>
      <c r="O24" s="65">
        <v>4672.92</v>
      </c>
      <c r="P24" s="101"/>
      <c r="Q24" s="65">
        <v>389.41</v>
      </c>
      <c r="R24" s="65"/>
      <c r="S24" s="65">
        <v>2725.87</v>
      </c>
      <c r="T24" s="65">
        <v>6119.2</v>
      </c>
      <c r="U24" s="101" t="s">
        <v>85</v>
      </c>
      <c r="V24" s="45">
        <v>45062.0</v>
      </c>
      <c r="W24" s="65"/>
      <c r="X24" s="101"/>
      <c r="Y24" s="45"/>
      <c r="Z24" s="65"/>
      <c r="AA24" s="101"/>
      <c r="AB24" s="45"/>
      <c r="AC24" s="65">
        <v>1660.36</v>
      </c>
      <c r="AD24" s="101"/>
      <c r="AE24" s="45">
        <v>45131.0</v>
      </c>
      <c r="AF24" s="102" t="s">
        <v>254</v>
      </c>
      <c r="AG24" s="101" t="s">
        <v>255</v>
      </c>
      <c r="AH24" s="101" t="s">
        <v>256</v>
      </c>
      <c r="AI24" s="102" t="s">
        <v>257</v>
      </c>
    </row>
    <row r="25" ht="15.75" customHeight="1">
      <c r="A25" s="101" t="s">
        <v>61</v>
      </c>
      <c r="B25" s="101" t="s">
        <v>62</v>
      </c>
      <c r="C25" s="101" t="s">
        <v>63</v>
      </c>
      <c r="D25" s="101">
        <v>220041.0</v>
      </c>
      <c r="E25" s="102" t="s">
        <v>205</v>
      </c>
      <c r="F25" s="45">
        <v>45120.0</v>
      </c>
      <c r="G25" s="45">
        <v>45053.0</v>
      </c>
      <c r="H25" s="101" t="s">
        <v>73</v>
      </c>
      <c r="I25" s="101" t="s">
        <v>76</v>
      </c>
      <c r="J25" s="101">
        <v>60.0</v>
      </c>
      <c r="K25" s="65">
        <v>107.555</v>
      </c>
      <c r="L25" s="65">
        <v>6453.3</v>
      </c>
      <c r="M25" s="103">
        <v>0.2</v>
      </c>
      <c r="N25" s="65">
        <v>1290.66</v>
      </c>
      <c r="O25" s="65">
        <v>7743.96</v>
      </c>
      <c r="P25" s="101"/>
      <c r="Q25" s="65">
        <v>645.33</v>
      </c>
      <c r="R25" s="65"/>
      <c r="S25" s="65">
        <v>4517.31</v>
      </c>
      <c r="T25" s="65">
        <v>3780.77</v>
      </c>
      <c r="U25" s="101"/>
      <c r="V25" s="45">
        <v>45061.0</v>
      </c>
      <c r="W25" s="65">
        <v>3963.19</v>
      </c>
      <c r="X25" s="101" t="s">
        <v>80</v>
      </c>
      <c r="Y25" s="45">
        <v>45117.0</v>
      </c>
      <c r="Z25" s="65"/>
      <c r="AA25" s="101"/>
      <c r="AB25" s="45"/>
      <c r="AC25" s="65">
        <v>783.35</v>
      </c>
      <c r="AD25" s="101" t="s">
        <v>80</v>
      </c>
      <c r="AE25" s="45">
        <v>45126.0</v>
      </c>
      <c r="AF25" s="102"/>
      <c r="AG25" s="101"/>
      <c r="AH25" s="101"/>
      <c r="AI25" s="102"/>
    </row>
    <row r="26" ht="15.75" customHeight="1">
      <c r="A26" s="101" t="s">
        <v>167</v>
      </c>
      <c r="B26" s="101" t="s">
        <v>62</v>
      </c>
      <c r="C26" s="101" t="s">
        <v>63</v>
      </c>
      <c r="D26" s="101">
        <v>220042.0</v>
      </c>
      <c r="E26" s="102" t="s">
        <v>258</v>
      </c>
      <c r="F26" s="45">
        <v>45061.0</v>
      </c>
      <c r="G26" s="45">
        <v>45053.0</v>
      </c>
      <c r="H26" s="101" t="s">
        <v>83</v>
      </c>
      <c r="I26" s="101" t="s">
        <v>76</v>
      </c>
      <c r="J26" s="101">
        <v>80.0</v>
      </c>
      <c r="K26" s="65">
        <v>84.3775</v>
      </c>
      <c r="L26" s="65">
        <v>6750.2</v>
      </c>
      <c r="M26" s="103">
        <v>0.2</v>
      </c>
      <c r="N26" s="65">
        <v>1350.04</v>
      </c>
      <c r="O26" s="65">
        <v>8100.24</v>
      </c>
      <c r="P26" s="101" t="s">
        <v>259</v>
      </c>
      <c r="Q26" s="65">
        <v>675.02</v>
      </c>
      <c r="R26" s="65">
        <v>8100.24</v>
      </c>
      <c r="S26" s="65">
        <v>4725.14</v>
      </c>
      <c r="T26" s="65"/>
      <c r="U26" s="101"/>
      <c r="V26" s="45"/>
      <c r="W26" s="65"/>
      <c r="X26" s="101"/>
      <c r="Y26" s="45"/>
      <c r="Z26" s="65"/>
      <c r="AA26" s="101"/>
      <c r="AB26" s="45"/>
      <c r="AC26" s="65"/>
      <c r="AD26" s="101"/>
      <c r="AE26" s="45"/>
      <c r="AF26" s="102"/>
      <c r="AG26" s="101"/>
      <c r="AH26" s="101"/>
      <c r="AI26" s="102"/>
    </row>
    <row r="27" ht="15.75" customHeight="1">
      <c r="A27" s="101" t="s">
        <v>61</v>
      </c>
      <c r="B27" s="101" t="s">
        <v>62</v>
      </c>
      <c r="C27" s="101" t="s">
        <v>63</v>
      </c>
      <c r="D27" s="101">
        <v>220043.0</v>
      </c>
      <c r="E27" s="102" t="s">
        <v>260</v>
      </c>
      <c r="F27" s="45">
        <v>45063.0</v>
      </c>
      <c r="G27" s="45">
        <v>45056.0</v>
      </c>
      <c r="H27" s="101" t="s">
        <v>83</v>
      </c>
      <c r="I27" s="101" t="s">
        <v>76</v>
      </c>
      <c r="J27" s="101">
        <v>15.0</v>
      </c>
      <c r="K27" s="65">
        <v>132.9666667</v>
      </c>
      <c r="L27" s="65">
        <v>1994.5</v>
      </c>
      <c r="M27" s="103">
        <v>0.2</v>
      </c>
      <c r="N27" s="65">
        <v>398.9</v>
      </c>
      <c r="O27" s="65">
        <v>2393.4</v>
      </c>
      <c r="P27" s="101"/>
      <c r="Q27" s="65">
        <v>199.45</v>
      </c>
      <c r="R27" s="65"/>
      <c r="S27" s="65">
        <v>1396.15</v>
      </c>
      <c r="T27" s="65">
        <v>2592.85</v>
      </c>
      <c r="U27" s="101" t="s">
        <v>80</v>
      </c>
      <c r="V27" s="45">
        <v>45056.0</v>
      </c>
      <c r="W27" s="65"/>
      <c r="X27" s="101"/>
      <c r="Y27" s="45"/>
      <c r="Z27" s="65"/>
      <c r="AA27" s="101"/>
      <c r="AB27" s="45"/>
      <c r="AC27" s="65">
        <v>199.45</v>
      </c>
      <c r="AD27" s="101" t="s">
        <v>80</v>
      </c>
      <c r="AE27" s="45">
        <v>45069.0</v>
      </c>
      <c r="AF27" s="102"/>
      <c r="AG27" s="101"/>
      <c r="AH27" s="101"/>
      <c r="AI27" s="102"/>
    </row>
    <row r="28" ht="15.75" customHeight="1">
      <c r="A28" s="101" t="s">
        <v>61</v>
      </c>
      <c r="B28" s="101" t="s">
        <v>62</v>
      </c>
      <c r="C28" s="101" t="s">
        <v>251</v>
      </c>
      <c r="D28" s="101">
        <v>220044.0</v>
      </c>
      <c r="E28" s="102" t="s">
        <v>261</v>
      </c>
      <c r="F28" s="45">
        <v>45164.0</v>
      </c>
      <c r="G28" s="45">
        <v>45062.0</v>
      </c>
      <c r="H28" s="101" t="s">
        <v>73</v>
      </c>
      <c r="I28" s="101" t="s">
        <v>76</v>
      </c>
      <c r="J28" s="101">
        <v>31.0</v>
      </c>
      <c r="K28" s="65">
        <v>99.54032258</v>
      </c>
      <c r="L28" s="65">
        <v>3085.75</v>
      </c>
      <c r="M28" s="103">
        <v>0.2</v>
      </c>
      <c r="N28" s="65">
        <v>617.15</v>
      </c>
      <c r="O28" s="65">
        <v>3702.9</v>
      </c>
      <c r="P28" s="101" t="s">
        <v>79</v>
      </c>
      <c r="Q28" s="65">
        <v>308.575</v>
      </c>
      <c r="R28" s="65">
        <v>4011.475</v>
      </c>
      <c r="S28" s="65">
        <v>2160.025</v>
      </c>
      <c r="T28" s="65">
        <v>1902.9</v>
      </c>
      <c r="U28" s="101" t="s">
        <v>80</v>
      </c>
      <c r="V28" s="45">
        <v>45067.0</v>
      </c>
      <c r="W28" s="65">
        <v>2000.0</v>
      </c>
      <c r="X28" s="101" t="s">
        <v>85</v>
      </c>
      <c r="Y28" s="45">
        <v>45160.0</v>
      </c>
      <c r="Z28" s="65"/>
      <c r="AA28" s="101"/>
      <c r="AB28" s="45"/>
      <c r="AC28" s="65">
        <v>353.63</v>
      </c>
      <c r="AD28" s="101" t="s">
        <v>80</v>
      </c>
      <c r="AE28" s="45">
        <v>45176.0</v>
      </c>
      <c r="AF28" s="102"/>
      <c r="AG28" s="101"/>
      <c r="AH28" s="101"/>
      <c r="AI28" s="102"/>
    </row>
    <row r="29" ht="15.75" customHeight="1">
      <c r="A29" s="101" t="s">
        <v>61</v>
      </c>
      <c r="B29" s="101" t="s">
        <v>62</v>
      </c>
      <c r="C29" s="101" t="s">
        <v>63</v>
      </c>
      <c r="D29" s="101">
        <v>220045.0</v>
      </c>
      <c r="E29" s="102" t="s">
        <v>262</v>
      </c>
      <c r="F29" s="45">
        <v>45067.0</v>
      </c>
      <c r="G29" s="45">
        <v>45058.0</v>
      </c>
      <c r="H29" s="101" t="s">
        <v>73</v>
      </c>
      <c r="I29" s="101" t="s">
        <v>76</v>
      </c>
      <c r="J29" s="101">
        <v>30.0</v>
      </c>
      <c r="K29" s="65">
        <v>114.8683333</v>
      </c>
      <c r="L29" s="65">
        <v>3446.05</v>
      </c>
      <c r="M29" s="103">
        <v>0.2</v>
      </c>
      <c r="N29" s="65">
        <v>689.21</v>
      </c>
      <c r="O29" s="65">
        <v>4135.26</v>
      </c>
      <c r="P29" s="101" t="s">
        <v>79</v>
      </c>
      <c r="Q29" s="65">
        <v>344.605</v>
      </c>
      <c r="R29" s="65">
        <v>4479.865</v>
      </c>
      <c r="S29" s="65">
        <v>2412.235</v>
      </c>
      <c r="T29" s="65">
        <v>4159.26</v>
      </c>
      <c r="U29" s="101" t="s">
        <v>80</v>
      </c>
      <c r="V29" s="45">
        <v>45058.0</v>
      </c>
      <c r="W29" s="65">
        <v>184.2</v>
      </c>
      <c r="X29" s="101" t="s">
        <v>80</v>
      </c>
      <c r="Y29" s="45">
        <v>45063.0</v>
      </c>
      <c r="Z29" s="65"/>
      <c r="AA29" s="101"/>
      <c r="AB29" s="45"/>
      <c r="AC29" s="65"/>
      <c r="AD29" s="101"/>
      <c r="AE29" s="45"/>
      <c r="AF29" s="102"/>
      <c r="AG29" s="101"/>
      <c r="AH29" s="101"/>
      <c r="AI29" s="102"/>
    </row>
    <row r="30" ht="15.75" customHeight="1">
      <c r="A30" s="101" t="s">
        <v>61</v>
      </c>
      <c r="B30" s="101" t="s">
        <v>62</v>
      </c>
      <c r="C30" s="101" t="s">
        <v>63</v>
      </c>
      <c r="D30" s="101">
        <v>220046.0</v>
      </c>
      <c r="E30" s="102" t="s">
        <v>263</v>
      </c>
      <c r="F30" s="45">
        <v>45070.0</v>
      </c>
      <c r="G30" s="45">
        <v>45062.0</v>
      </c>
      <c r="H30" s="101" t="s">
        <v>83</v>
      </c>
      <c r="I30" s="101" t="s">
        <v>76</v>
      </c>
      <c r="J30" s="101">
        <v>40.0</v>
      </c>
      <c r="K30" s="65">
        <v>72.64</v>
      </c>
      <c r="L30" s="65">
        <v>2905.6</v>
      </c>
      <c r="M30" s="103">
        <v>0.2</v>
      </c>
      <c r="N30" s="65">
        <v>581.12</v>
      </c>
      <c r="O30" s="65">
        <v>3486.72</v>
      </c>
      <c r="P30" s="101" t="s">
        <v>79</v>
      </c>
      <c r="Q30" s="65">
        <v>290.56</v>
      </c>
      <c r="R30" s="65">
        <v>3777.28</v>
      </c>
      <c r="S30" s="65">
        <v>2033.92</v>
      </c>
      <c r="T30" s="65">
        <v>3831.28</v>
      </c>
      <c r="U30" s="101" t="s">
        <v>85</v>
      </c>
      <c r="V30" s="45">
        <v>45069.0</v>
      </c>
      <c r="W30" s="65"/>
      <c r="X30" s="101"/>
      <c r="Y30" s="45"/>
      <c r="Z30" s="65"/>
      <c r="AA30" s="101"/>
      <c r="AB30" s="45"/>
      <c r="AC30" s="65">
        <v>492.76</v>
      </c>
      <c r="AD30" s="101"/>
      <c r="AE30" s="45">
        <v>45107.0</v>
      </c>
      <c r="AF30" s="102" t="s">
        <v>264</v>
      </c>
      <c r="AG30" s="101"/>
      <c r="AH30" s="101"/>
      <c r="AI30" s="102"/>
    </row>
    <row r="31" ht="15.75" customHeight="1">
      <c r="A31" s="101" t="s">
        <v>61</v>
      </c>
      <c r="B31" s="101" t="s">
        <v>62</v>
      </c>
      <c r="C31" s="101" t="s">
        <v>63</v>
      </c>
      <c r="D31" s="101">
        <v>220047.0</v>
      </c>
      <c r="E31" s="102" t="s">
        <v>265</v>
      </c>
      <c r="F31" s="45">
        <v>45069.0</v>
      </c>
      <c r="G31" s="45">
        <v>45062.0</v>
      </c>
      <c r="H31" s="101" t="s">
        <v>73</v>
      </c>
      <c r="I31" s="101" t="s">
        <v>76</v>
      </c>
      <c r="J31" s="101">
        <v>14.0</v>
      </c>
      <c r="K31" s="65">
        <v>67.17142857</v>
      </c>
      <c r="L31" s="65">
        <v>940.4</v>
      </c>
      <c r="M31" s="103">
        <v>0.2</v>
      </c>
      <c r="N31" s="65">
        <v>188.08</v>
      </c>
      <c r="O31" s="65">
        <v>1128.48</v>
      </c>
      <c r="P31" s="101"/>
      <c r="Q31" s="65">
        <v>94.04</v>
      </c>
      <c r="R31" s="65"/>
      <c r="S31" s="65">
        <v>658.28</v>
      </c>
      <c r="T31" s="65">
        <v>1128.48</v>
      </c>
      <c r="U31" s="101" t="s">
        <v>80</v>
      </c>
      <c r="V31" s="45">
        <v>45063.0</v>
      </c>
      <c r="W31" s="65"/>
      <c r="X31" s="101"/>
      <c r="Y31" s="45"/>
      <c r="Z31" s="65"/>
      <c r="AA31" s="101"/>
      <c r="AB31" s="45"/>
      <c r="AC31" s="65"/>
      <c r="AD31" s="101"/>
      <c r="AE31" s="45"/>
      <c r="AF31" s="102"/>
      <c r="AG31" s="101"/>
      <c r="AH31" s="101"/>
      <c r="AI31" s="102"/>
    </row>
    <row r="32" ht="15.75" customHeight="1">
      <c r="A32" s="101" t="s">
        <v>61</v>
      </c>
      <c r="B32" s="101" t="s">
        <v>62</v>
      </c>
      <c r="C32" s="101" t="s">
        <v>63</v>
      </c>
      <c r="D32" s="101">
        <v>220048.0</v>
      </c>
      <c r="E32" s="102" t="s">
        <v>262</v>
      </c>
      <c r="F32" s="45">
        <v>45067.0</v>
      </c>
      <c r="G32" s="45">
        <v>45063.0</v>
      </c>
      <c r="H32" s="101" t="s">
        <v>73</v>
      </c>
      <c r="I32" s="101" t="s">
        <v>76</v>
      </c>
      <c r="J32" s="101">
        <v>30.0</v>
      </c>
      <c r="K32" s="65">
        <v>6.14</v>
      </c>
      <c r="L32" s="65">
        <v>184.2</v>
      </c>
      <c r="M32" s="103">
        <v>0.2</v>
      </c>
      <c r="N32" s="65">
        <v>36.84</v>
      </c>
      <c r="O32" s="65">
        <v>221.04</v>
      </c>
      <c r="P32" s="101"/>
      <c r="Q32" s="65">
        <v>18.42</v>
      </c>
      <c r="R32" s="65"/>
      <c r="S32" s="65">
        <v>128.94</v>
      </c>
      <c r="T32" s="65">
        <v>184.2</v>
      </c>
      <c r="U32" s="101" t="s">
        <v>80</v>
      </c>
      <c r="V32" s="45">
        <v>45063.0</v>
      </c>
      <c r="W32" s="65"/>
      <c r="X32" s="101"/>
      <c r="Y32" s="45"/>
      <c r="Z32" s="65"/>
      <c r="AA32" s="101"/>
      <c r="AB32" s="45"/>
      <c r="AC32" s="65"/>
      <c r="AD32" s="101"/>
      <c r="AE32" s="45"/>
      <c r="AF32" s="102" t="s">
        <v>266</v>
      </c>
      <c r="AG32" s="101"/>
      <c r="AH32" s="101"/>
      <c r="AI32" s="102"/>
    </row>
    <row r="33" ht="15.75" customHeight="1">
      <c r="A33" s="101" t="s">
        <v>167</v>
      </c>
      <c r="B33" s="101" t="s">
        <v>62</v>
      </c>
      <c r="C33" s="101" t="s">
        <v>63</v>
      </c>
      <c r="D33" s="101">
        <v>220049.0</v>
      </c>
      <c r="E33" s="102" t="s">
        <v>267</v>
      </c>
      <c r="F33" s="45">
        <v>45081.0</v>
      </c>
      <c r="G33" s="45">
        <v>45063.0</v>
      </c>
      <c r="H33" s="101" t="s">
        <v>83</v>
      </c>
      <c r="I33" s="101" t="s">
        <v>76</v>
      </c>
      <c r="J33" s="101">
        <v>30.0</v>
      </c>
      <c r="K33" s="65">
        <v>59.40666667</v>
      </c>
      <c r="L33" s="65">
        <v>1782.2</v>
      </c>
      <c r="M33" s="103">
        <v>0.2</v>
      </c>
      <c r="N33" s="65">
        <v>356.44</v>
      </c>
      <c r="O33" s="65">
        <v>2138.64</v>
      </c>
      <c r="P33" s="101" t="s">
        <v>79</v>
      </c>
      <c r="Q33" s="65">
        <v>178.22</v>
      </c>
      <c r="R33" s="65">
        <v>2316.86</v>
      </c>
      <c r="S33" s="65">
        <v>1247.54</v>
      </c>
      <c r="T33" s="65">
        <v>2510.64</v>
      </c>
      <c r="U33" s="101" t="s">
        <v>80</v>
      </c>
      <c r="V33" s="45">
        <v>45073.0</v>
      </c>
      <c r="W33" s="65"/>
      <c r="X33" s="101"/>
      <c r="Y33" s="45"/>
      <c r="Z33" s="65"/>
      <c r="AA33" s="101"/>
      <c r="AB33" s="45"/>
      <c r="AC33" s="65">
        <v>66.0</v>
      </c>
      <c r="AD33" s="101" t="s">
        <v>80</v>
      </c>
      <c r="AE33" s="45">
        <v>45082.0</v>
      </c>
      <c r="AF33" s="102"/>
      <c r="AG33" s="101"/>
      <c r="AH33" s="101"/>
      <c r="AI33" s="102"/>
    </row>
    <row r="34" ht="15.75" customHeight="1">
      <c r="A34" s="101" t="s">
        <v>61</v>
      </c>
      <c r="B34" s="101" t="s">
        <v>62</v>
      </c>
      <c r="C34" s="101" t="s">
        <v>251</v>
      </c>
      <c r="D34" s="101">
        <v>220050.0</v>
      </c>
      <c r="E34" s="102" t="s">
        <v>269</v>
      </c>
      <c r="F34" s="45">
        <v>45069.0</v>
      </c>
      <c r="G34" s="45">
        <v>45064.0</v>
      </c>
      <c r="H34" s="101" t="s">
        <v>73</v>
      </c>
      <c r="I34" s="101" t="s">
        <v>76</v>
      </c>
      <c r="J34" s="101">
        <v>150.0</v>
      </c>
      <c r="K34" s="65">
        <v>28.93833333</v>
      </c>
      <c r="L34" s="65">
        <v>4340.75</v>
      </c>
      <c r="M34" s="103">
        <v>0.2</v>
      </c>
      <c r="N34" s="65">
        <v>868.15</v>
      </c>
      <c r="O34" s="65">
        <v>5208.9</v>
      </c>
      <c r="P34" s="101"/>
      <c r="Q34" s="65">
        <v>434.075</v>
      </c>
      <c r="R34" s="65"/>
      <c r="S34" s="65">
        <v>3038.525</v>
      </c>
      <c r="T34" s="65">
        <v>5642.97</v>
      </c>
      <c r="U34" s="101" t="s">
        <v>80</v>
      </c>
      <c r="V34" s="45">
        <v>45064.0</v>
      </c>
      <c r="W34" s="65"/>
      <c r="X34" s="101"/>
      <c r="Y34" s="45"/>
      <c r="Z34" s="65"/>
      <c r="AA34" s="101"/>
      <c r="AB34" s="45"/>
      <c r="AC34" s="65">
        <v>434.07</v>
      </c>
      <c r="AD34" s="101" t="s">
        <v>80</v>
      </c>
      <c r="AE34" s="45">
        <v>45071.0</v>
      </c>
      <c r="AF34" s="102"/>
      <c r="AG34" s="101"/>
      <c r="AH34" s="101"/>
      <c r="AI34" s="102"/>
    </row>
    <row r="35" ht="15.75" customHeight="1">
      <c r="A35" s="101" t="s">
        <v>61</v>
      </c>
      <c r="B35" s="101" t="s">
        <v>62</v>
      </c>
      <c r="C35" s="101" t="s">
        <v>63</v>
      </c>
      <c r="D35" s="101">
        <v>220051.0</v>
      </c>
      <c r="E35" s="102" t="s">
        <v>270</v>
      </c>
      <c r="F35" s="45">
        <v>45069.0</v>
      </c>
      <c r="G35" s="45">
        <v>45064.0</v>
      </c>
      <c r="H35" s="101" t="s">
        <v>73</v>
      </c>
      <c r="I35" s="101" t="s">
        <v>76</v>
      </c>
      <c r="J35" s="101">
        <v>3.0</v>
      </c>
      <c r="K35" s="65"/>
      <c r="L35" s="65">
        <v>649.9</v>
      </c>
      <c r="M35" s="103">
        <v>0.2</v>
      </c>
      <c r="N35" s="65">
        <v>129.98</v>
      </c>
      <c r="O35" s="65">
        <v>779.88</v>
      </c>
      <c r="P35" s="101" t="s">
        <v>84</v>
      </c>
      <c r="Q35" s="65">
        <v>64.99</v>
      </c>
      <c r="R35" s="65">
        <v>779.88</v>
      </c>
      <c r="S35" s="65">
        <v>454.93</v>
      </c>
      <c r="T35" s="65">
        <v>779.88</v>
      </c>
      <c r="U35" s="101" t="s">
        <v>80</v>
      </c>
      <c r="V35" s="45">
        <v>45064.0</v>
      </c>
      <c r="W35" s="65"/>
      <c r="X35" s="101"/>
      <c r="Y35" s="45"/>
      <c r="Z35" s="65"/>
      <c r="AA35" s="101"/>
      <c r="AB35" s="45"/>
      <c r="AC35" s="65"/>
      <c r="AD35" s="101"/>
      <c r="AE35" s="45"/>
      <c r="AF35" s="102"/>
      <c r="AG35" s="101"/>
      <c r="AH35" s="101"/>
      <c r="AI35" s="102"/>
    </row>
    <row r="36" ht="15.75" customHeight="1">
      <c r="A36" s="101" t="s">
        <v>61</v>
      </c>
      <c r="B36" s="101" t="s">
        <v>62</v>
      </c>
      <c r="C36" s="101" t="s">
        <v>63</v>
      </c>
      <c r="D36" s="101">
        <v>220052.0</v>
      </c>
      <c r="E36" s="102" t="s">
        <v>271</v>
      </c>
      <c r="F36" s="45">
        <v>45075.0</v>
      </c>
      <c r="G36" s="45">
        <v>45068.0</v>
      </c>
      <c r="H36" s="101" t="s">
        <v>83</v>
      </c>
      <c r="I36" s="101" t="s">
        <v>76</v>
      </c>
      <c r="J36" s="101">
        <v>50.0</v>
      </c>
      <c r="K36" s="65">
        <v>6.0</v>
      </c>
      <c r="L36" s="65">
        <v>300.0</v>
      </c>
      <c r="M36" s="103">
        <v>0.2</v>
      </c>
      <c r="N36" s="65">
        <v>60.0</v>
      </c>
      <c r="O36" s="65">
        <v>360.0</v>
      </c>
      <c r="P36" s="101" t="s">
        <v>84</v>
      </c>
      <c r="Q36" s="65">
        <v>30.0</v>
      </c>
      <c r="R36" s="65">
        <v>360.0</v>
      </c>
      <c r="S36" s="65">
        <v>210.0</v>
      </c>
      <c r="T36" s="65">
        <v>360.0</v>
      </c>
      <c r="U36" s="101" t="s">
        <v>80</v>
      </c>
      <c r="V36" s="45">
        <v>45069.0</v>
      </c>
      <c r="W36" s="65"/>
      <c r="X36" s="101"/>
      <c r="Y36" s="45"/>
      <c r="Z36" s="65"/>
      <c r="AA36" s="101"/>
      <c r="AB36" s="45"/>
      <c r="AC36" s="65"/>
      <c r="AD36" s="101"/>
      <c r="AE36" s="45"/>
      <c r="AF36" s="102"/>
      <c r="AG36" s="101"/>
      <c r="AH36" s="101"/>
      <c r="AI36" s="102"/>
    </row>
    <row r="37" ht="15.75" customHeight="1">
      <c r="A37" s="101" t="s">
        <v>61</v>
      </c>
      <c r="B37" s="101" t="s">
        <v>62</v>
      </c>
      <c r="C37" s="101" t="s">
        <v>63</v>
      </c>
      <c r="D37" s="101">
        <v>220053.0</v>
      </c>
      <c r="E37" s="102" t="s">
        <v>272</v>
      </c>
      <c r="F37" s="45">
        <v>45075.0</v>
      </c>
      <c r="G37" s="45">
        <v>45068.0</v>
      </c>
      <c r="H37" s="101" t="s">
        <v>83</v>
      </c>
      <c r="I37" s="101" t="s">
        <v>76</v>
      </c>
      <c r="J37" s="101">
        <v>50.0</v>
      </c>
      <c r="K37" s="65">
        <v>72.68</v>
      </c>
      <c r="L37" s="65">
        <v>3634.0</v>
      </c>
      <c r="M37" s="103">
        <v>0.2</v>
      </c>
      <c r="N37" s="65">
        <v>726.8</v>
      </c>
      <c r="O37" s="65">
        <v>4360.8</v>
      </c>
      <c r="P37" s="101" t="s">
        <v>79</v>
      </c>
      <c r="Q37" s="65">
        <v>363.4</v>
      </c>
      <c r="R37" s="65">
        <v>4724.2</v>
      </c>
      <c r="S37" s="65">
        <v>2543.8</v>
      </c>
      <c r="T37" s="65">
        <v>4724.2</v>
      </c>
      <c r="U37" s="101" t="s">
        <v>80</v>
      </c>
      <c r="V37" s="45">
        <v>45069.0</v>
      </c>
      <c r="W37" s="65"/>
      <c r="X37" s="101"/>
      <c r="Y37" s="45"/>
      <c r="Z37" s="65"/>
      <c r="AA37" s="101"/>
      <c r="AB37" s="45"/>
      <c r="AC37" s="65">
        <v>452.2</v>
      </c>
      <c r="AD37" s="101" t="s">
        <v>80</v>
      </c>
      <c r="AE37" s="45">
        <v>45077.0</v>
      </c>
      <c r="AF37" s="102"/>
      <c r="AG37" s="101"/>
      <c r="AH37" s="101"/>
      <c r="AI37" s="102"/>
    </row>
    <row r="38" ht="15.75" customHeight="1">
      <c r="A38" s="101" t="s">
        <v>219</v>
      </c>
      <c r="B38" s="101" t="s">
        <v>62</v>
      </c>
      <c r="C38" s="101" t="s">
        <v>63</v>
      </c>
      <c r="D38" s="101">
        <v>220054.0</v>
      </c>
      <c r="E38" s="102" t="s">
        <v>273</v>
      </c>
      <c r="F38" s="45">
        <v>45131.0</v>
      </c>
      <c r="G38" s="45">
        <v>45069.0</v>
      </c>
      <c r="H38" s="101" t="s">
        <v>83</v>
      </c>
      <c r="I38" s="101" t="s">
        <v>76</v>
      </c>
      <c r="J38" s="101">
        <v>30.0</v>
      </c>
      <c r="K38" s="65">
        <v>99.66</v>
      </c>
      <c r="L38" s="65">
        <v>2989.8</v>
      </c>
      <c r="M38" s="103">
        <v>0.2</v>
      </c>
      <c r="N38" s="65">
        <v>597.96</v>
      </c>
      <c r="O38" s="65">
        <v>3587.76</v>
      </c>
      <c r="P38" s="101" t="s">
        <v>79</v>
      </c>
      <c r="Q38" s="65">
        <v>298.98</v>
      </c>
      <c r="R38" s="65">
        <v>3886.74</v>
      </c>
      <c r="S38" s="65">
        <v>2092.86</v>
      </c>
      <c r="T38" s="65">
        <v>3886.74</v>
      </c>
      <c r="U38" s="101" t="s">
        <v>85</v>
      </c>
      <c r="V38" s="45">
        <v>45119.0</v>
      </c>
      <c r="W38" s="65"/>
      <c r="X38" s="101"/>
      <c r="Y38" s="45"/>
      <c r="Z38" s="65"/>
      <c r="AA38" s="101"/>
      <c r="AB38" s="45"/>
      <c r="AC38" s="65">
        <v>416.46</v>
      </c>
      <c r="AD38" s="101" t="s">
        <v>85</v>
      </c>
      <c r="AE38" s="45">
        <v>45492.0</v>
      </c>
      <c r="AF38" s="102" t="s">
        <v>274</v>
      </c>
      <c r="AG38" s="101" t="s">
        <v>275</v>
      </c>
      <c r="AH38" s="101">
        <v>6.3303713E7</v>
      </c>
      <c r="AI38" s="102"/>
    </row>
    <row r="39" ht="15.75" customHeight="1">
      <c r="A39" s="101" t="s">
        <v>61</v>
      </c>
      <c r="B39" s="101" t="s">
        <v>62</v>
      </c>
      <c r="C39" s="101" t="s">
        <v>63</v>
      </c>
      <c r="D39" s="101">
        <v>220055.0</v>
      </c>
      <c r="E39" s="102" t="s">
        <v>276</v>
      </c>
      <c r="F39" s="45">
        <v>45099.0</v>
      </c>
      <c r="G39" s="45">
        <v>45071.0</v>
      </c>
      <c r="H39" s="101" t="s">
        <v>73</v>
      </c>
      <c r="I39" s="101" t="s">
        <v>76</v>
      </c>
      <c r="J39" s="101">
        <v>17.0</v>
      </c>
      <c r="K39" s="65">
        <v>136.2882353</v>
      </c>
      <c r="L39" s="65">
        <v>2316.9</v>
      </c>
      <c r="M39" s="103">
        <v>0.2</v>
      </c>
      <c r="N39" s="65">
        <v>463.38</v>
      </c>
      <c r="O39" s="65">
        <v>2780.28</v>
      </c>
      <c r="P39" s="101" t="s">
        <v>79</v>
      </c>
      <c r="Q39" s="65">
        <v>231.69</v>
      </c>
      <c r="R39" s="65">
        <v>3011.97</v>
      </c>
      <c r="S39" s="65">
        <v>1621.83</v>
      </c>
      <c r="T39" s="65">
        <v>3011.97</v>
      </c>
      <c r="U39" s="101" t="s">
        <v>85</v>
      </c>
      <c r="V39" s="45">
        <v>45098.0</v>
      </c>
      <c r="W39" s="65"/>
      <c r="X39" s="101"/>
      <c r="Y39" s="45"/>
      <c r="Z39" s="65"/>
      <c r="AA39" s="101"/>
      <c r="AB39" s="45"/>
      <c r="AC39" s="65">
        <v>231.69</v>
      </c>
      <c r="AD39" s="101" t="s">
        <v>85</v>
      </c>
      <c r="AE39" s="45">
        <v>45114.0</v>
      </c>
      <c r="AF39" s="102" t="s">
        <v>276</v>
      </c>
      <c r="AG39" s="101">
        <v>401822.0</v>
      </c>
      <c r="AH39" s="101">
        <v>2220636.0</v>
      </c>
      <c r="AI39" s="102"/>
    </row>
    <row r="40" ht="15.75" customHeight="1">
      <c r="A40" s="101" t="s">
        <v>61</v>
      </c>
      <c r="B40" s="101" t="s">
        <v>62</v>
      </c>
      <c r="C40" s="101" t="s">
        <v>63</v>
      </c>
      <c r="D40" s="101">
        <v>220056.0</v>
      </c>
      <c r="E40" s="102" t="s">
        <v>277</v>
      </c>
      <c r="F40" s="45">
        <v>45096.0</v>
      </c>
      <c r="G40" s="45">
        <v>45071.0</v>
      </c>
      <c r="H40" s="101" t="s">
        <v>83</v>
      </c>
      <c r="I40" s="101" t="s">
        <v>76</v>
      </c>
      <c r="J40" s="101">
        <v>20.0</v>
      </c>
      <c r="K40" s="65">
        <v>133.99</v>
      </c>
      <c r="L40" s="65">
        <v>2679.8</v>
      </c>
      <c r="M40" s="103">
        <v>0.2</v>
      </c>
      <c r="N40" s="65">
        <v>535.96</v>
      </c>
      <c r="O40" s="65">
        <v>3215.76</v>
      </c>
      <c r="P40" s="101" t="s">
        <v>79</v>
      </c>
      <c r="Q40" s="65">
        <v>267.98</v>
      </c>
      <c r="R40" s="65">
        <v>3483.74</v>
      </c>
      <c r="S40" s="65">
        <v>1875.86</v>
      </c>
      <c r="T40" s="65">
        <v>3022.5</v>
      </c>
      <c r="U40" s="101" t="s">
        <v>85</v>
      </c>
      <c r="V40" s="45">
        <v>45078.0</v>
      </c>
      <c r="W40" s="65">
        <v>193.26</v>
      </c>
      <c r="X40" s="101"/>
      <c r="Y40" s="45"/>
      <c r="Z40" s="65"/>
      <c r="AA40" s="101"/>
      <c r="AB40" s="45"/>
      <c r="AC40" s="65"/>
      <c r="AD40" s="101"/>
      <c r="AE40" s="45"/>
      <c r="AF40" s="102" t="s">
        <v>280</v>
      </c>
      <c r="AG40" s="101">
        <v>400250.0</v>
      </c>
      <c r="AH40" s="101">
        <v>4.1437186E7</v>
      </c>
      <c r="AI40" s="102"/>
    </row>
    <row r="41" ht="15.75" customHeight="1">
      <c r="A41" s="101" t="s">
        <v>61</v>
      </c>
      <c r="B41" s="101" t="s">
        <v>62</v>
      </c>
      <c r="C41" s="101" t="s">
        <v>251</v>
      </c>
      <c r="D41" s="101">
        <v>220057.0</v>
      </c>
      <c r="E41" s="102" t="s">
        <v>173</v>
      </c>
      <c r="F41" s="45">
        <v>45109.0</v>
      </c>
      <c r="G41" s="45">
        <v>45071.0</v>
      </c>
      <c r="H41" s="101" t="s">
        <v>73</v>
      </c>
      <c r="I41" s="101" t="s">
        <v>76</v>
      </c>
      <c r="J41" s="101">
        <v>40.0</v>
      </c>
      <c r="K41" s="65">
        <v>70.575</v>
      </c>
      <c r="L41" s="65">
        <v>2823.0</v>
      </c>
      <c r="M41" s="103">
        <v>0.2</v>
      </c>
      <c r="N41" s="65">
        <v>564.6</v>
      </c>
      <c r="O41" s="65">
        <v>3387.6</v>
      </c>
      <c r="P41" s="101" t="s">
        <v>79</v>
      </c>
      <c r="Q41" s="65">
        <v>282.3</v>
      </c>
      <c r="R41" s="65">
        <v>3669.9</v>
      </c>
      <c r="S41" s="65">
        <v>1976.1</v>
      </c>
      <c r="T41" s="65">
        <v>1976.1</v>
      </c>
      <c r="U41" s="101" t="s">
        <v>80</v>
      </c>
      <c r="V41" s="45">
        <v>45077.0</v>
      </c>
      <c r="W41" s="65">
        <v>1693.8</v>
      </c>
      <c r="X41" s="101" t="s">
        <v>85</v>
      </c>
      <c r="Y41" s="45">
        <v>45104.0</v>
      </c>
      <c r="Z41" s="65"/>
      <c r="AA41" s="101"/>
      <c r="AB41" s="45"/>
      <c r="AC41" s="65">
        <v>282.3</v>
      </c>
      <c r="AD41" s="101" t="s">
        <v>80</v>
      </c>
      <c r="AE41" s="45">
        <v>45111.0</v>
      </c>
      <c r="AF41" s="102"/>
      <c r="AG41" s="101"/>
      <c r="AH41" s="101"/>
      <c r="AI41" s="102"/>
    </row>
    <row r="42" ht="15.75" customHeight="1">
      <c r="A42" s="101" t="s">
        <v>61</v>
      </c>
      <c r="B42" s="101" t="s">
        <v>62</v>
      </c>
      <c r="C42" s="101" t="s">
        <v>63</v>
      </c>
      <c r="D42" s="101">
        <v>220058.0</v>
      </c>
      <c r="E42" s="102" t="s">
        <v>281</v>
      </c>
      <c r="F42" s="45">
        <v>45084.0</v>
      </c>
      <c r="G42" s="45">
        <v>45071.0</v>
      </c>
      <c r="H42" s="101" t="s">
        <v>73</v>
      </c>
      <c r="I42" s="101" t="s">
        <v>76</v>
      </c>
      <c r="J42" s="101">
        <v>100.0</v>
      </c>
      <c r="K42" s="65">
        <v>121.645</v>
      </c>
      <c r="L42" s="65">
        <v>12164.5</v>
      </c>
      <c r="M42" s="103">
        <v>0.2</v>
      </c>
      <c r="N42" s="65">
        <v>2432.9</v>
      </c>
      <c r="O42" s="65">
        <v>14597.4</v>
      </c>
      <c r="P42" s="101" t="s">
        <v>79</v>
      </c>
      <c r="Q42" s="65">
        <v>1216.45</v>
      </c>
      <c r="R42" s="65">
        <v>15813.85</v>
      </c>
      <c r="S42" s="65">
        <v>8515.15</v>
      </c>
      <c r="T42" s="65">
        <v>15813.85</v>
      </c>
      <c r="U42" s="101" t="s">
        <v>85</v>
      </c>
      <c r="V42" s="45">
        <v>45082.0</v>
      </c>
      <c r="W42" s="65"/>
      <c r="X42" s="101"/>
      <c r="Y42" s="45"/>
      <c r="Z42" s="65"/>
      <c r="AA42" s="101"/>
      <c r="AB42" s="45"/>
      <c r="AC42" s="65">
        <v>599.65</v>
      </c>
      <c r="AD42" s="101"/>
      <c r="AE42" s="45">
        <v>45107.0</v>
      </c>
      <c r="AF42" s="102" t="s">
        <v>282</v>
      </c>
      <c r="AG42" s="101" t="s">
        <v>283</v>
      </c>
      <c r="AH42" s="101">
        <v>2.1636648E7</v>
      </c>
      <c r="AI42" s="102"/>
    </row>
    <row r="43" ht="15.75" customHeight="1">
      <c r="A43" s="101" t="s">
        <v>61</v>
      </c>
      <c r="B43" s="101" t="s">
        <v>62</v>
      </c>
      <c r="C43" s="101" t="s">
        <v>63</v>
      </c>
      <c r="D43" s="101">
        <v>220059.0</v>
      </c>
      <c r="E43" s="102" t="s">
        <v>284</v>
      </c>
      <c r="F43" s="45">
        <v>45085.0</v>
      </c>
      <c r="G43" s="45">
        <v>45075.0</v>
      </c>
      <c r="H43" s="101" t="s">
        <v>73</v>
      </c>
      <c r="I43" s="101" t="s">
        <v>76</v>
      </c>
      <c r="J43" s="101">
        <v>100.0</v>
      </c>
      <c r="K43" s="65">
        <v>64.105</v>
      </c>
      <c r="L43" s="65">
        <v>6410.5</v>
      </c>
      <c r="M43" s="103">
        <v>0.2</v>
      </c>
      <c r="N43" s="65">
        <v>1282.1</v>
      </c>
      <c r="O43" s="65">
        <v>7692.6</v>
      </c>
      <c r="P43" s="101" t="s">
        <v>79</v>
      </c>
      <c r="Q43" s="65">
        <v>641.05</v>
      </c>
      <c r="R43" s="65">
        <v>8333.65</v>
      </c>
      <c r="S43" s="65">
        <v>4487.35</v>
      </c>
      <c r="T43" s="65">
        <v>8333.65</v>
      </c>
      <c r="U43" s="101" t="s">
        <v>80</v>
      </c>
      <c r="V43" s="45">
        <v>45083.0</v>
      </c>
      <c r="W43" s="65"/>
      <c r="X43" s="101"/>
      <c r="Y43" s="45"/>
      <c r="Z43" s="65"/>
      <c r="AA43" s="101"/>
      <c r="AB43" s="45"/>
      <c r="AC43" s="65">
        <v>641.05</v>
      </c>
      <c r="AD43" s="101" t="s">
        <v>80</v>
      </c>
      <c r="AE43" s="45">
        <v>45092.0</v>
      </c>
      <c r="AF43" s="102"/>
      <c r="AG43" s="101"/>
      <c r="AH43" s="101"/>
      <c r="AI43" s="102"/>
    </row>
    <row r="44" ht="15.75" customHeight="1">
      <c r="A44" s="101" t="s">
        <v>61</v>
      </c>
      <c r="B44" s="101" t="s">
        <v>62</v>
      </c>
      <c r="C44" s="101" t="s">
        <v>63</v>
      </c>
      <c r="D44" s="101">
        <v>220060.0</v>
      </c>
      <c r="E44" s="102" t="s">
        <v>178</v>
      </c>
      <c r="F44" s="45">
        <v>45111.0</v>
      </c>
      <c r="G44" s="45">
        <v>45075.0</v>
      </c>
      <c r="H44" s="101" t="s">
        <v>83</v>
      </c>
      <c r="I44" s="101" t="s">
        <v>76</v>
      </c>
      <c r="J44" s="101">
        <v>330.0</v>
      </c>
      <c r="K44" s="65">
        <v>103.8275758</v>
      </c>
      <c r="L44" s="65">
        <v>34263.1</v>
      </c>
      <c r="M44" s="103">
        <v>0.2</v>
      </c>
      <c r="N44" s="65">
        <v>6852.62</v>
      </c>
      <c r="O44" s="65">
        <v>41115.72</v>
      </c>
      <c r="P44" s="101" t="s">
        <v>79</v>
      </c>
      <c r="Q44" s="65">
        <v>3426.31</v>
      </c>
      <c r="R44" s="65">
        <v>44542.03</v>
      </c>
      <c r="S44" s="65">
        <v>23984.17</v>
      </c>
      <c r="T44" s="65">
        <v>18403.14</v>
      </c>
      <c r="U44" s="101" t="s">
        <v>85</v>
      </c>
      <c r="V44" s="45">
        <v>45091.0</v>
      </c>
      <c r="W44" s="65">
        <v>15774.12</v>
      </c>
      <c r="X44" s="101" t="s">
        <v>85</v>
      </c>
      <c r="Y44" s="45">
        <v>45107.0</v>
      </c>
      <c r="Z44" s="65">
        <v>9567.48</v>
      </c>
      <c r="AA44" s="101" t="s">
        <v>85</v>
      </c>
      <c r="AB44" s="45">
        <v>45019.0</v>
      </c>
      <c r="AC44" s="65">
        <v>2629.02</v>
      </c>
      <c r="AD44" s="101" t="s">
        <v>85</v>
      </c>
      <c r="AE44" s="45">
        <v>45125.0</v>
      </c>
      <c r="AF44" s="102" t="s">
        <v>285</v>
      </c>
      <c r="AG44" s="101">
        <v>301635.0</v>
      </c>
      <c r="AH44" s="101">
        <v>8.1822019E7</v>
      </c>
      <c r="AI44" s="102"/>
    </row>
    <row r="45" ht="15.75" customHeight="1">
      <c r="A45" s="101" t="s">
        <v>242</v>
      </c>
      <c r="B45" s="101" t="s">
        <v>62</v>
      </c>
      <c r="C45" s="101"/>
      <c r="D45" s="101">
        <v>220061.0</v>
      </c>
      <c r="E45" s="102" t="s">
        <v>286</v>
      </c>
      <c r="F45" s="45">
        <v>45042.0</v>
      </c>
      <c r="G45" s="45">
        <v>45076.0</v>
      </c>
      <c r="H45" s="101" t="s">
        <v>73</v>
      </c>
      <c r="I45" s="101" t="s">
        <v>76</v>
      </c>
      <c r="J45" s="101">
        <v>2.0</v>
      </c>
      <c r="K45" s="65">
        <v>64.685</v>
      </c>
      <c r="L45" s="65">
        <v>129.37</v>
      </c>
      <c r="M45" s="103">
        <v>0.2</v>
      </c>
      <c r="N45" s="65">
        <v>25.874</v>
      </c>
      <c r="O45" s="65">
        <v>155.244</v>
      </c>
      <c r="P45" s="101" t="s">
        <v>84</v>
      </c>
      <c r="Q45" s="65">
        <v>12.937</v>
      </c>
      <c r="R45" s="65">
        <v>155.244</v>
      </c>
      <c r="S45" s="65">
        <v>90.559</v>
      </c>
      <c r="T45" s="65">
        <v>155.24</v>
      </c>
      <c r="U45" s="101" t="s">
        <v>85</v>
      </c>
      <c r="V45" s="45">
        <v>45076.0</v>
      </c>
      <c r="W45" s="65"/>
      <c r="X45" s="101"/>
      <c r="Y45" s="45"/>
      <c r="Z45" s="65"/>
      <c r="AA45" s="101"/>
      <c r="AB45" s="45"/>
      <c r="AC45" s="65"/>
      <c r="AD45" s="101"/>
      <c r="AE45" s="45"/>
      <c r="AF45" s="102"/>
      <c r="AG45" s="101"/>
      <c r="AH45" s="101"/>
      <c r="AI45" s="102"/>
    </row>
    <row r="46" ht="15.75" customHeight="1">
      <c r="A46" s="101" t="s">
        <v>61</v>
      </c>
      <c r="B46" s="101" t="s">
        <v>62</v>
      </c>
      <c r="C46" s="101" t="s">
        <v>251</v>
      </c>
      <c r="D46" s="101">
        <v>220062.0</v>
      </c>
      <c r="E46" s="102" t="s">
        <v>288</v>
      </c>
      <c r="F46" s="45">
        <v>45087.0</v>
      </c>
      <c r="G46" s="45">
        <v>45077.0</v>
      </c>
      <c r="H46" s="101" t="s">
        <v>73</v>
      </c>
      <c r="I46" s="101" t="s">
        <v>76</v>
      </c>
      <c r="J46" s="101">
        <v>71.0</v>
      </c>
      <c r="K46" s="65">
        <v>74.72535211</v>
      </c>
      <c r="L46" s="65">
        <v>5305.5</v>
      </c>
      <c r="M46" s="103">
        <v>0.2</v>
      </c>
      <c r="N46" s="65">
        <v>1061.1</v>
      </c>
      <c r="O46" s="65">
        <v>6366.6</v>
      </c>
      <c r="P46" s="101" t="s">
        <v>79</v>
      </c>
      <c r="Q46" s="65">
        <v>530.55</v>
      </c>
      <c r="R46" s="65">
        <v>6897.15</v>
      </c>
      <c r="S46" s="65">
        <v>3713.85</v>
      </c>
      <c r="T46" s="65">
        <v>6335.03</v>
      </c>
      <c r="U46" s="101" t="s">
        <v>80</v>
      </c>
      <c r="V46" s="45">
        <v>45079.0</v>
      </c>
      <c r="W46" s="65">
        <v>518.88</v>
      </c>
      <c r="X46" s="101" t="s">
        <v>80</v>
      </c>
      <c r="Y46" s="45"/>
      <c r="Z46" s="65"/>
      <c r="AA46" s="101"/>
      <c r="AB46" s="45"/>
      <c r="AC46" s="65">
        <v>529.31</v>
      </c>
      <c r="AD46" s="101" t="s">
        <v>80</v>
      </c>
      <c r="AE46" s="45">
        <v>45092.0</v>
      </c>
      <c r="AF46" s="102"/>
      <c r="AG46" s="101"/>
      <c r="AH46" s="101"/>
      <c r="AI46" s="102"/>
    </row>
    <row r="47" ht="15.75" customHeight="1">
      <c r="A47" s="101" t="s">
        <v>61</v>
      </c>
      <c r="B47" s="101" t="s">
        <v>62</v>
      </c>
      <c r="C47" s="101" t="s">
        <v>63</v>
      </c>
      <c r="D47" s="101">
        <v>220063.0</v>
      </c>
      <c r="E47" s="102" t="s">
        <v>291</v>
      </c>
      <c r="F47" s="45">
        <v>45097.0</v>
      </c>
      <c r="G47" s="45">
        <v>45077.0</v>
      </c>
      <c r="H47" s="101" t="s">
        <v>83</v>
      </c>
      <c r="I47" s="101" t="s">
        <v>76</v>
      </c>
      <c r="J47" s="101">
        <v>60.0</v>
      </c>
      <c r="K47" s="65">
        <v>83.75</v>
      </c>
      <c r="L47" s="65">
        <v>5025.0</v>
      </c>
      <c r="M47" s="103">
        <v>0.2</v>
      </c>
      <c r="N47" s="65">
        <v>1005.0</v>
      </c>
      <c r="O47" s="65">
        <v>6030.0</v>
      </c>
      <c r="P47" s="101" t="s">
        <v>79</v>
      </c>
      <c r="Q47" s="65">
        <v>502.5</v>
      </c>
      <c r="R47" s="65">
        <v>6532.5</v>
      </c>
      <c r="S47" s="65">
        <v>3517.5</v>
      </c>
      <c r="T47" s="65">
        <v>2307.6</v>
      </c>
      <c r="U47" s="101" t="s">
        <v>80</v>
      </c>
      <c r="V47" s="45">
        <v>45077.0</v>
      </c>
      <c r="W47" s="65">
        <v>144.0</v>
      </c>
      <c r="X47" s="101" t="s">
        <v>80</v>
      </c>
      <c r="Y47" s="45">
        <v>45089.0</v>
      </c>
      <c r="Z47" s="65">
        <v>3188.25</v>
      </c>
      <c r="AA47" s="101" t="s">
        <v>80</v>
      </c>
      <c r="AB47" s="45">
        <v>45089.0</v>
      </c>
      <c r="AC47" s="65">
        <v>490.5</v>
      </c>
      <c r="AD47" s="101" t="s">
        <v>80</v>
      </c>
      <c r="AE47" s="45">
        <v>45111.0</v>
      </c>
      <c r="AF47" s="102"/>
      <c r="AG47" s="101"/>
      <c r="AH47" s="101"/>
      <c r="AI47" s="102"/>
    </row>
    <row r="48" ht="15.75" customHeight="1">
      <c r="A48" s="101" t="s">
        <v>61</v>
      </c>
      <c r="B48" s="101" t="s">
        <v>62</v>
      </c>
      <c r="C48" s="101" t="s">
        <v>63</v>
      </c>
      <c r="D48" s="101">
        <v>220064.0</v>
      </c>
      <c r="E48" s="102" t="s">
        <v>291</v>
      </c>
      <c r="F48" s="45">
        <v>373818.0</v>
      </c>
      <c r="G48" s="45">
        <v>45077.0</v>
      </c>
      <c r="H48" s="101" t="s">
        <v>83</v>
      </c>
      <c r="I48" s="101" t="s">
        <v>76</v>
      </c>
      <c r="J48" s="101">
        <v>15.0</v>
      </c>
      <c r="K48" s="65">
        <v>128.2</v>
      </c>
      <c r="L48" s="65">
        <v>1923.0</v>
      </c>
      <c r="M48" s="103">
        <v>0.2</v>
      </c>
      <c r="N48" s="65">
        <v>384.6</v>
      </c>
      <c r="O48" s="65">
        <v>2307.6</v>
      </c>
      <c r="P48" s="101" t="s">
        <v>84</v>
      </c>
      <c r="Q48" s="65">
        <v>192.3</v>
      </c>
      <c r="R48" s="65">
        <v>2307.6</v>
      </c>
      <c r="S48" s="65">
        <v>1346.1</v>
      </c>
      <c r="T48" s="65">
        <v>3188.25</v>
      </c>
      <c r="U48" s="101" t="s">
        <v>80</v>
      </c>
      <c r="V48" s="45">
        <v>45089.0</v>
      </c>
      <c r="W48" s="65"/>
      <c r="X48" s="101"/>
      <c r="Y48" s="45"/>
      <c r="Z48" s="65"/>
      <c r="AA48" s="101"/>
      <c r="AB48" s="45"/>
      <c r="AC48" s="65"/>
      <c r="AD48" s="101"/>
      <c r="AE48" s="45"/>
      <c r="AF48" s="102"/>
      <c r="AG48" s="101"/>
      <c r="AH48" s="101"/>
      <c r="AI48" s="102"/>
    </row>
    <row r="49" ht="15.75" customHeight="1">
      <c r="A49" s="101" t="s">
        <v>61</v>
      </c>
      <c r="B49" s="101" t="s">
        <v>62</v>
      </c>
      <c r="C49" s="101" t="s">
        <v>63</v>
      </c>
      <c r="D49" s="101">
        <v>220065.0</v>
      </c>
      <c r="E49" s="102" t="s">
        <v>298</v>
      </c>
      <c r="F49" s="45">
        <v>45085.0</v>
      </c>
      <c r="G49" s="45">
        <v>45079.0</v>
      </c>
      <c r="H49" s="101" t="s">
        <v>73</v>
      </c>
      <c r="I49" s="101" t="s">
        <v>76</v>
      </c>
      <c r="J49" s="101">
        <v>40.0</v>
      </c>
      <c r="K49" s="65">
        <v>69.25875</v>
      </c>
      <c r="L49" s="65">
        <v>2770.35</v>
      </c>
      <c r="M49" s="103">
        <v>0.2</v>
      </c>
      <c r="N49" s="65">
        <v>554.07</v>
      </c>
      <c r="O49" s="65">
        <v>3324.42</v>
      </c>
      <c r="P49" s="101" t="s">
        <v>79</v>
      </c>
      <c r="Q49" s="65">
        <v>277.035</v>
      </c>
      <c r="R49" s="65">
        <v>3601.455</v>
      </c>
      <c r="S49" s="65">
        <v>1939.245</v>
      </c>
      <c r="T49" s="65">
        <v>3274.05</v>
      </c>
      <c r="U49" s="101"/>
      <c r="V49" s="45"/>
      <c r="W49" s="65"/>
      <c r="X49" s="101"/>
      <c r="Y49" s="45"/>
      <c r="Z49" s="65"/>
      <c r="AA49" s="101"/>
      <c r="AB49" s="45"/>
      <c r="AC49" s="65">
        <v>251.85</v>
      </c>
      <c r="AD49" s="101" t="s">
        <v>80</v>
      </c>
      <c r="AE49" s="45">
        <v>45092.0</v>
      </c>
      <c r="AF49" s="102"/>
      <c r="AG49" s="101"/>
      <c r="AH49" s="101"/>
      <c r="AI49" s="102"/>
    </row>
    <row r="50" ht="15.75" customHeight="1">
      <c r="A50" s="101" t="s">
        <v>304</v>
      </c>
      <c r="B50" s="101" t="s">
        <v>62</v>
      </c>
      <c r="C50" s="101" t="s">
        <v>278</v>
      </c>
      <c r="D50" s="101">
        <v>220066.0</v>
      </c>
      <c r="E50" s="102" t="s">
        <v>305</v>
      </c>
      <c r="F50" s="45">
        <v>45087.0</v>
      </c>
      <c r="G50" s="45">
        <v>45050.0</v>
      </c>
      <c r="H50" s="101" t="s">
        <v>73</v>
      </c>
      <c r="I50" s="101" t="s">
        <v>76</v>
      </c>
      <c r="J50" s="101">
        <v>90.0</v>
      </c>
      <c r="K50" s="65">
        <v>122.0305556</v>
      </c>
      <c r="L50" s="65">
        <v>10982.75</v>
      </c>
      <c r="M50" s="103">
        <v>0.2</v>
      </c>
      <c r="N50" s="65">
        <v>2196.55</v>
      </c>
      <c r="O50" s="65">
        <v>13179.3</v>
      </c>
      <c r="P50" s="101" t="s">
        <v>79</v>
      </c>
      <c r="Q50" s="65">
        <v>1098.275</v>
      </c>
      <c r="R50" s="65">
        <v>14277.575</v>
      </c>
      <c r="S50" s="65">
        <v>7687.925</v>
      </c>
      <c r="T50" s="65">
        <v>3525.3</v>
      </c>
      <c r="U50" s="101" t="s">
        <v>80</v>
      </c>
      <c r="V50" s="45">
        <v>45211.0</v>
      </c>
      <c r="W50" s="65">
        <v>9317.13</v>
      </c>
      <c r="X50" s="101" t="s">
        <v>80</v>
      </c>
      <c r="Y50" s="45">
        <v>45083.0</v>
      </c>
      <c r="Z50" s="65"/>
      <c r="AA50" s="101"/>
      <c r="AB50" s="45"/>
      <c r="AC50" s="65"/>
      <c r="AD50" s="101"/>
      <c r="AE50" s="45"/>
      <c r="AF50" s="102"/>
      <c r="AG50" s="101"/>
      <c r="AH50" s="101"/>
      <c r="AI50" s="102"/>
    </row>
    <row r="51" ht="15.75" customHeight="1">
      <c r="A51" s="101" t="s">
        <v>61</v>
      </c>
      <c r="B51" s="101" t="s">
        <v>62</v>
      </c>
      <c r="C51" s="101" t="s">
        <v>63</v>
      </c>
      <c r="D51" s="101">
        <v>220067.0</v>
      </c>
      <c r="E51" s="102" t="s">
        <v>312</v>
      </c>
      <c r="F51" s="45">
        <v>45093.0</v>
      </c>
      <c r="G51" s="45">
        <v>45081.0</v>
      </c>
      <c r="H51" s="101" t="s">
        <v>73</v>
      </c>
      <c r="I51" s="101" t="s">
        <v>76</v>
      </c>
      <c r="J51" s="101">
        <v>29.0</v>
      </c>
      <c r="K51" s="65">
        <v>116.8344828</v>
      </c>
      <c r="L51" s="65">
        <v>3388.2</v>
      </c>
      <c r="M51" s="103">
        <v>0.2</v>
      </c>
      <c r="N51" s="65">
        <v>677.64</v>
      </c>
      <c r="O51" s="65">
        <v>4065.84</v>
      </c>
      <c r="P51" s="101" t="s">
        <v>79</v>
      </c>
      <c r="Q51" s="65">
        <v>338.82</v>
      </c>
      <c r="R51" s="65">
        <v>4404.66</v>
      </c>
      <c r="S51" s="65">
        <v>2371.74</v>
      </c>
      <c r="T51" s="65">
        <v>4404.66</v>
      </c>
      <c r="U51" s="101" t="s">
        <v>80</v>
      </c>
      <c r="V51" s="45">
        <v>45090.0</v>
      </c>
      <c r="W51" s="65"/>
      <c r="X51" s="101"/>
      <c r="Y51" s="45"/>
      <c r="Z51" s="65"/>
      <c r="AA51" s="101"/>
      <c r="AB51" s="45"/>
      <c r="AC51" s="65">
        <v>338.82</v>
      </c>
      <c r="AD51" s="101" t="s">
        <v>80</v>
      </c>
      <c r="AE51" s="45">
        <v>45111.0</v>
      </c>
      <c r="AF51" s="102"/>
      <c r="AG51" s="101"/>
      <c r="AH51" s="101"/>
      <c r="AI51" s="102"/>
    </row>
    <row r="52" ht="15.75" customHeight="1">
      <c r="A52" s="101" t="s">
        <v>242</v>
      </c>
      <c r="B52" s="101" t="s">
        <v>62</v>
      </c>
      <c r="C52" s="101" t="s">
        <v>251</v>
      </c>
      <c r="D52" s="101">
        <v>220068.0</v>
      </c>
      <c r="E52" s="102" t="s">
        <v>313</v>
      </c>
      <c r="F52" s="45">
        <v>45094.0</v>
      </c>
      <c r="G52" s="45">
        <v>45090.0</v>
      </c>
      <c r="H52" s="101" t="s">
        <v>73</v>
      </c>
      <c r="I52" s="101" t="s">
        <v>76</v>
      </c>
      <c r="J52" s="101">
        <v>96.0</v>
      </c>
      <c r="K52" s="65">
        <v>173.0</v>
      </c>
      <c r="L52" s="65">
        <v>13839.62</v>
      </c>
      <c r="M52" s="103">
        <v>0.2</v>
      </c>
      <c r="N52" s="65">
        <v>2767.924</v>
      </c>
      <c r="O52" s="65">
        <v>16607.544</v>
      </c>
      <c r="P52" s="101" t="s">
        <v>79</v>
      </c>
      <c r="Q52" s="65">
        <v>1383.962</v>
      </c>
      <c r="R52" s="65">
        <v>17991.506</v>
      </c>
      <c r="S52" s="65">
        <v>9687.734</v>
      </c>
      <c r="T52" s="65">
        <v>16607.54</v>
      </c>
      <c r="U52" s="101" t="s">
        <v>80</v>
      </c>
      <c r="V52" s="45">
        <v>45092.0</v>
      </c>
      <c r="W52" s="65"/>
      <c r="X52" s="101"/>
      <c r="Y52" s="45"/>
      <c r="Z52" s="65"/>
      <c r="AA52" s="101"/>
      <c r="AB52" s="45"/>
      <c r="AC52" s="65"/>
      <c r="AD52" s="101"/>
      <c r="AE52" s="45"/>
      <c r="AF52" s="102"/>
      <c r="AG52" s="101"/>
      <c r="AH52" s="101"/>
      <c r="AI52" s="102"/>
    </row>
    <row r="53" ht="15.75" customHeight="1">
      <c r="A53" s="101" t="s">
        <v>61</v>
      </c>
      <c r="B53" s="101" t="s">
        <v>62</v>
      </c>
      <c r="C53" s="101" t="s">
        <v>63</v>
      </c>
      <c r="D53" s="101">
        <v>220069.0</v>
      </c>
      <c r="E53" s="102" t="s">
        <v>314</v>
      </c>
      <c r="F53" s="45">
        <v>45090.0</v>
      </c>
      <c r="G53" s="45">
        <v>45089.0</v>
      </c>
      <c r="H53" s="101" t="s">
        <v>73</v>
      </c>
      <c r="I53" s="101" t="s">
        <v>76</v>
      </c>
      <c r="J53" s="101">
        <v>20.0</v>
      </c>
      <c r="K53" s="65">
        <v>74.55</v>
      </c>
      <c r="L53" s="65">
        <v>1491.0</v>
      </c>
      <c r="M53" s="103">
        <v>0.2</v>
      </c>
      <c r="N53" s="65">
        <v>298.2</v>
      </c>
      <c r="O53" s="65">
        <v>1789.2</v>
      </c>
      <c r="P53" s="101" t="s">
        <v>79</v>
      </c>
      <c r="Q53" s="65">
        <v>149.1</v>
      </c>
      <c r="R53" s="65">
        <v>1938.3</v>
      </c>
      <c r="S53" s="65">
        <v>1043.7</v>
      </c>
      <c r="T53" s="65">
        <v>1938.3</v>
      </c>
      <c r="U53" s="101" t="s">
        <v>80</v>
      </c>
      <c r="V53" s="45">
        <v>45089.0</v>
      </c>
      <c r="W53" s="65"/>
      <c r="X53" s="101"/>
      <c r="Y53" s="45"/>
      <c r="Z53" s="65"/>
      <c r="AA53" s="101"/>
      <c r="AB53" s="45"/>
      <c r="AC53" s="65">
        <v>149.1</v>
      </c>
      <c r="AD53" s="101"/>
      <c r="AE53" s="45">
        <v>45215.0</v>
      </c>
      <c r="AF53" s="102" t="s">
        <v>315</v>
      </c>
      <c r="AG53" s="101">
        <v>400731.0</v>
      </c>
      <c r="AH53" s="101">
        <v>9.213416E7</v>
      </c>
      <c r="AI53" s="102"/>
    </row>
    <row r="54" ht="15.75" customHeight="1">
      <c r="A54" s="101" t="s">
        <v>219</v>
      </c>
      <c r="B54" s="101" t="s">
        <v>62</v>
      </c>
      <c r="C54" s="101" t="s">
        <v>63</v>
      </c>
      <c r="D54" s="101">
        <v>220070.0</v>
      </c>
      <c r="E54" s="102" t="s">
        <v>316</v>
      </c>
      <c r="F54" s="45">
        <v>45097.0</v>
      </c>
      <c r="G54" s="45">
        <v>45090.0</v>
      </c>
      <c r="H54" s="101" t="s">
        <v>83</v>
      </c>
      <c r="I54" s="101" t="s">
        <v>76</v>
      </c>
      <c r="J54" s="101">
        <v>50.0</v>
      </c>
      <c r="K54" s="65">
        <v>119.0</v>
      </c>
      <c r="L54" s="65">
        <v>5950.0</v>
      </c>
      <c r="M54" s="103">
        <v>0.2</v>
      </c>
      <c r="N54" s="65">
        <v>1190.0</v>
      </c>
      <c r="O54" s="65">
        <v>7140.0</v>
      </c>
      <c r="P54" s="101" t="s">
        <v>79</v>
      </c>
      <c r="Q54" s="65">
        <v>595.0</v>
      </c>
      <c r="R54" s="65">
        <v>7735.0</v>
      </c>
      <c r="S54" s="65">
        <v>4165.0</v>
      </c>
      <c r="T54" s="65">
        <v>7735.0</v>
      </c>
      <c r="U54" s="101" t="s">
        <v>85</v>
      </c>
      <c r="V54" s="45">
        <v>45091.0</v>
      </c>
      <c r="W54" s="65"/>
      <c r="X54" s="101"/>
      <c r="Y54" s="45"/>
      <c r="Z54" s="65"/>
      <c r="AA54" s="101"/>
      <c r="AB54" s="45"/>
      <c r="AC54" s="65">
        <v>595.0</v>
      </c>
      <c r="AD54" s="101"/>
      <c r="AE54" s="45">
        <v>45258.0</v>
      </c>
      <c r="AF54" s="102"/>
      <c r="AG54" s="101"/>
      <c r="AH54" s="101"/>
      <c r="AI54" s="102"/>
    </row>
    <row r="55" ht="15.75" customHeight="1">
      <c r="A55" s="101" t="s">
        <v>61</v>
      </c>
      <c r="B55" s="101" t="s">
        <v>62</v>
      </c>
      <c r="C55" s="101" t="s">
        <v>63</v>
      </c>
      <c r="D55" s="101">
        <v>220071.0</v>
      </c>
      <c r="E55" s="102" t="s">
        <v>317</v>
      </c>
      <c r="F55" s="45">
        <v>45113.0</v>
      </c>
      <c r="G55" s="45">
        <v>45091.0</v>
      </c>
      <c r="H55" s="101" t="s">
        <v>73</v>
      </c>
      <c r="I55" s="101" t="s">
        <v>76</v>
      </c>
      <c r="J55" s="101">
        <v>21.0</v>
      </c>
      <c r="K55" s="65">
        <v>41.21428571</v>
      </c>
      <c r="L55" s="65">
        <v>865.5</v>
      </c>
      <c r="M55" s="103">
        <v>0.2</v>
      </c>
      <c r="N55" s="65">
        <v>173.1</v>
      </c>
      <c r="O55" s="65">
        <v>1038.6</v>
      </c>
      <c r="P55" s="101" t="s">
        <v>84</v>
      </c>
      <c r="Q55" s="65">
        <v>86.55</v>
      </c>
      <c r="R55" s="65">
        <v>1038.6</v>
      </c>
      <c r="S55" s="65">
        <v>605.85</v>
      </c>
      <c r="T55" s="65">
        <v>1038.6</v>
      </c>
      <c r="U55" s="101" t="s">
        <v>80</v>
      </c>
      <c r="V55" s="45">
        <v>45099.0</v>
      </c>
      <c r="W55" s="65">
        <v>342.0</v>
      </c>
      <c r="X55" s="101" t="s">
        <v>80</v>
      </c>
      <c r="Y55" s="45">
        <v>45112.0</v>
      </c>
      <c r="Z55" s="65"/>
      <c r="AA55" s="101"/>
      <c r="AB55" s="45"/>
      <c r="AC55" s="65"/>
      <c r="AD55" s="101"/>
      <c r="AE55" s="45"/>
      <c r="AF55" s="102"/>
      <c r="AG55" s="101"/>
      <c r="AH55" s="101"/>
      <c r="AI55" s="102"/>
    </row>
    <row r="56" ht="15.75" customHeight="1">
      <c r="A56" s="101" t="s">
        <v>61</v>
      </c>
      <c r="B56" s="101" t="s">
        <v>62</v>
      </c>
      <c r="C56" s="101" t="s">
        <v>63</v>
      </c>
      <c r="D56" s="101">
        <v>220072.0</v>
      </c>
      <c r="E56" s="102" t="s">
        <v>318</v>
      </c>
      <c r="F56" s="45">
        <v>45120.0</v>
      </c>
      <c r="G56" s="45">
        <v>45091.0</v>
      </c>
      <c r="H56" s="101" t="s">
        <v>83</v>
      </c>
      <c r="I56" s="101" t="s">
        <v>119</v>
      </c>
      <c r="J56" s="101">
        <v>20.0</v>
      </c>
      <c r="K56" s="65">
        <v>118.175</v>
      </c>
      <c r="L56" s="65">
        <v>2363.5</v>
      </c>
      <c r="M56" s="103">
        <v>0.2</v>
      </c>
      <c r="N56" s="65">
        <v>472.7</v>
      </c>
      <c r="O56" s="65">
        <v>2836.2</v>
      </c>
      <c r="P56" s="101"/>
      <c r="Q56" s="65">
        <v>236.35</v>
      </c>
      <c r="R56" s="65"/>
      <c r="S56" s="65">
        <v>1654.45</v>
      </c>
      <c r="T56" s="65"/>
      <c r="U56" s="101"/>
      <c r="V56" s="45"/>
      <c r="W56" s="65"/>
      <c r="X56" s="101"/>
      <c r="Y56" s="45"/>
      <c r="Z56" s="65"/>
      <c r="AA56" s="101"/>
      <c r="AB56" s="45"/>
      <c r="AC56" s="65"/>
      <c r="AD56" s="101"/>
      <c r="AE56" s="45"/>
      <c r="AF56" s="102"/>
      <c r="AG56" s="101"/>
      <c r="AH56" s="101"/>
      <c r="AI56" s="102"/>
    </row>
    <row r="57" ht="15.75" customHeight="1">
      <c r="A57" s="101" t="s">
        <v>61</v>
      </c>
      <c r="B57" s="101" t="s">
        <v>62</v>
      </c>
      <c r="C57" s="101" t="s">
        <v>63</v>
      </c>
      <c r="D57" s="101">
        <v>220073.0</v>
      </c>
      <c r="E57" s="102" t="s">
        <v>319</v>
      </c>
      <c r="F57" s="45">
        <v>45120.0</v>
      </c>
      <c r="G57" s="45">
        <v>45091.0</v>
      </c>
      <c r="H57" s="101" t="s">
        <v>73</v>
      </c>
      <c r="I57" s="101" t="s">
        <v>76</v>
      </c>
      <c r="J57" s="101">
        <v>25.0</v>
      </c>
      <c r="K57" s="65">
        <v>119.38</v>
      </c>
      <c r="L57" s="65">
        <v>2984.5</v>
      </c>
      <c r="M57" s="103">
        <v>0.2</v>
      </c>
      <c r="N57" s="65">
        <v>596.9</v>
      </c>
      <c r="O57" s="65">
        <v>3581.4</v>
      </c>
      <c r="P57" s="101"/>
      <c r="Q57" s="65">
        <v>298.45</v>
      </c>
      <c r="R57" s="65"/>
      <c r="S57" s="65">
        <v>2089.15</v>
      </c>
      <c r="T57" s="65">
        <v>3745.95</v>
      </c>
      <c r="U57" s="101" t="s">
        <v>80</v>
      </c>
      <c r="V57" s="45">
        <v>45107.0</v>
      </c>
      <c r="W57" s="65"/>
      <c r="X57" s="101"/>
      <c r="Y57" s="45"/>
      <c r="Z57" s="65"/>
      <c r="AA57" s="101"/>
      <c r="AB57" s="45"/>
      <c r="AC57" s="65">
        <v>3745.95</v>
      </c>
      <c r="AD57" s="101" t="s">
        <v>80</v>
      </c>
      <c r="AE57" s="45"/>
      <c r="AF57" s="102" t="s">
        <v>320</v>
      </c>
      <c r="AG57" s="101"/>
      <c r="AH57" s="101"/>
      <c r="AI57" s="102"/>
    </row>
    <row r="58" ht="15.75" customHeight="1">
      <c r="A58" s="101" t="s">
        <v>242</v>
      </c>
      <c r="B58" s="101" t="s">
        <v>62</v>
      </c>
      <c r="C58" s="101"/>
      <c r="D58" s="101">
        <v>220074.0</v>
      </c>
      <c r="E58" s="102" t="s">
        <v>321</v>
      </c>
      <c r="F58" s="45">
        <v>45105.0</v>
      </c>
      <c r="G58" s="45">
        <v>45092.0</v>
      </c>
      <c r="H58" s="101" t="s">
        <v>73</v>
      </c>
      <c r="I58" s="101" t="s">
        <v>119</v>
      </c>
      <c r="J58" s="101">
        <v>35.0</v>
      </c>
      <c r="K58" s="65">
        <v>65.49</v>
      </c>
      <c r="L58" s="65">
        <v>2183.0</v>
      </c>
      <c r="M58" s="103">
        <v>0.2</v>
      </c>
      <c r="N58" s="65">
        <v>436.6</v>
      </c>
      <c r="O58" s="65">
        <v>2619.6</v>
      </c>
      <c r="P58" s="101"/>
      <c r="Q58" s="65">
        <v>218.3</v>
      </c>
      <c r="R58" s="65"/>
      <c r="S58" s="65">
        <v>1528.1</v>
      </c>
      <c r="T58" s="65"/>
      <c r="U58" s="101"/>
      <c r="V58" s="45"/>
      <c r="W58" s="65"/>
      <c r="X58" s="101"/>
      <c r="Y58" s="45"/>
      <c r="Z58" s="65"/>
      <c r="AA58" s="101"/>
      <c r="AB58" s="45"/>
      <c r="AC58" s="65"/>
      <c r="AD58" s="101"/>
      <c r="AE58" s="45"/>
      <c r="AF58" s="102"/>
      <c r="AG58" s="101"/>
      <c r="AH58" s="101"/>
      <c r="AI58" s="102"/>
    </row>
    <row r="59" ht="15.75" customHeight="1">
      <c r="A59" s="101" t="s">
        <v>61</v>
      </c>
      <c r="B59" s="101" t="s">
        <v>62</v>
      </c>
      <c r="C59" s="101" t="s">
        <v>63</v>
      </c>
      <c r="D59" s="101">
        <v>220075.0</v>
      </c>
      <c r="E59" s="102" t="s">
        <v>291</v>
      </c>
      <c r="F59" s="45">
        <v>45097.0</v>
      </c>
      <c r="G59" s="45">
        <v>45091.0</v>
      </c>
      <c r="H59" s="101" t="s">
        <v>83</v>
      </c>
      <c r="I59" s="101" t="s">
        <v>76</v>
      </c>
      <c r="J59" s="101">
        <v>10.0</v>
      </c>
      <c r="K59" s="65">
        <v>60.45</v>
      </c>
      <c r="L59" s="65">
        <v>604.5</v>
      </c>
      <c r="M59" s="103">
        <v>0.2</v>
      </c>
      <c r="N59" s="65">
        <v>120.9</v>
      </c>
      <c r="O59" s="65">
        <v>725.4</v>
      </c>
      <c r="P59" s="101"/>
      <c r="Q59" s="65">
        <v>60.45</v>
      </c>
      <c r="R59" s="65"/>
      <c r="S59" s="65">
        <v>423.15</v>
      </c>
      <c r="T59" s="65">
        <v>725.4</v>
      </c>
      <c r="U59" s="101" t="s">
        <v>80</v>
      </c>
      <c r="V59" s="45">
        <v>45092.0</v>
      </c>
      <c r="W59" s="65"/>
      <c r="X59" s="101"/>
      <c r="Y59" s="45"/>
      <c r="Z59" s="65"/>
      <c r="AA59" s="101"/>
      <c r="AB59" s="45"/>
      <c r="AC59" s="65"/>
      <c r="AD59" s="101"/>
      <c r="AE59" s="45"/>
      <c r="AF59" s="102"/>
      <c r="AG59" s="101"/>
      <c r="AH59" s="101"/>
      <c r="AI59" s="102"/>
    </row>
    <row r="60" ht="15.75" customHeight="1">
      <c r="A60" s="101" t="s">
        <v>242</v>
      </c>
      <c r="B60" s="101" t="s">
        <v>62</v>
      </c>
      <c r="C60" s="101"/>
      <c r="D60" s="101">
        <v>220076.0</v>
      </c>
      <c r="E60" s="102" t="s">
        <v>331</v>
      </c>
      <c r="F60" s="45">
        <v>45098.0</v>
      </c>
      <c r="G60" s="45">
        <v>45092.0</v>
      </c>
      <c r="H60" s="101" t="s">
        <v>83</v>
      </c>
      <c r="I60" s="101" t="s">
        <v>76</v>
      </c>
      <c r="J60" s="101">
        <v>100.0</v>
      </c>
      <c r="K60" s="65">
        <v>67.6</v>
      </c>
      <c r="L60" s="65">
        <v>5633.1</v>
      </c>
      <c r="M60" s="103">
        <v>0.2</v>
      </c>
      <c r="N60" s="65">
        <v>1126.62</v>
      </c>
      <c r="O60" s="65">
        <v>6759.72</v>
      </c>
      <c r="P60" s="101"/>
      <c r="Q60" s="65">
        <v>563.31</v>
      </c>
      <c r="R60" s="65"/>
      <c r="S60" s="65">
        <v>3943.17</v>
      </c>
      <c r="T60" s="65">
        <v>6759.72</v>
      </c>
      <c r="U60" s="101" t="s">
        <v>85</v>
      </c>
      <c r="V60" s="45">
        <v>45097.0</v>
      </c>
      <c r="W60" s="65"/>
      <c r="X60" s="101"/>
      <c r="Y60" s="45"/>
      <c r="Z60" s="65"/>
      <c r="AA60" s="101"/>
      <c r="AB60" s="45"/>
      <c r="AC60" s="65"/>
      <c r="AD60" s="101"/>
      <c r="AE60" s="45"/>
      <c r="AF60" s="102"/>
      <c r="AG60" s="101"/>
      <c r="AH60" s="101"/>
      <c r="AI60" s="102"/>
    </row>
    <row r="61" ht="15.75" customHeight="1">
      <c r="A61" s="101" t="s">
        <v>61</v>
      </c>
      <c r="B61" s="101" t="s">
        <v>62</v>
      </c>
      <c r="C61" s="101" t="s">
        <v>63</v>
      </c>
      <c r="D61" s="101">
        <v>220077.0</v>
      </c>
      <c r="E61" s="102" t="s">
        <v>342</v>
      </c>
      <c r="F61" s="45">
        <v>45106.0</v>
      </c>
      <c r="G61" s="45">
        <v>45093.0</v>
      </c>
      <c r="H61" s="101" t="s">
        <v>73</v>
      </c>
      <c r="I61" s="101" t="s">
        <v>76</v>
      </c>
      <c r="J61" s="101">
        <v>120.0</v>
      </c>
      <c r="K61" s="65">
        <v>50.0</v>
      </c>
      <c r="L61" s="65">
        <v>6000.0</v>
      </c>
      <c r="M61" s="103">
        <v>0.2</v>
      </c>
      <c r="N61" s="65">
        <v>1200.0</v>
      </c>
      <c r="O61" s="65">
        <v>7200.0</v>
      </c>
      <c r="P61" s="101" t="s">
        <v>79</v>
      </c>
      <c r="Q61" s="65">
        <v>600.0</v>
      </c>
      <c r="R61" s="65">
        <v>7800.0</v>
      </c>
      <c r="S61" s="65">
        <v>4200.0</v>
      </c>
      <c r="T61" s="65">
        <v>7200.0</v>
      </c>
      <c r="U61" s="101" t="s">
        <v>80</v>
      </c>
      <c r="V61" s="45">
        <v>45093.0</v>
      </c>
      <c r="W61" s="65"/>
      <c r="X61" s="101"/>
      <c r="Y61" s="45"/>
      <c r="Z61" s="65"/>
      <c r="AA61" s="101"/>
      <c r="AB61" s="45"/>
      <c r="AC61" s="65">
        <v>2108.45</v>
      </c>
      <c r="AD61" s="101" t="s">
        <v>80</v>
      </c>
      <c r="AE61" s="45">
        <v>45114.0</v>
      </c>
      <c r="AF61" s="102"/>
      <c r="AG61" s="101"/>
      <c r="AH61" s="101"/>
      <c r="AI61" s="102"/>
    </row>
    <row r="62" ht="15.75" customHeight="1">
      <c r="A62" s="101" t="s">
        <v>61</v>
      </c>
      <c r="B62" s="101" t="s">
        <v>62</v>
      </c>
      <c r="C62" s="101" t="s">
        <v>251</v>
      </c>
      <c r="D62" s="101">
        <v>220078.0</v>
      </c>
      <c r="E62" s="102" t="s">
        <v>354</v>
      </c>
      <c r="F62" s="45">
        <v>45113.0</v>
      </c>
      <c r="G62" s="45">
        <v>45093.0</v>
      </c>
      <c r="H62" s="101" t="s">
        <v>73</v>
      </c>
      <c r="I62" s="101" t="s">
        <v>76</v>
      </c>
      <c r="J62" s="101">
        <v>50.0</v>
      </c>
      <c r="K62" s="65">
        <v>88.68</v>
      </c>
      <c r="L62" s="65">
        <v>4434.0</v>
      </c>
      <c r="M62" s="103">
        <v>0.2</v>
      </c>
      <c r="N62" s="65">
        <v>886.8</v>
      </c>
      <c r="O62" s="65">
        <v>5320.8</v>
      </c>
      <c r="P62" s="101" t="s">
        <v>79</v>
      </c>
      <c r="Q62" s="65">
        <v>443.4</v>
      </c>
      <c r="R62" s="65">
        <v>5764.2</v>
      </c>
      <c r="S62" s="65">
        <v>3103.8</v>
      </c>
      <c r="T62" s="65">
        <v>5764.2</v>
      </c>
      <c r="U62" s="101" t="s">
        <v>80</v>
      </c>
      <c r="V62" s="45">
        <v>45093.0</v>
      </c>
      <c r="W62" s="65"/>
      <c r="X62" s="101"/>
      <c r="Y62" s="45"/>
      <c r="Z62" s="65"/>
      <c r="AA62" s="101"/>
      <c r="AB62" s="45"/>
      <c r="AC62" s="65">
        <v>443.4</v>
      </c>
      <c r="AD62" s="101" t="s">
        <v>80</v>
      </c>
      <c r="AE62" s="45">
        <v>45120.0</v>
      </c>
      <c r="AF62" s="102"/>
      <c r="AG62" s="101"/>
      <c r="AH62" s="101"/>
      <c r="AI62" s="102"/>
    </row>
    <row r="63" ht="15.75" customHeight="1">
      <c r="A63" s="101" t="s">
        <v>61</v>
      </c>
      <c r="B63" s="101" t="s">
        <v>62</v>
      </c>
      <c r="C63" s="101" t="s">
        <v>251</v>
      </c>
      <c r="D63" s="101">
        <v>220079.0</v>
      </c>
      <c r="E63" s="102" t="s">
        <v>358</v>
      </c>
      <c r="F63" s="45">
        <v>45101.0</v>
      </c>
      <c r="G63" s="45">
        <v>45096.0</v>
      </c>
      <c r="H63" s="101" t="s">
        <v>73</v>
      </c>
      <c r="I63" s="101" t="s">
        <v>119</v>
      </c>
      <c r="J63" s="101">
        <v>30.0</v>
      </c>
      <c r="K63" s="65">
        <v>66.28333333</v>
      </c>
      <c r="L63" s="65">
        <v>1988.5</v>
      </c>
      <c r="M63" s="103">
        <v>0.2</v>
      </c>
      <c r="N63" s="65">
        <v>397.7</v>
      </c>
      <c r="O63" s="65">
        <v>2386.2</v>
      </c>
      <c r="P63" s="101" t="s">
        <v>79</v>
      </c>
      <c r="Q63" s="65">
        <v>198.85</v>
      </c>
      <c r="R63" s="65">
        <v>2585.05</v>
      </c>
      <c r="S63" s="65">
        <v>1391.95</v>
      </c>
      <c r="T63" s="65"/>
      <c r="U63" s="101"/>
      <c r="V63" s="45"/>
      <c r="W63" s="65"/>
      <c r="X63" s="101"/>
      <c r="Y63" s="45"/>
      <c r="Z63" s="65"/>
      <c r="AA63" s="101"/>
      <c r="AB63" s="45"/>
      <c r="AC63" s="65"/>
      <c r="AD63" s="101"/>
      <c r="AE63" s="45"/>
      <c r="AF63" s="102"/>
      <c r="AG63" s="101"/>
      <c r="AH63" s="101"/>
      <c r="AI63" s="102"/>
    </row>
    <row r="64" ht="15.75" customHeight="1">
      <c r="A64" s="101" t="s">
        <v>167</v>
      </c>
      <c r="B64" s="101" t="s">
        <v>62</v>
      </c>
      <c r="C64" s="101" t="s">
        <v>251</v>
      </c>
      <c r="D64" s="101">
        <v>220080.0</v>
      </c>
      <c r="E64" s="102" t="s">
        <v>359</v>
      </c>
      <c r="F64" s="45"/>
      <c r="G64" s="45"/>
      <c r="H64" s="101"/>
      <c r="I64" s="101" t="s">
        <v>76</v>
      </c>
      <c r="J64" s="101"/>
      <c r="K64" s="65"/>
      <c r="L64" s="65">
        <v>6201.55</v>
      </c>
      <c r="M64" s="103">
        <v>0.2</v>
      </c>
      <c r="N64" s="65">
        <v>1240.31</v>
      </c>
      <c r="O64" s="65">
        <v>7441.86</v>
      </c>
      <c r="P64" s="101" t="s">
        <v>84</v>
      </c>
      <c r="Q64" s="65">
        <v>620.155</v>
      </c>
      <c r="R64" s="65">
        <v>7441.86</v>
      </c>
      <c r="S64" s="65">
        <v>4341.085</v>
      </c>
      <c r="T64" s="65">
        <v>7441.86</v>
      </c>
      <c r="U64" s="101" t="s">
        <v>85</v>
      </c>
      <c r="V64" s="45">
        <v>45097.0</v>
      </c>
      <c r="W64" s="65"/>
      <c r="X64" s="101"/>
      <c r="Y64" s="45"/>
      <c r="Z64" s="65"/>
      <c r="AA64" s="101"/>
      <c r="AB64" s="45"/>
      <c r="AC64" s="65"/>
      <c r="AD64" s="101"/>
      <c r="AE64" s="45"/>
      <c r="AF64" s="102"/>
      <c r="AG64" s="101"/>
      <c r="AH64" s="101"/>
      <c r="AI64" s="102"/>
    </row>
    <row r="65" ht="15.75" customHeight="1">
      <c r="A65" s="101" t="s">
        <v>167</v>
      </c>
      <c r="B65" s="101" t="s">
        <v>62</v>
      </c>
      <c r="C65" s="101" t="s">
        <v>251</v>
      </c>
      <c r="D65" s="101">
        <v>220081.0</v>
      </c>
      <c r="E65" s="102" t="s">
        <v>360</v>
      </c>
      <c r="F65" s="45"/>
      <c r="G65" s="45"/>
      <c r="H65" s="101"/>
      <c r="I65" s="101" t="s">
        <v>76</v>
      </c>
      <c r="J65" s="101">
        <v>40.0</v>
      </c>
      <c r="K65" s="65">
        <v>0.0</v>
      </c>
      <c r="L65" s="65"/>
      <c r="M65" s="103"/>
      <c r="N65" s="65"/>
      <c r="O65" s="65"/>
      <c r="P65" s="101"/>
      <c r="Q65" s="65">
        <v>0.0</v>
      </c>
      <c r="R65" s="65"/>
      <c r="S65" s="65">
        <v>0.0</v>
      </c>
      <c r="T65" s="65">
        <v>3717.07</v>
      </c>
      <c r="U65" s="101" t="s">
        <v>85</v>
      </c>
      <c r="V65" s="45">
        <v>45097.0</v>
      </c>
      <c r="W65" s="65"/>
      <c r="X65" s="101"/>
      <c r="Y65" s="45"/>
      <c r="Z65" s="65"/>
      <c r="AA65" s="101"/>
      <c r="AB65" s="45"/>
      <c r="AC65" s="65"/>
      <c r="AD65" s="101"/>
      <c r="AE65" s="45"/>
      <c r="AF65" s="102"/>
      <c r="AG65" s="101"/>
      <c r="AH65" s="101"/>
      <c r="AI65" s="102"/>
    </row>
    <row r="66" ht="15.75" customHeight="1">
      <c r="A66" s="101" t="s">
        <v>242</v>
      </c>
      <c r="B66" s="101" t="s">
        <v>62</v>
      </c>
      <c r="C66" s="101"/>
      <c r="D66" s="101">
        <v>220082.0</v>
      </c>
      <c r="E66" s="102" t="s">
        <v>361</v>
      </c>
      <c r="F66" s="45">
        <v>45105.0</v>
      </c>
      <c r="G66" s="45">
        <v>45096.0</v>
      </c>
      <c r="H66" s="101"/>
      <c r="I66" s="101" t="s">
        <v>76</v>
      </c>
      <c r="J66" s="101">
        <v>40.0</v>
      </c>
      <c r="K66" s="65">
        <v>62.3</v>
      </c>
      <c r="L66" s="65">
        <v>2076.5</v>
      </c>
      <c r="M66" s="103">
        <v>0.2</v>
      </c>
      <c r="N66" s="65">
        <v>415.3</v>
      </c>
      <c r="O66" s="65">
        <v>2491.8</v>
      </c>
      <c r="P66" s="101" t="s">
        <v>84</v>
      </c>
      <c r="Q66" s="65">
        <v>207.65</v>
      </c>
      <c r="R66" s="65">
        <v>2491.8</v>
      </c>
      <c r="S66" s="65">
        <v>1453.55</v>
      </c>
      <c r="T66" s="65"/>
      <c r="U66" s="101"/>
      <c r="V66" s="45"/>
      <c r="W66" s="65"/>
      <c r="X66" s="101"/>
      <c r="Y66" s="45"/>
      <c r="Z66" s="65"/>
      <c r="AA66" s="101"/>
      <c r="AB66" s="45"/>
      <c r="AC66" s="65"/>
      <c r="AD66" s="101"/>
      <c r="AE66" s="45"/>
      <c r="AF66" s="102"/>
      <c r="AG66" s="101"/>
      <c r="AH66" s="101"/>
      <c r="AI66" s="102"/>
    </row>
    <row r="67" ht="15.75" customHeight="1">
      <c r="A67" s="101" t="s">
        <v>242</v>
      </c>
      <c r="B67" s="101" t="s">
        <v>62</v>
      </c>
      <c r="C67" s="101"/>
      <c r="D67" s="101">
        <v>220083.0</v>
      </c>
      <c r="E67" s="102" t="s">
        <v>363</v>
      </c>
      <c r="F67" s="45">
        <v>45105.0</v>
      </c>
      <c r="G67" s="45">
        <v>45096.0</v>
      </c>
      <c r="H67" s="101"/>
      <c r="I67" s="101" t="s">
        <v>76</v>
      </c>
      <c r="J67" s="101">
        <v>40.0</v>
      </c>
      <c r="K67" s="65">
        <v>30.24</v>
      </c>
      <c r="L67" s="65">
        <v>1008.0</v>
      </c>
      <c r="M67" s="103">
        <v>0.2</v>
      </c>
      <c r="N67" s="65">
        <v>201.6</v>
      </c>
      <c r="O67" s="65">
        <v>1209.6</v>
      </c>
      <c r="P67" s="101" t="s">
        <v>84</v>
      </c>
      <c r="Q67" s="65">
        <v>100.8</v>
      </c>
      <c r="R67" s="65">
        <v>1209.6</v>
      </c>
      <c r="S67" s="65">
        <v>705.6</v>
      </c>
      <c r="T67" s="65"/>
      <c r="U67" s="101"/>
      <c r="V67" s="45"/>
      <c r="W67" s="65"/>
      <c r="X67" s="101"/>
      <c r="Y67" s="45"/>
      <c r="Z67" s="65"/>
      <c r="AA67" s="101"/>
      <c r="AB67" s="45"/>
      <c r="AC67" s="65"/>
      <c r="AD67" s="101"/>
      <c r="AE67" s="45"/>
      <c r="AF67" s="102"/>
      <c r="AG67" s="101"/>
      <c r="AH67" s="101"/>
      <c r="AI67" s="102"/>
    </row>
    <row r="68" ht="15.75" customHeight="1">
      <c r="A68" s="101" t="s">
        <v>242</v>
      </c>
      <c r="B68" s="101" t="s">
        <v>62</v>
      </c>
      <c r="C68" s="101"/>
      <c r="D68" s="101">
        <v>220084.0</v>
      </c>
      <c r="E68" s="102" t="s">
        <v>364</v>
      </c>
      <c r="F68" s="45">
        <v>45094.0</v>
      </c>
      <c r="G68" s="45">
        <v>45098.0</v>
      </c>
      <c r="H68" s="101"/>
      <c r="I68" s="101" t="s">
        <v>76</v>
      </c>
      <c r="J68" s="101">
        <v>97.0</v>
      </c>
      <c r="K68" s="65">
        <v>2.358762887</v>
      </c>
      <c r="L68" s="65">
        <v>228.8</v>
      </c>
      <c r="M68" s="103">
        <v>0.2</v>
      </c>
      <c r="N68" s="65">
        <v>45.76</v>
      </c>
      <c r="O68" s="65">
        <v>274.56</v>
      </c>
      <c r="P68" s="101" t="s">
        <v>84</v>
      </c>
      <c r="Q68" s="65">
        <v>22.88</v>
      </c>
      <c r="R68" s="65">
        <v>274.56</v>
      </c>
      <c r="S68" s="65">
        <v>160.16</v>
      </c>
      <c r="T68" s="65"/>
      <c r="U68" s="101"/>
      <c r="V68" s="45"/>
      <c r="W68" s="65"/>
      <c r="X68" s="101"/>
      <c r="Y68" s="45"/>
      <c r="Z68" s="65"/>
      <c r="AA68" s="101"/>
      <c r="AB68" s="45"/>
      <c r="AC68" s="65"/>
      <c r="AD68" s="101"/>
      <c r="AE68" s="45"/>
      <c r="AF68" s="102"/>
      <c r="AG68" s="101"/>
      <c r="AH68" s="101"/>
      <c r="AI68" s="102"/>
    </row>
    <row r="69" ht="15.75" customHeight="1">
      <c r="A69" s="101" t="s">
        <v>242</v>
      </c>
      <c r="B69" s="101" t="s">
        <v>62</v>
      </c>
      <c r="C69" s="101"/>
      <c r="D69" s="101">
        <v>220085.0</v>
      </c>
      <c r="E69" s="102" t="s">
        <v>381</v>
      </c>
      <c r="F69" s="45">
        <v>45105.0</v>
      </c>
      <c r="G69" s="45">
        <v>45098.0</v>
      </c>
      <c r="H69" s="101"/>
      <c r="I69" s="101" t="s">
        <v>76</v>
      </c>
      <c r="J69" s="101">
        <v>40.0</v>
      </c>
      <c r="K69" s="65">
        <v>7.71125</v>
      </c>
      <c r="L69" s="65">
        <v>308.45</v>
      </c>
      <c r="M69" s="103"/>
      <c r="N69" s="65">
        <v>0.0</v>
      </c>
      <c r="O69" s="65">
        <v>308.45</v>
      </c>
      <c r="P69" s="101"/>
      <c r="Q69" s="65">
        <v>30.845</v>
      </c>
      <c r="R69" s="65"/>
      <c r="S69" s="65">
        <v>185.07</v>
      </c>
      <c r="T69" s="65"/>
      <c r="U69" s="101"/>
      <c r="V69" s="45"/>
      <c r="W69" s="65"/>
      <c r="X69" s="101"/>
      <c r="Y69" s="45"/>
      <c r="Z69" s="65"/>
      <c r="AA69" s="101"/>
      <c r="AB69" s="45"/>
      <c r="AC69" s="65">
        <v>308.45</v>
      </c>
      <c r="AD69" s="101" t="s">
        <v>80</v>
      </c>
      <c r="AE69" s="45"/>
      <c r="AF69" s="102" t="s">
        <v>382</v>
      </c>
      <c r="AG69" s="101">
        <v>400250.0</v>
      </c>
      <c r="AH69" s="101">
        <v>3.1433229E7</v>
      </c>
      <c r="AI69" s="102" t="s">
        <v>383</v>
      </c>
    </row>
    <row r="70" ht="15.75" customHeight="1">
      <c r="A70" s="101" t="s">
        <v>61</v>
      </c>
      <c r="B70" s="101" t="s">
        <v>62</v>
      </c>
      <c r="C70" s="101" t="s">
        <v>63</v>
      </c>
      <c r="D70" s="101"/>
      <c r="E70" s="102" t="s">
        <v>384</v>
      </c>
      <c r="F70" s="45">
        <v>45104.0</v>
      </c>
      <c r="G70" s="45">
        <v>45098.0</v>
      </c>
      <c r="H70" s="101" t="s">
        <v>73</v>
      </c>
      <c r="I70" s="101" t="s">
        <v>76</v>
      </c>
      <c r="J70" s="101">
        <v>20.0</v>
      </c>
      <c r="K70" s="65">
        <v>242.345</v>
      </c>
      <c r="L70" s="65">
        <v>4846.9</v>
      </c>
      <c r="M70" s="103">
        <v>0.2</v>
      </c>
      <c r="N70" s="65">
        <v>969.38</v>
      </c>
      <c r="O70" s="65">
        <v>5816.28</v>
      </c>
      <c r="P70" s="101" t="s">
        <v>79</v>
      </c>
      <c r="Q70" s="65">
        <v>484.69</v>
      </c>
      <c r="R70" s="65">
        <v>6300.97</v>
      </c>
      <c r="S70" s="65">
        <v>3392.83</v>
      </c>
      <c r="T70" s="65">
        <v>6300.97</v>
      </c>
      <c r="U70" s="101" t="s">
        <v>85</v>
      </c>
      <c r="V70" s="45">
        <v>45100.0</v>
      </c>
      <c r="W70" s="65"/>
      <c r="X70" s="101"/>
      <c r="Y70" s="45"/>
      <c r="Z70" s="65"/>
      <c r="AA70" s="101"/>
      <c r="AB70" s="45"/>
      <c r="AC70" s="65">
        <v>656.17</v>
      </c>
      <c r="AD70" s="101" t="s">
        <v>85</v>
      </c>
      <c r="AE70" s="45">
        <v>45113.0</v>
      </c>
      <c r="AF70" s="102"/>
      <c r="AG70" s="101"/>
      <c r="AH70" s="101"/>
      <c r="AI70" s="102"/>
    </row>
    <row r="71" ht="15.75" customHeight="1">
      <c r="A71" s="101" t="s">
        <v>61</v>
      </c>
      <c r="B71" s="101" t="s">
        <v>62</v>
      </c>
      <c r="C71" s="101" t="s">
        <v>63</v>
      </c>
      <c r="D71" s="101">
        <v>1.0</v>
      </c>
      <c r="E71" s="102" t="s">
        <v>385</v>
      </c>
      <c r="F71" s="45">
        <v>45106.0</v>
      </c>
      <c r="G71" s="45">
        <v>45100.0</v>
      </c>
      <c r="H71" s="101" t="s">
        <v>73</v>
      </c>
      <c r="I71" s="101" t="s">
        <v>76</v>
      </c>
      <c r="J71" s="101">
        <v>120.0</v>
      </c>
      <c r="K71" s="65">
        <v>174.4541667</v>
      </c>
      <c r="L71" s="65">
        <v>20934.5</v>
      </c>
      <c r="M71" s="103">
        <v>0.2</v>
      </c>
      <c r="N71" s="65">
        <v>4186.9</v>
      </c>
      <c r="O71" s="65">
        <v>25121.4</v>
      </c>
      <c r="P71" s="101"/>
      <c r="Q71" s="65">
        <v>2093.45</v>
      </c>
      <c r="R71" s="65"/>
      <c r="S71" s="65">
        <v>14654.15</v>
      </c>
      <c r="T71" s="65">
        <v>7200.0</v>
      </c>
      <c r="U71" s="101" t="s">
        <v>80</v>
      </c>
      <c r="V71" s="45">
        <v>45096.0</v>
      </c>
      <c r="W71" s="65"/>
      <c r="X71" s="101"/>
      <c r="Y71" s="45">
        <v>45104.0</v>
      </c>
      <c r="Z71" s="65"/>
      <c r="AA71" s="101"/>
      <c r="AB71" s="45"/>
      <c r="AC71" s="65"/>
      <c r="AD71" s="101"/>
      <c r="AE71" s="45"/>
      <c r="AF71" s="102"/>
      <c r="AG71" s="101"/>
      <c r="AH71" s="101"/>
      <c r="AI71" s="102"/>
    </row>
    <row r="72" ht="15.75" customHeight="1">
      <c r="A72" s="101" t="s">
        <v>61</v>
      </c>
      <c r="B72" s="101" t="s">
        <v>62</v>
      </c>
      <c r="C72" s="101" t="s">
        <v>63</v>
      </c>
      <c r="D72" s="101">
        <v>2.0</v>
      </c>
      <c r="E72" s="102" t="s">
        <v>386</v>
      </c>
      <c r="F72" s="45">
        <v>45105.0</v>
      </c>
      <c r="G72" s="45">
        <v>45100.0</v>
      </c>
      <c r="H72" s="101" t="s">
        <v>83</v>
      </c>
      <c r="I72" s="101" t="s">
        <v>76</v>
      </c>
      <c r="J72" s="101">
        <v>25.0</v>
      </c>
      <c r="K72" s="65">
        <v>72.68</v>
      </c>
      <c r="L72" s="65">
        <v>1817.0</v>
      </c>
      <c r="M72" s="103">
        <v>0.2</v>
      </c>
      <c r="N72" s="65">
        <v>363.4</v>
      </c>
      <c r="O72" s="65">
        <v>2180.4</v>
      </c>
      <c r="P72" s="101" t="s">
        <v>79</v>
      </c>
      <c r="Q72" s="65">
        <v>181.7</v>
      </c>
      <c r="R72" s="65">
        <v>2362.1</v>
      </c>
      <c r="S72" s="65">
        <v>1271.9</v>
      </c>
      <c r="T72" s="65">
        <v>1712.42</v>
      </c>
      <c r="U72" s="101" t="s">
        <v>80</v>
      </c>
      <c r="V72" s="45">
        <v>45100.0</v>
      </c>
      <c r="W72" s="65">
        <v>599.7</v>
      </c>
      <c r="X72" s="101" t="s">
        <v>80</v>
      </c>
      <c r="Y72" s="45">
        <v>45103.0</v>
      </c>
      <c r="Z72" s="65"/>
      <c r="AA72" s="101"/>
      <c r="AB72" s="45"/>
      <c r="AC72" s="65">
        <v>131.72</v>
      </c>
      <c r="AD72" s="101" t="s">
        <v>80</v>
      </c>
      <c r="AE72" s="45">
        <v>45111.0</v>
      </c>
      <c r="AF72" s="102"/>
      <c r="AG72" s="101"/>
      <c r="AH72" s="101"/>
      <c r="AI72" s="102"/>
    </row>
    <row r="73" ht="15.75" customHeight="1">
      <c r="A73" s="101" t="s">
        <v>219</v>
      </c>
      <c r="B73" s="101" t="s">
        <v>62</v>
      </c>
      <c r="C73" s="101" t="s">
        <v>63</v>
      </c>
      <c r="D73" s="101"/>
      <c r="E73" s="102" t="s">
        <v>387</v>
      </c>
      <c r="F73" s="45">
        <v>45132.0</v>
      </c>
      <c r="G73" s="45">
        <v>45104.0</v>
      </c>
      <c r="H73" s="101" t="s">
        <v>83</v>
      </c>
      <c r="I73" s="101" t="s">
        <v>76</v>
      </c>
      <c r="J73" s="101">
        <v>30.0</v>
      </c>
      <c r="K73" s="65">
        <v>70.32333333</v>
      </c>
      <c r="L73" s="65">
        <v>2109.7</v>
      </c>
      <c r="M73" s="103">
        <v>0.2</v>
      </c>
      <c r="N73" s="65">
        <v>421.94</v>
      </c>
      <c r="O73" s="65">
        <v>2531.64</v>
      </c>
      <c r="P73" s="101" t="s">
        <v>79</v>
      </c>
      <c r="Q73" s="65">
        <v>210.97</v>
      </c>
      <c r="R73" s="65">
        <v>2742.61</v>
      </c>
      <c r="S73" s="65">
        <v>1476.79</v>
      </c>
      <c r="T73" s="65">
        <v>2742.61</v>
      </c>
      <c r="U73" s="101" t="s">
        <v>85</v>
      </c>
      <c r="V73" s="45">
        <v>45107.0</v>
      </c>
      <c r="W73" s="65"/>
      <c r="X73" s="101"/>
      <c r="Y73" s="45"/>
      <c r="Z73" s="65"/>
      <c r="AA73" s="101"/>
      <c r="AB73" s="45"/>
      <c r="AC73" s="65">
        <v>378.49</v>
      </c>
      <c r="AD73" s="101"/>
      <c r="AE73" s="45">
        <v>45169.0</v>
      </c>
      <c r="AF73" s="102" t="s">
        <v>388</v>
      </c>
      <c r="AG73" s="101">
        <v>209296.0</v>
      </c>
      <c r="AH73" s="101">
        <v>3.0161756E7</v>
      </c>
      <c r="AI73" s="102"/>
    </row>
    <row r="74" ht="15.75" customHeight="1">
      <c r="A74" s="101" t="s">
        <v>167</v>
      </c>
      <c r="B74" s="101" t="s">
        <v>62</v>
      </c>
      <c r="C74" s="101"/>
      <c r="D74" s="101"/>
      <c r="E74" s="102" t="s">
        <v>233</v>
      </c>
      <c r="F74" s="45">
        <v>45104.0</v>
      </c>
      <c r="G74" s="45">
        <v>45104.0</v>
      </c>
      <c r="H74" s="101"/>
      <c r="I74" s="101" t="s">
        <v>76</v>
      </c>
      <c r="J74" s="101">
        <v>35.0</v>
      </c>
      <c r="K74" s="65">
        <v>21.0</v>
      </c>
      <c r="L74" s="65">
        <v>735.0</v>
      </c>
      <c r="M74" s="103">
        <v>0.2</v>
      </c>
      <c r="N74" s="65">
        <v>147.0</v>
      </c>
      <c r="O74" s="65">
        <v>882.0</v>
      </c>
      <c r="P74" s="101" t="s">
        <v>84</v>
      </c>
      <c r="Q74" s="65">
        <v>73.5</v>
      </c>
      <c r="R74" s="65">
        <v>882.0</v>
      </c>
      <c r="S74" s="65">
        <v>514.5</v>
      </c>
      <c r="T74" s="65">
        <v>882.0</v>
      </c>
      <c r="U74" s="101" t="s">
        <v>85</v>
      </c>
      <c r="V74" s="45">
        <v>45124.0</v>
      </c>
      <c r="W74" s="65"/>
      <c r="X74" s="101"/>
      <c r="Y74" s="45"/>
      <c r="Z74" s="65"/>
      <c r="AA74" s="101"/>
      <c r="AB74" s="45"/>
      <c r="AC74" s="65"/>
      <c r="AD74" s="101"/>
      <c r="AE74" s="45"/>
      <c r="AF74" s="102"/>
      <c r="AG74" s="101"/>
      <c r="AH74" s="101"/>
      <c r="AI74" s="102"/>
    </row>
    <row r="75" ht="15.75" customHeight="1">
      <c r="A75" s="101" t="s">
        <v>223</v>
      </c>
      <c r="B75" s="101" t="s">
        <v>62</v>
      </c>
      <c r="C75" s="101" t="s">
        <v>251</v>
      </c>
      <c r="D75" s="101">
        <v>220091.0</v>
      </c>
      <c r="E75" s="102" t="s">
        <v>389</v>
      </c>
      <c r="F75" s="45">
        <v>45109.0</v>
      </c>
      <c r="G75" s="45">
        <v>45105.0</v>
      </c>
      <c r="H75" s="101" t="s">
        <v>73</v>
      </c>
      <c r="I75" s="101" t="s">
        <v>76</v>
      </c>
      <c r="J75" s="101">
        <v>120.0</v>
      </c>
      <c r="K75" s="65">
        <v>71.52083333</v>
      </c>
      <c r="L75" s="65">
        <v>8582.5</v>
      </c>
      <c r="M75" s="103">
        <v>0.2</v>
      </c>
      <c r="N75" s="65">
        <v>1716.5</v>
      </c>
      <c r="O75" s="65">
        <v>10299.0</v>
      </c>
      <c r="P75" s="101"/>
      <c r="Q75" s="65">
        <v>858.25</v>
      </c>
      <c r="R75" s="65"/>
      <c r="S75" s="65">
        <v>6007.75</v>
      </c>
      <c r="T75" s="65">
        <v>11157.25</v>
      </c>
      <c r="U75" s="101" t="s">
        <v>85</v>
      </c>
      <c r="V75" s="45">
        <v>45106.0</v>
      </c>
      <c r="W75" s="65"/>
      <c r="X75" s="101"/>
      <c r="Y75" s="45"/>
      <c r="Z75" s="65"/>
      <c r="AA75" s="101"/>
      <c r="AB75" s="45"/>
      <c r="AC75" s="65">
        <v>1002.25</v>
      </c>
      <c r="AD75" s="101" t="s">
        <v>85</v>
      </c>
      <c r="AE75" s="45">
        <v>45112.0</v>
      </c>
      <c r="AF75" s="102"/>
      <c r="AG75" s="101"/>
      <c r="AH75" s="101"/>
      <c r="AI75" s="102"/>
    </row>
    <row r="76" ht="15.75" customHeight="1">
      <c r="A76" s="101" t="s">
        <v>61</v>
      </c>
      <c r="B76" s="101" t="s">
        <v>62</v>
      </c>
      <c r="C76" s="101" t="s">
        <v>63</v>
      </c>
      <c r="D76" s="101">
        <v>220092.0</v>
      </c>
      <c r="E76" s="102" t="s">
        <v>390</v>
      </c>
      <c r="F76" s="45">
        <v>45119.0</v>
      </c>
      <c r="G76" s="45">
        <v>45107.0</v>
      </c>
      <c r="H76" s="101" t="s">
        <v>73</v>
      </c>
      <c r="I76" s="101" t="s">
        <v>76</v>
      </c>
      <c r="J76" s="101">
        <v>20.0</v>
      </c>
      <c r="K76" s="65">
        <v>33.755</v>
      </c>
      <c r="L76" s="65">
        <v>675.1</v>
      </c>
      <c r="M76" s="103">
        <v>0.2</v>
      </c>
      <c r="N76" s="65">
        <v>135.02</v>
      </c>
      <c r="O76" s="65">
        <v>810.12</v>
      </c>
      <c r="P76" s="101" t="s">
        <v>84</v>
      </c>
      <c r="Q76" s="65">
        <v>67.51</v>
      </c>
      <c r="R76" s="65">
        <v>810.12</v>
      </c>
      <c r="S76" s="65">
        <v>472.57</v>
      </c>
      <c r="T76" s="65">
        <v>810.12</v>
      </c>
      <c r="U76" s="101" t="s">
        <v>80</v>
      </c>
      <c r="V76" s="45">
        <v>45111.0</v>
      </c>
      <c r="W76" s="65"/>
      <c r="X76" s="101"/>
      <c r="Y76" s="45"/>
      <c r="Z76" s="65"/>
      <c r="AA76" s="101"/>
      <c r="AB76" s="45"/>
      <c r="AC76" s="65"/>
      <c r="AD76" s="101"/>
      <c r="AE76" s="45"/>
      <c r="AF76" s="102"/>
      <c r="AG76" s="101"/>
      <c r="AH76" s="101"/>
      <c r="AI76" s="102"/>
    </row>
    <row r="77" ht="15.75" customHeight="1">
      <c r="A77" s="101" t="s">
        <v>219</v>
      </c>
      <c r="B77" s="101" t="s">
        <v>62</v>
      </c>
      <c r="C77" s="101" t="s">
        <v>251</v>
      </c>
      <c r="D77" s="101">
        <v>220093.0</v>
      </c>
      <c r="E77" s="102" t="s">
        <v>391</v>
      </c>
      <c r="F77" s="45">
        <v>45122.0</v>
      </c>
      <c r="G77" s="45">
        <v>45112.0</v>
      </c>
      <c r="H77" s="101" t="s">
        <v>73</v>
      </c>
      <c r="I77" s="101" t="s">
        <v>76</v>
      </c>
      <c r="J77" s="101">
        <v>40.0</v>
      </c>
      <c r="K77" s="65">
        <v>102.7</v>
      </c>
      <c r="L77" s="65">
        <v>4108.0</v>
      </c>
      <c r="M77" s="103">
        <v>0.2</v>
      </c>
      <c r="N77" s="65">
        <v>821.6</v>
      </c>
      <c r="O77" s="65">
        <v>4929.6</v>
      </c>
      <c r="P77" s="101"/>
      <c r="Q77" s="65">
        <v>410.8</v>
      </c>
      <c r="R77" s="65"/>
      <c r="S77" s="65">
        <v>2875.6</v>
      </c>
      <c r="T77" s="65">
        <v>5340.0</v>
      </c>
      <c r="U77" s="101" t="s">
        <v>80</v>
      </c>
      <c r="V77" s="45">
        <v>45112.0</v>
      </c>
      <c r="W77" s="65"/>
      <c r="X77" s="101"/>
      <c r="Y77" s="45"/>
      <c r="Z77" s="65"/>
      <c r="AA77" s="101"/>
      <c r="AB77" s="45"/>
      <c r="AC77" s="65">
        <v>410.8</v>
      </c>
      <c r="AD77" s="101" t="s">
        <v>80</v>
      </c>
      <c r="AE77" s="45">
        <v>45124.0</v>
      </c>
      <c r="AF77" s="102"/>
      <c r="AG77" s="101"/>
      <c r="AH77" s="101"/>
      <c r="AI77" s="102"/>
    </row>
    <row r="78" ht="15.75" customHeight="1">
      <c r="A78" s="101" t="s">
        <v>61</v>
      </c>
      <c r="B78" s="101" t="s">
        <v>62</v>
      </c>
      <c r="C78" s="101" t="s">
        <v>63</v>
      </c>
      <c r="D78" s="101">
        <v>220094.0</v>
      </c>
      <c r="E78" s="102" t="s">
        <v>392</v>
      </c>
      <c r="F78" s="45">
        <v>45120.0</v>
      </c>
      <c r="G78" s="45">
        <v>45112.0</v>
      </c>
      <c r="H78" s="101" t="s">
        <v>83</v>
      </c>
      <c r="I78" s="101" t="s">
        <v>76</v>
      </c>
      <c r="J78" s="101">
        <v>70.0</v>
      </c>
      <c r="K78" s="65">
        <v>85.09285714</v>
      </c>
      <c r="L78" s="65">
        <v>5956.5</v>
      </c>
      <c r="M78" s="103">
        <v>0.2</v>
      </c>
      <c r="N78" s="65">
        <v>1191.3</v>
      </c>
      <c r="O78" s="65">
        <v>7147.8</v>
      </c>
      <c r="P78" s="101" t="s">
        <v>79</v>
      </c>
      <c r="Q78" s="65">
        <v>595.65</v>
      </c>
      <c r="R78" s="65">
        <v>7743.45</v>
      </c>
      <c r="S78" s="65">
        <v>4169.55</v>
      </c>
      <c r="T78" s="65">
        <v>5657.34</v>
      </c>
      <c r="U78" s="101" t="s">
        <v>80</v>
      </c>
      <c r="V78" s="45">
        <v>45113.0</v>
      </c>
      <c r="W78" s="65">
        <v>968.24</v>
      </c>
      <c r="X78" s="101" t="s">
        <v>80</v>
      </c>
      <c r="Y78" s="45">
        <v>45118.0</v>
      </c>
      <c r="Z78" s="65"/>
      <c r="AA78" s="101"/>
      <c r="AB78" s="45"/>
      <c r="AC78" s="65">
        <v>543.9</v>
      </c>
      <c r="AD78" s="101" t="s">
        <v>80</v>
      </c>
      <c r="AE78" s="45">
        <v>45125.0</v>
      </c>
      <c r="AF78" s="102"/>
      <c r="AG78" s="101"/>
      <c r="AH78" s="101"/>
      <c r="AI78" s="102"/>
    </row>
    <row r="79" ht="15.75" customHeight="1">
      <c r="A79" s="101" t="s">
        <v>242</v>
      </c>
      <c r="B79" s="101" t="s">
        <v>62</v>
      </c>
      <c r="C79" s="101"/>
      <c r="D79" s="101">
        <v>220095.0</v>
      </c>
      <c r="E79" s="102" t="s">
        <v>393</v>
      </c>
      <c r="F79" s="45">
        <v>45118.0</v>
      </c>
      <c r="G79" s="45">
        <v>45112.0</v>
      </c>
      <c r="H79" s="101" t="s">
        <v>73</v>
      </c>
      <c r="I79" s="101" t="s">
        <v>76</v>
      </c>
      <c r="J79" s="101">
        <v>15.0</v>
      </c>
      <c r="K79" s="65">
        <v>110.21</v>
      </c>
      <c r="L79" s="65">
        <v>1377.6</v>
      </c>
      <c r="M79" s="103">
        <v>0.2</v>
      </c>
      <c r="N79" s="65">
        <v>275.52</v>
      </c>
      <c r="O79" s="65">
        <v>1653.12</v>
      </c>
      <c r="P79" s="101" t="s">
        <v>84</v>
      </c>
      <c r="Q79" s="65">
        <v>137.76</v>
      </c>
      <c r="R79" s="65">
        <v>1653.12</v>
      </c>
      <c r="S79" s="65">
        <v>964.32</v>
      </c>
      <c r="T79" s="65">
        <v>1790.88</v>
      </c>
      <c r="U79" s="101" t="s">
        <v>80</v>
      </c>
      <c r="V79" s="45">
        <v>45113.0</v>
      </c>
      <c r="W79" s="65"/>
      <c r="X79" s="101"/>
      <c r="Y79" s="45"/>
      <c r="Z79" s="65"/>
      <c r="AA79" s="101"/>
      <c r="AB79" s="45"/>
      <c r="AC79" s="65">
        <v>93.26</v>
      </c>
      <c r="AD79" s="101" t="s">
        <v>80</v>
      </c>
      <c r="AE79" s="45">
        <v>45126.0</v>
      </c>
      <c r="AF79" s="102"/>
      <c r="AG79" s="101"/>
      <c r="AH79" s="101"/>
      <c r="AI79" s="102"/>
    </row>
    <row r="80" ht="15.75" customHeight="1">
      <c r="A80" s="101"/>
      <c r="B80" s="101" t="s">
        <v>62</v>
      </c>
      <c r="C80" s="101"/>
      <c r="D80" s="101"/>
      <c r="E80" s="102" t="s">
        <v>233</v>
      </c>
      <c r="F80" s="45">
        <v>45113.0</v>
      </c>
      <c r="G80" s="45">
        <v>45113.0</v>
      </c>
      <c r="H80" s="101" t="s">
        <v>83</v>
      </c>
      <c r="I80" s="101" t="s">
        <v>76</v>
      </c>
      <c r="J80" s="101">
        <v>35.0</v>
      </c>
      <c r="K80" s="65">
        <v>21.0</v>
      </c>
      <c r="L80" s="65">
        <v>735.0</v>
      </c>
      <c r="M80" s="103">
        <v>0.2</v>
      </c>
      <c r="N80" s="65">
        <v>147.0</v>
      </c>
      <c r="O80" s="65">
        <v>882.0</v>
      </c>
      <c r="P80" s="101" t="s">
        <v>84</v>
      </c>
      <c r="Q80" s="65">
        <v>73.5</v>
      </c>
      <c r="R80" s="65">
        <v>882.0</v>
      </c>
      <c r="S80" s="65">
        <v>514.5</v>
      </c>
      <c r="T80" s="65">
        <v>882.0</v>
      </c>
      <c r="U80" s="101" t="s">
        <v>85</v>
      </c>
      <c r="V80" s="45">
        <v>45124.0</v>
      </c>
      <c r="W80" s="65"/>
      <c r="X80" s="101"/>
      <c r="Y80" s="45"/>
      <c r="Z80" s="65"/>
      <c r="AA80" s="101"/>
      <c r="AB80" s="45"/>
      <c r="AC80" s="65"/>
      <c r="AD80" s="101"/>
      <c r="AE80" s="45"/>
      <c r="AF80" s="102"/>
      <c r="AG80" s="101"/>
      <c r="AH80" s="101"/>
      <c r="AI80" s="102"/>
    </row>
    <row r="81" ht="15.75" customHeight="1">
      <c r="A81" s="101" t="s">
        <v>242</v>
      </c>
      <c r="B81" s="101" t="s">
        <v>62</v>
      </c>
      <c r="C81" s="101" t="s">
        <v>251</v>
      </c>
      <c r="D81" s="101">
        <v>220097.0</v>
      </c>
      <c r="E81" s="102" t="s">
        <v>394</v>
      </c>
      <c r="F81" s="45">
        <v>45183.0</v>
      </c>
      <c r="G81" s="45">
        <v>45124.0</v>
      </c>
      <c r="H81" s="101" t="s">
        <v>73</v>
      </c>
      <c r="I81" s="101" t="s">
        <v>76</v>
      </c>
      <c r="J81" s="101">
        <v>17.0</v>
      </c>
      <c r="K81" s="65">
        <v>141.05</v>
      </c>
      <c r="L81" s="65">
        <v>1998.1</v>
      </c>
      <c r="M81" s="103">
        <v>0.2</v>
      </c>
      <c r="N81" s="65">
        <v>399.62</v>
      </c>
      <c r="O81" s="65">
        <v>2397.72</v>
      </c>
      <c r="P81" s="101" t="s">
        <v>79</v>
      </c>
      <c r="Q81" s="65">
        <v>199.81</v>
      </c>
      <c r="R81" s="65">
        <v>2597.53</v>
      </c>
      <c r="S81" s="65">
        <v>1398.67</v>
      </c>
      <c r="T81" s="65">
        <v>1398.67</v>
      </c>
      <c r="U81" s="101" t="s">
        <v>80</v>
      </c>
      <c r="V81" s="45">
        <v>45127.0</v>
      </c>
      <c r="W81" s="65">
        <v>1198.86</v>
      </c>
      <c r="X81" s="101" t="s">
        <v>80</v>
      </c>
      <c r="Y81" s="45">
        <v>45177.0</v>
      </c>
      <c r="Z81" s="65"/>
      <c r="AA81" s="101"/>
      <c r="AB81" s="45"/>
      <c r="AC81" s="65">
        <v>199.81</v>
      </c>
      <c r="AD81" s="101" t="s">
        <v>80</v>
      </c>
      <c r="AE81" s="45">
        <v>45190.0</v>
      </c>
      <c r="AF81" s="102"/>
      <c r="AG81" s="101"/>
      <c r="AH81" s="101"/>
      <c r="AI81" s="102"/>
    </row>
    <row r="82" ht="15.75" customHeight="1">
      <c r="A82" s="101" t="s">
        <v>219</v>
      </c>
      <c r="B82" s="101" t="s">
        <v>62</v>
      </c>
      <c r="C82" s="101" t="s">
        <v>63</v>
      </c>
      <c r="D82" s="101">
        <v>220098.0</v>
      </c>
      <c r="E82" s="102" t="s">
        <v>395</v>
      </c>
      <c r="F82" s="45">
        <v>45121.0</v>
      </c>
      <c r="G82" s="45">
        <v>45118.0</v>
      </c>
      <c r="H82" s="101" t="s">
        <v>73</v>
      </c>
      <c r="I82" s="101" t="s">
        <v>76</v>
      </c>
      <c r="J82" s="101">
        <v>18.0</v>
      </c>
      <c r="K82" s="65">
        <v>41.48333333</v>
      </c>
      <c r="L82" s="65">
        <v>746.7</v>
      </c>
      <c r="M82" s="103">
        <v>0.2</v>
      </c>
      <c r="N82" s="65">
        <v>149.34</v>
      </c>
      <c r="O82" s="65">
        <v>896.04</v>
      </c>
      <c r="P82" s="101" t="s">
        <v>84</v>
      </c>
      <c r="Q82" s="65">
        <v>74.67</v>
      </c>
      <c r="R82" s="65">
        <v>896.04</v>
      </c>
      <c r="S82" s="65">
        <v>522.69</v>
      </c>
      <c r="T82" s="65">
        <v>732.0</v>
      </c>
      <c r="U82" s="101" t="s">
        <v>80</v>
      </c>
      <c r="V82" s="45">
        <v>45119.0</v>
      </c>
      <c r="W82" s="65"/>
      <c r="X82" s="101"/>
      <c r="Y82" s="45"/>
      <c r="Z82" s="65"/>
      <c r="AA82" s="101"/>
      <c r="AB82" s="45"/>
      <c r="AC82" s="65"/>
      <c r="AD82" s="101"/>
      <c r="AE82" s="45"/>
      <c r="AF82" s="102"/>
      <c r="AG82" s="101"/>
      <c r="AH82" s="101"/>
      <c r="AI82" s="102"/>
    </row>
    <row r="83" ht="15.75" customHeight="1">
      <c r="A83" s="101" t="s">
        <v>242</v>
      </c>
      <c r="B83" s="101" t="s">
        <v>62</v>
      </c>
      <c r="C83" s="101" t="s">
        <v>251</v>
      </c>
      <c r="D83" s="101">
        <v>220099.0</v>
      </c>
      <c r="E83" s="102" t="s">
        <v>405</v>
      </c>
      <c r="F83" s="45">
        <v>45129.0</v>
      </c>
      <c r="G83" s="45">
        <v>45124.0</v>
      </c>
      <c r="H83" s="101" t="s">
        <v>73</v>
      </c>
      <c r="I83" s="101" t="s">
        <v>76</v>
      </c>
      <c r="J83" s="101">
        <v>35.0</v>
      </c>
      <c r="K83" s="65">
        <v>26.1</v>
      </c>
      <c r="L83" s="65">
        <v>761.0</v>
      </c>
      <c r="M83" s="103">
        <v>0.2</v>
      </c>
      <c r="N83" s="65">
        <v>152.2</v>
      </c>
      <c r="O83" s="65">
        <v>913.2</v>
      </c>
      <c r="P83" s="101" t="s">
        <v>84</v>
      </c>
      <c r="Q83" s="65">
        <v>76.1</v>
      </c>
      <c r="R83" s="65">
        <v>913.2</v>
      </c>
      <c r="S83" s="65">
        <v>532.7</v>
      </c>
      <c r="T83" s="65"/>
      <c r="U83" s="101"/>
      <c r="V83" s="45"/>
      <c r="W83" s="65"/>
      <c r="X83" s="101"/>
      <c r="Y83" s="45"/>
      <c r="Z83" s="65"/>
      <c r="AA83" s="101"/>
      <c r="AB83" s="45"/>
      <c r="AC83" s="65"/>
      <c r="AD83" s="101"/>
      <c r="AE83" s="45"/>
      <c r="AF83" s="102"/>
      <c r="AG83" s="101"/>
      <c r="AH83" s="101"/>
      <c r="AI83" s="102"/>
    </row>
    <row r="84" ht="15.75" customHeight="1">
      <c r="A84" s="101" t="s">
        <v>242</v>
      </c>
      <c r="B84" s="101" t="s">
        <v>62</v>
      </c>
      <c r="C84" s="101" t="s">
        <v>251</v>
      </c>
      <c r="D84" s="101">
        <v>220100.0</v>
      </c>
      <c r="E84" s="102" t="s">
        <v>406</v>
      </c>
      <c r="F84" s="45">
        <v>45136.0</v>
      </c>
      <c r="G84" s="45">
        <v>45126.0</v>
      </c>
      <c r="H84" s="101" t="s">
        <v>73</v>
      </c>
      <c r="I84" s="101" t="s">
        <v>76</v>
      </c>
      <c r="J84" s="101">
        <v>15.0</v>
      </c>
      <c r="K84" s="65">
        <v>78.63333333</v>
      </c>
      <c r="L84" s="65">
        <v>1179.5</v>
      </c>
      <c r="M84" s="103">
        <v>0.2</v>
      </c>
      <c r="N84" s="65">
        <v>235.9</v>
      </c>
      <c r="O84" s="65">
        <v>1415.4</v>
      </c>
      <c r="P84" s="101" t="s">
        <v>84</v>
      </c>
      <c r="Q84" s="65">
        <v>117.95</v>
      </c>
      <c r="R84" s="65">
        <v>1415.4</v>
      </c>
      <c r="S84" s="65">
        <v>825.65</v>
      </c>
      <c r="T84" s="65">
        <v>1415.4</v>
      </c>
      <c r="U84" s="101" t="s">
        <v>85</v>
      </c>
      <c r="V84" s="45"/>
      <c r="W84" s="65"/>
      <c r="X84" s="101"/>
      <c r="Y84" s="45"/>
      <c r="Z84" s="65"/>
      <c r="AA84" s="101"/>
      <c r="AB84" s="45"/>
      <c r="AC84" s="65"/>
      <c r="AD84" s="101"/>
      <c r="AE84" s="45"/>
      <c r="AF84" s="102"/>
      <c r="AG84" s="101"/>
      <c r="AH84" s="101"/>
      <c r="AI84" s="102"/>
    </row>
    <row r="85" ht="15.75" customHeight="1">
      <c r="A85" s="101" t="s">
        <v>242</v>
      </c>
      <c r="B85" s="101" t="s">
        <v>62</v>
      </c>
      <c r="C85" s="101" t="s">
        <v>251</v>
      </c>
      <c r="D85" s="101">
        <v>220101.0</v>
      </c>
      <c r="E85" s="102" t="s">
        <v>407</v>
      </c>
      <c r="F85" s="45">
        <v>45143.0</v>
      </c>
      <c r="G85" s="45">
        <v>45126.0</v>
      </c>
      <c r="H85" s="101" t="s">
        <v>73</v>
      </c>
      <c r="I85" s="101" t="s">
        <v>76</v>
      </c>
      <c r="J85" s="101">
        <v>18.0</v>
      </c>
      <c r="K85" s="65">
        <v>93.26</v>
      </c>
      <c r="L85" s="65">
        <v>1404.3</v>
      </c>
      <c r="M85" s="103">
        <v>0.2</v>
      </c>
      <c r="N85" s="65">
        <v>280.86</v>
      </c>
      <c r="O85" s="65">
        <v>1685.16</v>
      </c>
      <c r="P85" s="101" t="s">
        <v>79</v>
      </c>
      <c r="Q85" s="65">
        <v>140.43</v>
      </c>
      <c r="R85" s="65">
        <v>1825.59</v>
      </c>
      <c r="S85" s="65">
        <v>983.01</v>
      </c>
      <c r="T85" s="65">
        <v>1825.59</v>
      </c>
      <c r="U85" s="101" t="s">
        <v>80</v>
      </c>
      <c r="V85" s="45">
        <v>45132.0</v>
      </c>
      <c r="W85" s="65"/>
      <c r="X85" s="101"/>
      <c r="Y85" s="45"/>
      <c r="Z85" s="65"/>
      <c r="AA85" s="101"/>
      <c r="AB85" s="45"/>
      <c r="AC85" s="65">
        <v>102.03</v>
      </c>
      <c r="AD85" s="101" t="s">
        <v>80</v>
      </c>
      <c r="AE85" s="45">
        <v>45149.0</v>
      </c>
      <c r="AF85" s="102" t="s">
        <v>407</v>
      </c>
      <c r="AG85" s="128">
        <v>16840.0</v>
      </c>
      <c r="AH85" s="101">
        <v>3.6731187E7</v>
      </c>
      <c r="AI85" s="102" t="s">
        <v>408</v>
      </c>
    </row>
    <row r="86" ht="15.75" customHeight="1">
      <c r="A86" s="101" t="s">
        <v>219</v>
      </c>
      <c r="B86" s="101" t="s">
        <v>62</v>
      </c>
      <c r="C86" s="101" t="s">
        <v>63</v>
      </c>
      <c r="D86" s="101">
        <v>220102.0</v>
      </c>
      <c r="E86" s="102" t="s">
        <v>409</v>
      </c>
      <c r="F86" s="45"/>
      <c r="G86" s="45">
        <v>45126.0</v>
      </c>
      <c r="H86" s="101" t="s">
        <v>83</v>
      </c>
      <c r="I86" s="101" t="s">
        <v>76</v>
      </c>
      <c r="J86" s="101">
        <v>40.0</v>
      </c>
      <c r="K86" s="65">
        <v>106.65</v>
      </c>
      <c r="L86" s="65">
        <v>4266.0</v>
      </c>
      <c r="M86" s="103">
        <v>0.2</v>
      </c>
      <c r="N86" s="65">
        <v>853.2</v>
      </c>
      <c r="O86" s="65">
        <v>5119.2</v>
      </c>
      <c r="P86" s="101" t="s">
        <v>79</v>
      </c>
      <c r="Q86" s="65">
        <v>426.6</v>
      </c>
      <c r="R86" s="65">
        <v>5545.8</v>
      </c>
      <c r="S86" s="65">
        <v>2986.2</v>
      </c>
      <c r="T86" s="65">
        <v>5545.8</v>
      </c>
      <c r="U86" s="101" t="s">
        <v>85</v>
      </c>
      <c r="V86" s="45"/>
      <c r="W86" s="65"/>
      <c r="X86" s="101"/>
      <c r="Y86" s="45"/>
      <c r="Z86" s="65"/>
      <c r="AA86" s="101"/>
      <c r="AB86" s="45"/>
      <c r="AC86" s="65">
        <v>498.0</v>
      </c>
      <c r="AD86" s="101" t="s">
        <v>85</v>
      </c>
      <c r="AE86" s="45">
        <v>45171.0</v>
      </c>
      <c r="AF86" s="102"/>
      <c r="AG86" s="101"/>
      <c r="AH86" s="101"/>
      <c r="AI86" s="102" t="s">
        <v>410</v>
      </c>
    </row>
    <row r="87" ht="15.75" customHeight="1">
      <c r="A87" s="101" t="s">
        <v>242</v>
      </c>
      <c r="B87" s="101" t="s">
        <v>62</v>
      </c>
      <c r="C87" s="101" t="s">
        <v>251</v>
      </c>
      <c r="D87" s="101">
        <v>220103.0</v>
      </c>
      <c r="E87" s="102" t="s">
        <v>411</v>
      </c>
      <c r="F87" s="45">
        <v>45139.0</v>
      </c>
      <c r="G87" s="45">
        <v>45133.0</v>
      </c>
      <c r="H87" s="101" t="s">
        <v>73</v>
      </c>
      <c r="I87" s="101" t="s">
        <v>76</v>
      </c>
      <c r="J87" s="101">
        <v>50.0</v>
      </c>
      <c r="K87" s="65">
        <v>32.24</v>
      </c>
      <c r="L87" s="65">
        <v>1343.0</v>
      </c>
      <c r="M87" s="103">
        <v>0.2</v>
      </c>
      <c r="N87" s="65">
        <v>268.6</v>
      </c>
      <c r="O87" s="65">
        <v>1611.6</v>
      </c>
      <c r="P87" s="101" t="s">
        <v>84</v>
      </c>
      <c r="Q87" s="65">
        <v>134.3</v>
      </c>
      <c r="R87" s="65">
        <v>1611.6</v>
      </c>
      <c r="S87" s="65">
        <v>940.1</v>
      </c>
      <c r="T87" s="65"/>
      <c r="U87" s="101"/>
      <c r="V87" s="45"/>
      <c r="W87" s="65"/>
      <c r="X87" s="101"/>
      <c r="Y87" s="45"/>
      <c r="Z87" s="65"/>
      <c r="AA87" s="101"/>
      <c r="AB87" s="45"/>
      <c r="AC87" s="65"/>
      <c r="AD87" s="101"/>
      <c r="AE87" s="45"/>
      <c r="AF87" s="102"/>
      <c r="AG87" s="101"/>
      <c r="AH87" s="101"/>
      <c r="AI87" s="102"/>
    </row>
    <row r="88" ht="15.75" customHeight="1">
      <c r="A88" s="101" t="s">
        <v>242</v>
      </c>
      <c r="B88" s="101" t="s">
        <v>62</v>
      </c>
      <c r="C88" s="101" t="s">
        <v>251</v>
      </c>
      <c r="D88" s="101">
        <v>220104.0</v>
      </c>
      <c r="E88" s="102" t="s">
        <v>412</v>
      </c>
      <c r="F88" s="45">
        <v>45150.0</v>
      </c>
      <c r="G88" s="45">
        <v>45134.0</v>
      </c>
      <c r="H88" s="101" t="s">
        <v>83</v>
      </c>
      <c r="I88" s="101" t="s">
        <v>119</v>
      </c>
      <c r="J88" s="101">
        <v>50.0</v>
      </c>
      <c r="K88" s="65">
        <v>125.88</v>
      </c>
      <c r="L88" s="65">
        <v>5245.0</v>
      </c>
      <c r="M88" s="103">
        <v>0.2</v>
      </c>
      <c r="N88" s="65">
        <v>1049.0</v>
      </c>
      <c r="O88" s="65">
        <v>6294.0</v>
      </c>
      <c r="P88" s="101" t="s">
        <v>79</v>
      </c>
      <c r="Q88" s="65">
        <v>524.5</v>
      </c>
      <c r="R88" s="65">
        <v>6818.5</v>
      </c>
      <c r="S88" s="65">
        <v>3671.5</v>
      </c>
      <c r="T88" s="65"/>
      <c r="U88" s="101"/>
      <c r="V88" s="45"/>
      <c r="W88" s="65"/>
      <c r="X88" s="101"/>
      <c r="Y88" s="45"/>
      <c r="Z88" s="65"/>
      <c r="AA88" s="101"/>
      <c r="AB88" s="45"/>
      <c r="AC88" s="65"/>
      <c r="AD88" s="101"/>
      <c r="AE88" s="45"/>
      <c r="AF88" s="102"/>
      <c r="AG88" s="101"/>
      <c r="AH88" s="101"/>
      <c r="AI88" s="102"/>
    </row>
    <row r="89" ht="15.75" customHeight="1">
      <c r="A89" s="101" t="s">
        <v>61</v>
      </c>
      <c r="B89" s="101" t="s">
        <v>62</v>
      </c>
      <c r="C89" s="101" t="s">
        <v>301</v>
      </c>
      <c r="D89" s="101">
        <v>220105.0</v>
      </c>
      <c r="E89" s="102" t="s">
        <v>413</v>
      </c>
      <c r="F89" s="45">
        <v>45164.0</v>
      </c>
      <c r="G89" s="45">
        <v>45135.0</v>
      </c>
      <c r="H89" s="101" t="s">
        <v>73</v>
      </c>
      <c r="I89" s="101" t="s">
        <v>76</v>
      </c>
      <c r="J89" s="101">
        <v>12.0</v>
      </c>
      <c r="K89" s="65">
        <v>146.1416667</v>
      </c>
      <c r="L89" s="65">
        <v>1753.7</v>
      </c>
      <c r="M89" s="103">
        <v>0.2</v>
      </c>
      <c r="N89" s="65">
        <v>350.74</v>
      </c>
      <c r="O89" s="65">
        <v>2104.44</v>
      </c>
      <c r="P89" s="101" t="s">
        <v>79</v>
      </c>
      <c r="Q89" s="65">
        <v>175.37</v>
      </c>
      <c r="R89" s="65">
        <v>2279.81</v>
      </c>
      <c r="S89" s="65">
        <v>1227.59</v>
      </c>
      <c r="T89" s="65">
        <v>2311.01</v>
      </c>
      <c r="U89" s="101" t="s">
        <v>80</v>
      </c>
      <c r="V89" s="45">
        <v>45210.0</v>
      </c>
      <c r="W89" s="65"/>
      <c r="X89" s="101"/>
      <c r="Y89" s="45"/>
      <c r="Z89" s="65"/>
      <c r="AA89" s="101"/>
      <c r="AB89" s="45"/>
      <c r="AC89" s="65">
        <v>177.77</v>
      </c>
      <c r="AD89" s="101" t="s">
        <v>80</v>
      </c>
      <c r="AE89" s="45">
        <v>45232.0</v>
      </c>
      <c r="AF89" s="102"/>
      <c r="AG89" s="101"/>
      <c r="AH89" s="101"/>
      <c r="AI89" s="102"/>
    </row>
    <row r="90" ht="15.75" customHeight="1">
      <c r="A90" s="101" t="s">
        <v>61</v>
      </c>
      <c r="B90" s="101" t="s">
        <v>62</v>
      </c>
      <c r="C90" s="101" t="s">
        <v>301</v>
      </c>
      <c r="D90" s="101">
        <v>220106.0</v>
      </c>
      <c r="E90" s="102" t="s">
        <v>260</v>
      </c>
      <c r="F90" s="45">
        <v>45147.0</v>
      </c>
      <c r="G90" s="45">
        <v>45139.0</v>
      </c>
      <c r="H90" s="101" t="s">
        <v>83</v>
      </c>
      <c r="I90" s="101" t="s">
        <v>76</v>
      </c>
      <c r="J90" s="101">
        <v>18.0</v>
      </c>
      <c r="K90" s="65">
        <v>137.3333333</v>
      </c>
      <c r="L90" s="65">
        <v>2472.0</v>
      </c>
      <c r="M90" s="103">
        <v>0.2</v>
      </c>
      <c r="N90" s="65">
        <v>494.4</v>
      </c>
      <c r="O90" s="65">
        <v>2966.4</v>
      </c>
      <c r="P90" s="101" t="s">
        <v>79</v>
      </c>
      <c r="Q90" s="65">
        <v>247.2</v>
      </c>
      <c r="R90" s="65">
        <v>3213.6</v>
      </c>
      <c r="S90" s="65">
        <v>1730.4</v>
      </c>
      <c r="T90" s="65">
        <v>2913.95</v>
      </c>
      <c r="U90" s="101" t="s">
        <v>80</v>
      </c>
      <c r="V90" s="45">
        <v>45139.0</v>
      </c>
      <c r="W90" s="65">
        <v>276.6</v>
      </c>
      <c r="X90" s="101" t="s">
        <v>80</v>
      </c>
      <c r="Y90" s="45">
        <v>45146.0</v>
      </c>
      <c r="Z90" s="65"/>
      <c r="AA90" s="101"/>
      <c r="AB90" s="45"/>
      <c r="AC90" s="65"/>
      <c r="AD90" s="101"/>
      <c r="AE90" s="45"/>
      <c r="AF90" s="102"/>
      <c r="AG90" s="101"/>
      <c r="AH90" s="101"/>
      <c r="AI90" s="102"/>
    </row>
    <row r="91" ht="15.75" customHeight="1">
      <c r="A91" s="101" t="s">
        <v>219</v>
      </c>
      <c r="B91" s="101" t="s">
        <v>62</v>
      </c>
      <c r="C91" s="101" t="s">
        <v>251</v>
      </c>
      <c r="D91" s="101"/>
      <c r="E91" s="102" t="s">
        <v>414</v>
      </c>
      <c r="F91" s="45">
        <v>45147.0</v>
      </c>
      <c r="G91" s="45">
        <v>45139.0</v>
      </c>
      <c r="H91" s="101" t="s">
        <v>83</v>
      </c>
      <c r="I91" s="101" t="s">
        <v>76</v>
      </c>
      <c r="J91" s="101">
        <v>30.0</v>
      </c>
      <c r="K91" s="65">
        <v>76.15666667</v>
      </c>
      <c r="L91" s="65">
        <v>2284.7</v>
      </c>
      <c r="M91" s="103">
        <v>0.2</v>
      </c>
      <c r="N91" s="65">
        <v>456.94</v>
      </c>
      <c r="O91" s="65">
        <v>2741.64</v>
      </c>
      <c r="P91" s="101"/>
      <c r="Q91" s="65">
        <v>228.47</v>
      </c>
      <c r="R91" s="65"/>
      <c r="S91" s="65">
        <v>1599.29</v>
      </c>
      <c r="T91" s="65">
        <v>3015.8</v>
      </c>
      <c r="U91" s="101" t="s">
        <v>85</v>
      </c>
      <c r="V91" s="45">
        <v>45141.0</v>
      </c>
      <c r="W91" s="65"/>
      <c r="X91" s="101"/>
      <c r="Y91" s="45"/>
      <c r="Z91" s="65"/>
      <c r="AA91" s="101"/>
      <c r="AB91" s="45"/>
      <c r="AC91" s="65">
        <v>228.47</v>
      </c>
      <c r="AD91" s="101" t="s">
        <v>85</v>
      </c>
      <c r="AE91" s="45">
        <v>45171.0</v>
      </c>
      <c r="AF91" s="102" t="s">
        <v>415</v>
      </c>
      <c r="AG91" s="101">
        <v>209296.0</v>
      </c>
      <c r="AH91" s="101">
        <v>2.3215296E7</v>
      </c>
      <c r="AI91" s="102"/>
    </row>
    <row r="92" ht="15.75" customHeight="1">
      <c r="A92" s="101" t="s">
        <v>242</v>
      </c>
      <c r="B92" s="101" t="s">
        <v>62</v>
      </c>
      <c r="C92" s="101" t="s">
        <v>251</v>
      </c>
      <c r="D92" s="101">
        <v>220108.0</v>
      </c>
      <c r="E92" s="102" t="s">
        <v>416</v>
      </c>
      <c r="F92" s="45">
        <v>45146.0</v>
      </c>
      <c r="G92" s="45">
        <v>45139.0</v>
      </c>
      <c r="H92" s="101" t="s">
        <v>83</v>
      </c>
      <c r="I92" s="101" t="s">
        <v>76</v>
      </c>
      <c r="J92" s="101">
        <v>15.0</v>
      </c>
      <c r="K92" s="65">
        <v>89.36</v>
      </c>
      <c r="L92" s="65">
        <v>1117.0</v>
      </c>
      <c r="M92" s="103">
        <v>0.2</v>
      </c>
      <c r="N92" s="65">
        <v>223.4</v>
      </c>
      <c r="O92" s="65">
        <v>1340.4</v>
      </c>
      <c r="P92" s="101" t="s">
        <v>79</v>
      </c>
      <c r="Q92" s="65">
        <v>111.7</v>
      </c>
      <c r="R92" s="65">
        <v>1452.1</v>
      </c>
      <c r="S92" s="65">
        <v>781.9</v>
      </c>
      <c r="T92" s="65"/>
      <c r="U92" s="101"/>
      <c r="V92" s="45"/>
      <c r="W92" s="65"/>
      <c r="X92" s="101"/>
      <c r="Y92" s="45"/>
      <c r="Z92" s="65"/>
      <c r="AA92" s="101"/>
      <c r="AB92" s="45"/>
      <c r="AC92" s="65">
        <v>111.7</v>
      </c>
      <c r="AD92" s="101"/>
      <c r="AE92" s="45">
        <v>45170.0</v>
      </c>
      <c r="AF92" s="102" t="s">
        <v>417</v>
      </c>
      <c r="AG92" s="128">
        <v>29364.0</v>
      </c>
      <c r="AH92" s="101" t="s">
        <v>418</v>
      </c>
      <c r="AI92" s="102"/>
    </row>
    <row r="93" ht="15.75" customHeight="1">
      <c r="A93" s="101" t="s">
        <v>61</v>
      </c>
      <c r="B93" s="101" t="s">
        <v>62</v>
      </c>
      <c r="C93" s="101" t="s">
        <v>63</v>
      </c>
      <c r="D93" s="101">
        <v>220109.0</v>
      </c>
      <c r="E93" s="102" t="s">
        <v>419</v>
      </c>
      <c r="F93" s="45">
        <v>45190.0</v>
      </c>
      <c r="G93" s="45">
        <v>45140.0</v>
      </c>
      <c r="H93" s="101" t="s">
        <v>83</v>
      </c>
      <c r="I93" s="101" t="s">
        <v>76</v>
      </c>
      <c r="J93" s="101">
        <v>55.0</v>
      </c>
      <c r="K93" s="65">
        <v>76.04</v>
      </c>
      <c r="L93" s="65">
        <v>2851.25</v>
      </c>
      <c r="M93" s="103">
        <v>0.2</v>
      </c>
      <c r="N93" s="65">
        <v>570.25</v>
      </c>
      <c r="O93" s="65">
        <v>3421.5</v>
      </c>
      <c r="P93" s="101" t="s">
        <v>79</v>
      </c>
      <c r="Q93" s="65">
        <v>285.125</v>
      </c>
      <c r="R93" s="65">
        <v>3706.625</v>
      </c>
      <c r="S93" s="65">
        <v>1995.875</v>
      </c>
      <c r="T93" s="65">
        <v>3716.7</v>
      </c>
      <c r="U93" s="101" t="s">
        <v>85</v>
      </c>
      <c r="V93" s="45">
        <v>45182.0</v>
      </c>
      <c r="W93" s="65">
        <v>395.52</v>
      </c>
      <c r="X93" s="101" t="s">
        <v>85</v>
      </c>
      <c r="Y93" s="45">
        <v>45209.0</v>
      </c>
      <c r="Z93" s="65"/>
      <c r="AA93" s="101"/>
      <c r="AB93" s="45"/>
      <c r="AC93" s="65">
        <v>316.32</v>
      </c>
      <c r="AD93" s="101"/>
      <c r="AE93" s="45">
        <v>45225.0</v>
      </c>
      <c r="AF93" s="102" t="s">
        <v>420</v>
      </c>
      <c r="AG93" s="101" t="s">
        <v>421</v>
      </c>
      <c r="AH93" s="101">
        <v>1.7121523E7</v>
      </c>
      <c r="AI93" s="102"/>
    </row>
    <row r="94" ht="15.75" customHeight="1">
      <c r="A94" s="101" t="s">
        <v>61</v>
      </c>
      <c r="B94" s="101" t="s">
        <v>62</v>
      </c>
      <c r="C94" s="101" t="s">
        <v>251</v>
      </c>
      <c r="D94" s="101">
        <v>220110.0</v>
      </c>
      <c r="E94" s="102" t="s">
        <v>234</v>
      </c>
      <c r="F94" s="45">
        <v>45159.0</v>
      </c>
      <c r="G94" s="45">
        <v>45154.0</v>
      </c>
      <c r="H94" s="101" t="s">
        <v>73</v>
      </c>
      <c r="I94" s="101" t="s">
        <v>76</v>
      </c>
      <c r="J94" s="101">
        <v>44.0</v>
      </c>
      <c r="K94" s="65">
        <v>74.97727273</v>
      </c>
      <c r="L94" s="65">
        <v>3299.0</v>
      </c>
      <c r="M94" s="103">
        <v>0.2</v>
      </c>
      <c r="N94" s="65">
        <v>659.8</v>
      </c>
      <c r="O94" s="65">
        <v>3958.8</v>
      </c>
      <c r="P94" s="101" t="s">
        <v>79</v>
      </c>
      <c r="Q94" s="65">
        <v>329.9</v>
      </c>
      <c r="R94" s="65">
        <v>4288.7</v>
      </c>
      <c r="S94" s="65">
        <v>2309.3</v>
      </c>
      <c r="T94" s="65">
        <v>2854.8</v>
      </c>
      <c r="U94" s="101" t="s">
        <v>80</v>
      </c>
      <c r="V94" s="45">
        <v>45155.0</v>
      </c>
      <c r="W94" s="65"/>
      <c r="X94" s="101"/>
      <c r="Y94" s="45"/>
      <c r="Z94" s="65"/>
      <c r="AA94" s="101"/>
      <c r="AB94" s="45"/>
      <c r="AC94" s="65">
        <v>219.6</v>
      </c>
      <c r="AD94" s="101" t="s">
        <v>80</v>
      </c>
      <c r="AE94" s="45">
        <v>45176.0</v>
      </c>
      <c r="AF94" s="102"/>
      <c r="AG94" s="101"/>
      <c r="AH94" s="101"/>
      <c r="AI94" s="102"/>
    </row>
    <row r="95" ht="15.75" customHeight="1">
      <c r="A95" s="101" t="s">
        <v>242</v>
      </c>
      <c r="B95" s="101" t="s">
        <v>62</v>
      </c>
      <c r="C95" s="101" t="s">
        <v>251</v>
      </c>
      <c r="D95" s="101">
        <v>220111.0</v>
      </c>
      <c r="E95" s="102" t="s">
        <v>423</v>
      </c>
      <c r="F95" s="45">
        <v>45164.0</v>
      </c>
      <c r="G95" s="45">
        <v>45155.0</v>
      </c>
      <c r="H95" s="101" t="s">
        <v>73</v>
      </c>
      <c r="I95" s="101" t="s">
        <v>76</v>
      </c>
      <c r="J95" s="101">
        <v>18.0</v>
      </c>
      <c r="K95" s="65">
        <v>156.34</v>
      </c>
      <c r="L95" s="65">
        <v>2084.4</v>
      </c>
      <c r="M95" s="103">
        <v>0.2</v>
      </c>
      <c r="N95" s="65">
        <v>416.88</v>
      </c>
      <c r="O95" s="65">
        <v>2501.28</v>
      </c>
      <c r="P95" s="101" t="s">
        <v>79</v>
      </c>
      <c r="Q95" s="65">
        <v>208.44</v>
      </c>
      <c r="R95" s="65">
        <v>2709.72</v>
      </c>
      <c r="S95" s="65">
        <v>1459.08</v>
      </c>
      <c r="T95" s="65">
        <v>2709.72</v>
      </c>
      <c r="U95" s="101" t="s">
        <v>80</v>
      </c>
      <c r="V95" s="45">
        <v>45156.0</v>
      </c>
      <c r="W95" s="65"/>
      <c r="X95" s="101"/>
      <c r="Y95" s="45"/>
      <c r="Z95" s="65"/>
      <c r="AA95" s="101"/>
      <c r="AB95" s="45"/>
      <c r="AC95" s="65">
        <v>410.04</v>
      </c>
      <c r="AD95" s="101" t="s">
        <v>80</v>
      </c>
      <c r="AE95" s="45">
        <v>45176.0</v>
      </c>
      <c r="AF95" s="102"/>
      <c r="AG95" s="101"/>
      <c r="AH95" s="101"/>
      <c r="AI95" s="102"/>
    </row>
    <row r="96" ht="15.75" customHeight="1">
      <c r="A96" s="101" t="s">
        <v>61</v>
      </c>
      <c r="B96" s="101" t="s">
        <v>62</v>
      </c>
      <c r="C96" s="101" t="s">
        <v>63</v>
      </c>
      <c r="D96" s="101">
        <v>220112.0</v>
      </c>
      <c r="E96" s="102" t="s">
        <v>155</v>
      </c>
      <c r="F96" s="45">
        <v>45244.0</v>
      </c>
      <c r="G96" s="45">
        <v>45157.0</v>
      </c>
      <c r="H96" s="101" t="s">
        <v>73</v>
      </c>
      <c r="I96" s="101" t="s">
        <v>76</v>
      </c>
      <c r="J96" s="101">
        <v>40.0</v>
      </c>
      <c r="K96" s="65"/>
      <c r="L96" s="65">
        <v>2476.2</v>
      </c>
      <c r="M96" s="103">
        <v>0.2</v>
      </c>
      <c r="N96" s="65">
        <v>495.24</v>
      </c>
      <c r="O96" s="65">
        <v>2971.44</v>
      </c>
      <c r="P96" s="101" t="s">
        <v>79</v>
      </c>
      <c r="Q96" s="65">
        <v>247.62</v>
      </c>
      <c r="R96" s="65">
        <v>3219.06</v>
      </c>
      <c r="S96" s="65">
        <v>1733.34</v>
      </c>
      <c r="T96" s="65">
        <v>1733.34</v>
      </c>
      <c r="U96" s="101" t="s">
        <v>85</v>
      </c>
      <c r="V96" s="45">
        <v>45243.0</v>
      </c>
      <c r="W96" s="65">
        <v>1506.66</v>
      </c>
      <c r="X96" s="101" t="s">
        <v>80</v>
      </c>
      <c r="Y96" s="45"/>
      <c r="Z96" s="65"/>
      <c r="AA96" s="101"/>
      <c r="AB96" s="45"/>
      <c r="AC96" s="65">
        <v>292.38</v>
      </c>
      <c r="AD96" s="101" t="s">
        <v>80</v>
      </c>
      <c r="AE96" s="45">
        <v>45250.0</v>
      </c>
      <c r="AF96" s="102"/>
      <c r="AG96" s="101"/>
      <c r="AH96" s="101"/>
      <c r="AI96" s="102"/>
    </row>
    <row r="97" ht="15.75" customHeight="1">
      <c r="A97" s="101" t="s">
        <v>242</v>
      </c>
      <c r="B97" s="101" t="s">
        <v>62</v>
      </c>
      <c r="C97" s="101" t="s">
        <v>251</v>
      </c>
      <c r="D97" s="101"/>
      <c r="E97" s="102" t="s">
        <v>425</v>
      </c>
      <c r="F97" s="45">
        <v>45163.0</v>
      </c>
      <c r="G97" s="45">
        <v>45159.0</v>
      </c>
      <c r="H97" s="101" t="s">
        <v>73</v>
      </c>
      <c r="I97" s="101" t="s">
        <v>76</v>
      </c>
      <c r="J97" s="101">
        <v>25.0</v>
      </c>
      <c r="K97" s="65">
        <v>180.08</v>
      </c>
      <c r="L97" s="65">
        <v>4502.0</v>
      </c>
      <c r="M97" s="103">
        <v>0.2</v>
      </c>
      <c r="N97" s="65">
        <v>900.4</v>
      </c>
      <c r="O97" s="65">
        <v>5402.4</v>
      </c>
      <c r="P97" s="101" t="s">
        <v>79</v>
      </c>
      <c r="Q97" s="65">
        <v>450.2</v>
      </c>
      <c r="R97" s="65">
        <v>5852.6</v>
      </c>
      <c r="S97" s="65">
        <v>3151.4</v>
      </c>
      <c r="T97" s="65">
        <v>5852.6</v>
      </c>
      <c r="U97" s="101" t="s">
        <v>85</v>
      </c>
      <c r="V97" s="45">
        <v>45161.0</v>
      </c>
      <c r="W97" s="65"/>
      <c r="X97" s="101"/>
      <c r="Y97" s="45"/>
      <c r="Z97" s="65"/>
      <c r="AA97" s="101"/>
      <c r="AB97" s="45"/>
      <c r="AC97" s="65">
        <v>171.8</v>
      </c>
      <c r="AD97" s="101"/>
      <c r="AE97" s="45">
        <v>45211.0</v>
      </c>
      <c r="AF97" s="102" t="s">
        <v>426</v>
      </c>
      <c r="AG97" s="101" t="s">
        <v>427</v>
      </c>
      <c r="AH97" s="101">
        <v>9.2149111E7</v>
      </c>
      <c r="AI97" s="130" t="s">
        <v>428</v>
      </c>
    </row>
    <row r="98" ht="15.75" customHeight="1">
      <c r="A98" s="101" t="s">
        <v>219</v>
      </c>
      <c r="B98" s="101" t="s">
        <v>62</v>
      </c>
      <c r="C98" s="101" t="s">
        <v>63</v>
      </c>
      <c r="D98" s="101">
        <v>2200114.0</v>
      </c>
      <c r="E98" s="102" t="s">
        <v>429</v>
      </c>
      <c r="F98" s="45">
        <v>45171.0</v>
      </c>
      <c r="G98" s="45">
        <v>45159.0</v>
      </c>
      <c r="H98" s="101" t="s">
        <v>83</v>
      </c>
      <c r="I98" s="101" t="s">
        <v>76</v>
      </c>
      <c r="J98" s="101">
        <v>30.0</v>
      </c>
      <c r="K98" s="65">
        <v>78.41</v>
      </c>
      <c r="L98" s="65">
        <v>2352.3</v>
      </c>
      <c r="M98" s="103">
        <v>0.2</v>
      </c>
      <c r="N98" s="65">
        <v>470.46</v>
      </c>
      <c r="O98" s="65">
        <v>2822.76</v>
      </c>
      <c r="P98" s="101" t="s">
        <v>79</v>
      </c>
      <c r="Q98" s="65">
        <v>235.23</v>
      </c>
      <c r="R98" s="65">
        <v>3057.99</v>
      </c>
      <c r="S98" s="65">
        <v>1646.61</v>
      </c>
      <c r="T98" s="65">
        <v>3057.99</v>
      </c>
      <c r="U98" s="101"/>
      <c r="V98" s="45"/>
      <c r="W98" s="65"/>
      <c r="X98" s="101"/>
      <c r="Y98" s="45"/>
      <c r="Z98" s="65"/>
      <c r="AA98" s="101"/>
      <c r="AB98" s="45"/>
      <c r="AC98" s="65">
        <v>529.95</v>
      </c>
      <c r="AD98" s="101" t="s">
        <v>85</v>
      </c>
      <c r="AE98" s="45">
        <v>45215.0</v>
      </c>
      <c r="AF98" s="102"/>
      <c r="AG98" s="101"/>
      <c r="AH98" s="101"/>
      <c r="AI98" s="102"/>
    </row>
    <row r="99" ht="15.75" customHeight="1">
      <c r="A99" s="101" t="s">
        <v>61</v>
      </c>
      <c r="B99" s="101" t="s">
        <v>62</v>
      </c>
      <c r="C99" s="101" t="s">
        <v>251</v>
      </c>
      <c r="D99" s="101">
        <v>2200115.0</v>
      </c>
      <c r="E99" s="102" t="s">
        <v>430</v>
      </c>
      <c r="F99" s="45">
        <v>45172.0</v>
      </c>
      <c r="G99" s="45">
        <v>45167.0</v>
      </c>
      <c r="H99" s="101" t="s">
        <v>73</v>
      </c>
      <c r="I99" s="101" t="s">
        <v>76</v>
      </c>
      <c r="J99" s="101">
        <v>25.0</v>
      </c>
      <c r="K99" s="65">
        <v>102.06</v>
      </c>
      <c r="L99" s="65">
        <v>2551.5</v>
      </c>
      <c r="M99" s="103">
        <v>0.2</v>
      </c>
      <c r="N99" s="65">
        <v>510.3</v>
      </c>
      <c r="O99" s="65">
        <v>3061.8</v>
      </c>
      <c r="P99" s="101" t="s">
        <v>79</v>
      </c>
      <c r="Q99" s="65">
        <v>255.15</v>
      </c>
      <c r="R99" s="65">
        <v>3316.95</v>
      </c>
      <c r="S99" s="65">
        <v>1786.05</v>
      </c>
      <c r="T99" s="65">
        <v>3316.95</v>
      </c>
      <c r="U99" s="101" t="s">
        <v>80</v>
      </c>
      <c r="V99" s="45">
        <v>45167.0</v>
      </c>
      <c r="W99" s="65"/>
      <c r="X99" s="101"/>
      <c r="Y99" s="45"/>
      <c r="Z99" s="65"/>
      <c r="AA99" s="101"/>
      <c r="AB99" s="45"/>
      <c r="AC99" s="65">
        <v>297.99</v>
      </c>
      <c r="AD99" s="101" t="s">
        <v>80</v>
      </c>
      <c r="AE99" s="45">
        <v>45176.0</v>
      </c>
      <c r="AF99" s="102"/>
      <c r="AG99" s="101"/>
      <c r="AH99" s="101"/>
      <c r="AI99" s="102"/>
    </row>
    <row r="100" ht="15.75" customHeight="1">
      <c r="A100" s="101" t="s">
        <v>61</v>
      </c>
      <c r="B100" s="101" t="s">
        <v>62</v>
      </c>
      <c r="C100" s="101" t="s">
        <v>63</v>
      </c>
      <c r="D100" s="101">
        <v>2200116.0</v>
      </c>
      <c r="E100" s="102" t="s">
        <v>431</v>
      </c>
      <c r="F100" s="45">
        <v>45175.0</v>
      </c>
      <c r="G100" s="45">
        <v>45168.0</v>
      </c>
      <c r="H100" s="101" t="s">
        <v>83</v>
      </c>
      <c r="I100" s="101" t="s">
        <v>76</v>
      </c>
      <c r="J100" s="101">
        <v>40.0</v>
      </c>
      <c r="K100" s="65">
        <v>44.21</v>
      </c>
      <c r="L100" s="65">
        <v>1768.4</v>
      </c>
      <c r="M100" s="103">
        <v>0.2</v>
      </c>
      <c r="N100" s="65">
        <v>353.68</v>
      </c>
      <c r="O100" s="65">
        <v>2122.08</v>
      </c>
      <c r="P100" s="101" t="s">
        <v>84</v>
      </c>
      <c r="Q100" s="65">
        <v>176.84</v>
      </c>
      <c r="R100" s="65">
        <v>2122.08</v>
      </c>
      <c r="S100" s="65">
        <v>1237.88</v>
      </c>
      <c r="T100" s="65">
        <v>2122.08</v>
      </c>
      <c r="U100" s="101" t="s">
        <v>80</v>
      </c>
      <c r="V100" s="45">
        <v>45169.0</v>
      </c>
      <c r="W100" s="65"/>
      <c r="X100" s="101"/>
      <c r="Y100" s="45"/>
      <c r="Z100" s="65"/>
      <c r="AA100" s="101"/>
      <c r="AB100" s="45"/>
      <c r="AC100" s="65"/>
      <c r="AD100" s="101"/>
      <c r="AE100" s="45"/>
      <c r="AF100" s="102"/>
      <c r="AG100" s="101"/>
      <c r="AH100" s="101"/>
      <c r="AI100" s="102"/>
    </row>
    <row r="101" ht="15.75" customHeight="1">
      <c r="A101" s="101" t="s">
        <v>61</v>
      </c>
      <c r="B101" s="101" t="s">
        <v>62</v>
      </c>
      <c r="C101" s="101" t="s">
        <v>63</v>
      </c>
      <c r="D101" s="101">
        <v>2200117.0</v>
      </c>
      <c r="E101" s="102" t="s">
        <v>432</v>
      </c>
      <c r="F101" s="45">
        <v>45173.0</v>
      </c>
      <c r="G101" s="45">
        <v>45168.0</v>
      </c>
      <c r="H101" s="101" t="s">
        <v>83</v>
      </c>
      <c r="I101" s="101" t="s">
        <v>76</v>
      </c>
      <c r="J101" s="101">
        <v>30.0</v>
      </c>
      <c r="K101" s="65">
        <v>116.3066667</v>
      </c>
      <c r="L101" s="65">
        <v>3489.2</v>
      </c>
      <c r="M101" s="103">
        <v>0.2</v>
      </c>
      <c r="N101" s="65">
        <v>697.84</v>
      </c>
      <c r="O101" s="65">
        <v>4187.04</v>
      </c>
      <c r="P101" s="101" t="s">
        <v>79</v>
      </c>
      <c r="Q101" s="65">
        <v>348.92</v>
      </c>
      <c r="R101" s="65">
        <v>4535.96</v>
      </c>
      <c r="S101" s="65">
        <v>2442.44</v>
      </c>
      <c r="T101" s="65">
        <v>4535.96</v>
      </c>
      <c r="U101" s="101" t="s">
        <v>80</v>
      </c>
      <c r="V101" s="45">
        <v>45169.0</v>
      </c>
      <c r="W101" s="65"/>
      <c r="X101" s="101"/>
      <c r="Y101" s="45"/>
      <c r="Z101" s="65"/>
      <c r="AA101" s="101"/>
      <c r="AB101" s="45"/>
      <c r="AC101" s="65">
        <v>426.92</v>
      </c>
      <c r="AD101" s="101" t="s">
        <v>80</v>
      </c>
      <c r="AE101" s="45">
        <v>45181.0</v>
      </c>
      <c r="AF101" s="102"/>
      <c r="AG101" s="101"/>
      <c r="AH101" s="101"/>
      <c r="AI101" s="102"/>
    </row>
    <row r="102" ht="15.75" customHeight="1">
      <c r="A102" s="101" t="s">
        <v>61</v>
      </c>
      <c r="B102" s="101" t="s">
        <v>62</v>
      </c>
      <c r="C102" s="101" t="s">
        <v>63</v>
      </c>
      <c r="D102" s="101">
        <v>2200118.0</v>
      </c>
      <c r="E102" s="102" t="s">
        <v>298</v>
      </c>
      <c r="F102" s="45">
        <v>45174.0</v>
      </c>
      <c r="G102" s="45">
        <v>45169.0</v>
      </c>
      <c r="H102" s="101" t="s">
        <v>83</v>
      </c>
      <c r="I102" s="101" t="s">
        <v>76</v>
      </c>
      <c r="J102" s="101">
        <v>25.0</v>
      </c>
      <c r="K102" s="65">
        <v>78.68</v>
      </c>
      <c r="L102" s="65">
        <v>1967.0</v>
      </c>
      <c r="M102" s="103">
        <v>0.2</v>
      </c>
      <c r="N102" s="65">
        <v>393.4</v>
      </c>
      <c r="O102" s="65">
        <v>2360.4</v>
      </c>
      <c r="P102" s="101" t="s">
        <v>79</v>
      </c>
      <c r="Q102" s="65">
        <v>196.7</v>
      </c>
      <c r="R102" s="65">
        <v>2557.1</v>
      </c>
      <c r="S102" s="65">
        <v>1376.9</v>
      </c>
      <c r="T102" s="65">
        <v>2557.1</v>
      </c>
      <c r="U102" s="101" t="s">
        <v>80</v>
      </c>
      <c r="V102" s="45">
        <v>45170.0</v>
      </c>
      <c r="W102" s="65"/>
      <c r="X102" s="101"/>
      <c r="Y102" s="45"/>
      <c r="Z102" s="65"/>
      <c r="AA102" s="101"/>
      <c r="AB102" s="45"/>
      <c r="AC102" s="65">
        <v>196.7</v>
      </c>
      <c r="AD102" s="101" t="s">
        <v>80</v>
      </c>
      <c r="AE102" s="45">
        <v>45175.0</v>
      </c>
      <c r="AF102" s="102"/>
      <c r="AG102" s="101"/>
      <c r="AH102" s="101"/>
      <c r="AI102" s="102"/>
    </row>
    <row r="103" ht="15.75" customHeight="1">
      <c r="A103" s="101" t="s">
        <v>61</v>
      </c>
      <c r="B103" s="101" t="s">
        <v>62</v>
      </c>
      <c r="C103" s="101" t="s">
        <v>63</v>
      </c>
      <c r="D103" s="101">
        <v>2200119.0</v>
      </c>
      <c r="E103" s="102" t="s">
        <v>433</v>
      </c>
      <c r="F103" s="45">
        <v>45176.0</v>
      </c>
      <c r="G103" s="45">
        <v>45169.0</v>
      </c>
      <c r="H103" s="101" t="s">
        <v>73</v>
      </c>
      <c r="I103" s="101" t="s">
        <v>76</v>
      </c>
      <c r="J103" s="101">
        <v>1.0</v>
      </c>
      <c r="K103" s="65">
        <v>83.5</v>
      </c>
      <c r="L103" s="65">
        <v>83.5</v>
      </c>
      <c r="M103" s="103">
        <v>0.2</v>
      </c>
      <c r="N103" s="65">
        <v>16.7</v>
      </c>
      <c r="O103" s="65">
        <v>100.2</v>
      </c>
      <c r="P103" s="101" t="s">
        <v>84</v>
      </c>
      <c r="Q103" s="65">
        <v>8.35</v>
      </c>
      <c r="R103" s="65">
        <v>100.2</v>
      </c>
      <c r="S103" s="65">
        <v>58.45</v>
      </c>
      <c r="T103" s="65">
        <v>100.2</v>
      </c>
      <c r="U103" s="101" t="s">
        <v>80</v>
      </c>
      <c r="V103" s="45">
        <v>45170.0</v>
      </c>
      <c r="W103" s="65"/>
      <c r="X103" s="101"/>
      <c r="Y103" s="45"/>
      <c r="Z103" s="65"/>
      <c r="AA103" s="101"/>
      <c r="AB103" s="45"/>
      <c r="AC103" s="65"/>
      <c r="AD103" s="101"/>
      <c r="AE103" s="45"/>
      <c r="AF103" s="102"/>
      <c r="AG103" s="101"/>
      <c r="AH103" s="101"/>
      <c r="AI103" s="102"/>
    </row>
    <row r="104" ht="15.75" customHeight="1">
      <c r="A104" s="101" t="s">
        <v>61</v>
      </c>
      <c r="B104" s="101" t="s">
        <v>62</v>
      </c>
      <c r="C104" s="101" t="s">
        <v>251</v>
      </c>
      <c r="D104" s="101">
        <v>2200120.0</v>
      </c>
      <c r="E104" s="102" t="s">
        <v>434</v>
      </c>
      <c r="F104" s="45">
        <v>45178.0</v>
      </c>
      <c r="G104" s="45">
        <v>45173.0</v>
      </c>
      <c r="H104" s="101" t="s">
        <v>73</v>
      </c>
      <c r="I104" s="101" t="s">
        <v>76</v>
      </c>
      <c r="J104" s="101">
        <v>45.0</v>
      </c>
      <c r="K104" s="65">
        <v>135.5088889</v>
      </c>
      <c r="L104" s="65">
        <v>6097.9</v>
      </c>
      <c r="M104" s="103">
        <v>0.2</v>
      </c>
      <c r="N104" s="65">
        <v>1219.58</v>
      </c>
      <c r="O104" s="65">
        <v>7317.48</v>
      </c>
      <c r="P104" s="101" t="s">
        <v>79</v>
      </c>
      <c r="Q104" s="65">
        <v>609.79</v>
      </c>
      <c r="R104" s="65">
        <v>7927.27</v>
      </c>
      <c r="S104" s="65">
        <v>4268.53</v>
      </c>
      <c r="T104" s="65">
        <v>7927.27</v>
      </c>
      <c r="U104" s="101" t="s">
        <v>85</v>
      </c>
      <c r="V104" s="45">
        <v>45175.0</v>
      </c>
      <c r="W104" s="65"/>
      <c r="X104" s="101"/>
      <c r="Y104" s="45"/>
      <c r="Z104" s="65"/>
      <c r="AA104" s="101"/>
      <c r="AB104" s="45"/>
      <c r="AC104" s="65">
        <v>620.47</v>
      </c>
      <c r="AD104" s="101"/>
      <c r="AE104" s="45"/>
      <c r="AF104" s="102" t="s">
        <v>435</v>
      </c>
      <c r="AG104" s="101" t="s">
        <v>436</v>
      </c>
      <c r="AH104" s="101">
        <v>5.3506014E7</v>
      </c>
      <c r="AI104" s="102"/>
    </row>
    <row r="105" ht="15.75" customHeight="1">
      <c r="A105" s="101" t="s">
        <v>219</v>
      </c>
      <c r="B105" s="101" t="s">
        <v>62</v>
      </c>
      <c r="C105" s="101" t="s">
        <v>278</v>
      </c>
      <c r="D105" s="101">
        <v>2200121.0</v>
      </c>
      <c r="E105" s="102" t="s">
        <v>437</v>
      </c>
      <c r="F105" s="45">
        <v>45213.0</v>
      </c>
      <c r="G105" s="45">
        <v>44896.0</v>
      </c>
      <c r="H105" s="101" t="s">
        <v>73</v>
      </c>
      <c r="I105" s="101" t="s">
        <v>76</v>
      </c>
      <c r="J105" s="101">
        <v>111.0</v>
      </c>
      <c r="K105" s="65">
        <v>140.9211712</v>
      </c>
      <c r="L105" s="65">
        <v>15642.25</v>
      </c>
      <c r="M105" s="103">
        <v>0.2</v>
      </c>
      <c r="N105" s="65">
        <v>3128.45</v>
      </c>
      <c r="O105" s="65">
        <v>18770.7</v>
      </c>
      <c r="P105" s="101" t="s">
        <v>79</v>
      </c>
      <c r="Q105" s="65">
        <v>1564.225</v>
      </c>
      <c r="R105" s="65">
        <v>20334.925</v>
      </c>
      <c r="S105" s="65">
        <v>10949.575</v>
      </c>
      <c r="T105" s="65">
        <v>7409.26</v>
      </c>
      <c r="U105" s="101" t="s">
        <v>80</v>
      </c>
      <c r="V105" s="45">
        <v>45261.0</v>
      </c>
      <c r="W105" s="65">
        <v>12596.24</v>
      </c>
      <c r="X105" s="101" t="s">
        <v>80</v>
      </c>
      <c r="Y105" s="45">
        <v>45204.0</v>
      </c>
      <c r="Z105" s="65"/>
      <c r="AA105" s="101"/>
      <c r="AB105" s="45"/>
      <c r="AC105" s="65">
        <v>1234.8</v>
      </c>
      <c r="AD105" s="101"/>
      <c r="AE105" s="45"/>
      <c r="AF105" s="102"/>
      <c r="AG105" s="101"/>
      <c r="AH105" s="101"/>
      <c r="AI105" s="102"/>
    </row>
    <row r="106" ht="15.75" customHeight="1">
      <c r="A106" s="101" t="s">
        <v>61</v>
      </c>
      <c r="B106" s="101" t="s">
        <v>62</v>
      </c>
      <c r="C106" s="101" t="s">
        <v>63</v>
      </c>
      <c r="D106" s="101">
        <v>2200122.0</v>
      </c>
      <c r="E106" s="102" t="s">
        <v>438</v>
      </c>
      <c r="F106" s="45">
        <v>45189.0</v>
      </c>
      <c r="G106" s="45">
        <v>45173.0</v>
      </c>
      <c r="H106" s="101" t="s">
        <v>83</v>
      </c>
      <c r="I106" s="101" t="s">
        <v>76</v>
      </c>
      <c r="J106" s="101">
        <v>25.0</v>
      </c>
      <c r="K106" s="65">
        <v>57.23</v>
      </c>
      <c r="L106" s="65">
        <v>1430.75</v>
      </c>
      <c r="M106" s="103">
        <v>0.2</v>
      </c>
      <c r="N106" s="65">
        <v>286.15</v>
      </c>
      <c r="O106" s="65">
        <v>1716.9</v>
      </c>
      <c r="P106" s="101" t="s">
        <v>79</v>
      </c>
      <c r="Q106" s="65">
        <v>143.075</v>
      </c>
      <c r="R106" s="65">
        <v>1859.975</v>
      </c>
      <c r="S106" s="65">
        <v>1001.525</v>
      </c>
      <c r="T106" s="65">
        <v>1859.97</v>
      </c>
      <c r="U106" s="101" t="s">
        <v>85</v>
      </c>
      <c r="V106" s="45">
        <v>45177.0</v>
      </c>
      <c r="W106" s="65"/>
      <c r="X106" s="101"/>
      <c r="Y106" s="45"/>
      <c r="Z106" s="65"/>
      <c r="AA106" s="101"/>
      <c r="AB106" s="45"/>
      <c r="AC106" s="65">
        <v>253.47</v>
      </c>
      <c r="AD106" s="101"/>
      <c r="AE106" s="45">
        <v>45224.0</v>
      </c>
      <c r="AF106" s="102" t="s">
        <v>439</v>
      </c>
      <c r="AG106" s="101"/>
      <c r="AH106" s="101"/>
      <c r="AI106" s="102"/>
    </row>
    <row r="107" ht="15.75" customHeight="1">
      <c r="A107" s="101" t="s">
        <v>61</v>
      </c>
      <c r="B107" s="101" t="s">
        <v>62</v>
      </c>
      <c r="C107" s="101" t="s">
        <v>251</v>
      </c>
      <c r="D107" s="101">
        <v>2200123.0</v>
      </c>
      <c r="E107" s="102" t="s">
        <v>440</v>
      </c>
      <c r="F107" s="45">
        <v>45185.0</v>
      </c>
      <c r="G107" s="45"/>
      <c r="H107" s="101" t="s">
        <v>83</v>
      </c>
      <c r="I107" s="101" t="s">
        <v>76</v>
      </c>
      <c r="J107" s="101">
        <v>15.0</v>
      </c>
      <c r="K107" s="65">
        <v>53.54</v>
      </c>
      <c r="L107" s="65">
        <v>803.1</v>
      </c>
      <c r="M107" s="103">
        <v>0.2</v>
      </c>
      <c r="N107" s="65">
        <v>160.62</v>
      </c>
      <c r="O107" s="65">
        <v>963.72</v>
      </c>
      <c r="P107" s="101" t="s">
        <v>84</v>
      </c>
      <c r="Q107" s="65">
        <v>80.31</v>
      </c>
      <c r="R107" s="65">
        <v>963.72</v>
      </c>
      <c r="S107" s="65">
        <v>562.17</v>
      </c>
      <c r="T107" s="65">
        <v>963.72</v>
      </c>
      <c r="U107" s="101" t="s">
        <v>80</v>
      </c>
      <c r="V107" s="45">
        <v>45174.0</v>
      </c>
      <c r="W107" s="65"/>
      <c r="X107" s="101"/>
      <c r="Y107" s="45"/>
      <c r="Z107" s="65"/>
      <c r="AA107" s="101"/>
      <c r="AB107" s="45"/>
      <c r="AC107" s="65"/>
      <c r="AD107" s="101"/>
      <c r="AE107" s="45"/>
      <c r="AF107" s="102"/>
      <c r="AG107" s="101"/>
      <c r="AH107" s="101"/>
      <c r="AI107" s="102"/>
    </row>
    <row r="108" ht="15.75" customHeight="1">
      <c r="A108" s="101"/>
      <c r="B108" s="101" t="s">
        <v>62</v>
      </c>
      <c r="C108" s="101" t="s">
        <v>251</v>
      </c>
      <c r="D108" s="101"/>
      <c r="E108" s="102" t="s">
        <v>441</v>
      </c>
      <c r="F108" s="45">
        <v>45185.0</v>
      </c>
      <c r="G108" s="45">
        <v>45179.0</v>
      </c>
      <c r="H108" s="101"/>
      <c r="I108" s="101" t="s">
        <v>76</v>
      </c>
      <c r="J108" s="101">
        <v>60.0</v>
      </c>
      <c r="K108" s="65">
        <v>84.66666667</v>
      </c>
      <c r="L108" s="65">
        <v>5080.0</v>
      </c>
      <c r="M108" s="103">
        <v>0.2</v>
      </c>
      <c r="N108" s="65">
        <v>1016.0</v>
      </c>
      <c r="O108" s="65">
        <v>6096.0</v>
      </c>
      <c r="P108" s="101" t="s">
        <v>84</v>
      </c>
      <c r="Q108" s="65">
        <v>508.0</v>
      </c>
      <c r="R108" s="65">
        <v>6096.0</v>
      </c>
      <c r="S108" s="65">
        <v>3556.0</v>
      </c>
      <c r="T108" s="65">
        <v>6069.0</v>
      </c>
      <c r="U108" s="101" t="s">
        <v>80</v>
      </c>
      <c r="V108" s="45">
        <v>45182.0</v>
      </c>
      <c r="W108" s="65"/>
      <c r="X108" s="101"/>
      <c r="Y108" s="45"/>
      <c r="Z108" s="65"/>
      <c r="AA108" s="101"/>
      <c r="AB108" s="45"/>
      <c r="AC108" s="65"/>
      <c r="AD108" s="101"/>
      <c r="AE108" s="45"/>
      <c r="AF108" s="102"/>
      <c r="AG108" s="101"/>
      <c r="AH108" s="101"/>
      <c r="AI108" s="102"/>
    </row>
    <row r="109" ht="15.75" customHeight="1">
      <c r="A109" s="101" t="s">
        <v>61</v>
      </c>
      <c r="B109" s="101" t="s">
        <v>62</v>
      </c>
      <c r="C109" s="101" t="s">
        <v>63</v>
      </c>
      <c r="D109" s="101"/>
      <c r="E109" s="102" t="s">
        <v>298</v>
      </c>
      <c r="F109" s="45">
        <v>45181.0</v>
      </c>
      <c r="G109" s="45">
        <v>45180.0</v>
      </c>
      <c r="H109" s="101" t="s">
        <v>83</v>
      </c>
      <c r="I109" s="101" t="s">
        <v>76</v>
      </c>
      <c r="J109" s="101">
        <v>25.0</v>
      </c>
      <c r="K109" s="65">
        <v>78.3</v>
      </c>
      <c r="L109" s="65">
        <v>1957.5</v>
      </c>
      <c r="M109" s="103">
        <v>0.2</v>
      </c>
      <c r="N109" s="65">
        <v>391.5</v>
      </c>
      <c r="O109" s="65">
        <v>2349.0</v>
      </c>
      <c r="P109" s="101" t="s">
        <v>79</v>
      </c>
      <c r="Q109" s="65">
        <v>195.75</v>
      </c>
      <c r="R109" s="65">
        <v>2544.75</v>
      </c>
      <c r="S109" s="65">
        <v>1370.25</v>
      </c>
      <c r="T109" s="65">
        <v>2544.75</v>
      </c>
      <c r="U109" s="101" t="s">
        <v>80</v>
      </c>
      <c r="V109" s="45">
        <v>45180.0</v>
      </c>
      <c r="W109" s="65"/>
      <c r="X109" s="101"/>
      <c r="Y109" s="45"/>
      <c r="Z109" s="65"/>
      <c r="AA109" s="101"/>
      <c r="AB109" s="45"/>
      <c r="AC109" s="65">
        <v>176.55</v>
      </c>
      <c r="AD109" s="101" t="s">
        <v>80</v>
      </c>
      <c r="AE109" s="45">
        <v>45183.0</v>
      </c>
      <c r="AF109" s="102"/>
      <c r="AG109" s="101"/>
      <c r="AH109" s="101"/>
      <c r="AI109" s="102"/>
    </row>
    <row r="110" ht="15.75" customHeight="1">
      <c r="A110" s="101" t="s">
        <v>61</v>
      </c>
      <c r="B110" s="101" t="s">
        <v>62</v>
      </c>
      <c r="C110" s="101" t="s">
        <v>63</v>
      </c>
      <c r="D110" s="101"/>
      <c r="E110" s="102" t="s">
        <v>442</v>
      </c>
      <c r="F110" s="45">
        <v>45196.0</v>
      </c>
      <c r="G110" s="45">
        <v>45181.0</v>
      </c>
      <c r="H110" s="101" t="s">
        <v>73</v>
      </c>
      <c r="I110" s="101" t="s">
        <v>76</v>
      </c>
      <c r="J110" s="101">
        <v>70.0</v>
      </c>
      <c r="K110" s="65">
        <v>45.41428571</v>
      </c>
      <c r="L110" s="65">
        <v>3179.0</v>
      </c>
      <c r="M110" s="103">
        <v>0.2</v>
      </c>
      <c r="N110" s="65">
        <v>635.8</v>
      </c>
      <c r="O110" s="65">
        <v>3814.8</v>
      </c>
      <c r="P110" s="101" t="s">
        <v>79</v>
      </c>
      <c r="Q110" s="65">
        <v>317.9</v>
      </c>
      <c r="R110" s="65">
        <v>4132.7</v>
      </c>
      <c r="S110" s="65">
        <v>2225.3</v>
      </c>
      <c r="T110" s="65">
        <v>3884.4</v>
      </c>
      <c r="U110" s="101" t="s">
        <v>85</v>
      </c>
      <c r="V110" s="45">
        <v>45192.0</v>
      </c>
      <c r="W110" s="65">
        <v>312.0</v>
      </c>
      <c r="X110" s="101" t="s">
        <v>80</v>
      </c>
      <c r="Y110" s="45">
        <v>45194.0</v>
      </c>
      <c r="Z110" s="65"/>
      <c r="AA110" s="101"/>
      <c r="AB110" s="45"/>
      <c r="AC110" s="65">
        <v>298.8</v>
      </c>
      <c r="AD110" s="101" t="s">
        <v>80</v>
      </c>
      <c r="AE110" s="45">
        <v>45202.0</v>
      </c>
      <c r="AF110" s="102"/>
      <c r="AG110" s="101"/>
      <c r="AH110" s="101"/>
      <c r="AI110" s="102"/>
    </row>
    <row r="111" ht="15.75" customHeight="1">
      <c r="A111" s="101" t="s">
        <v>61</v>
      </c>
      <c r="B111" s="101" t="s">
        <v>62</v>
      </c>
      <c r="C111" s="101" t="s">
        <v>63</v>
      </c>
      <c r="D111" s="101"/>
      <c r="E111" s="102" t="s">
        <v>443</v>
      </c>
      <c r="F111" s="45">
        <v>45188.0</v>
      </c>
      <c r="G111" s="45">
        <v>45181.0</v>
      </c>
      <c r="H111" s="101" t="s">
        <v>73</v>
      </c>
      <c r="I111" s="101" t="s">
        <v>76</v>
      </c>
      <c r="J111" s="101">
        <v>20.0</v>
      </c>
      <c r="K111" s="65">
        <v>0.0</v>
      </c>
      <c r="L111" s="65">
        <v>1099.75</v>
      </c>
      <c r="M111" s="103">
        <v>0.2</v>
      </c>
      <c r="N111" s="65">
        <v>219.95</v>
      </c>
      <c r="O111" s="65">
        <v>1319.7</v>
      </c>
      <c r="P111" s="101" t="s">
        <v>84</v>
      </c>
      <c r="Q111" s="65">
        <v>109.975</v>
      </c>
      <c r="R111" s="65">
        <v>1319.7</v>
      </c>
      <c r="S111" s="65">
        <v>769.825</v>
      </c>
      <c r="T111" s="65">
        <v>1319.7</v>
      </c>
      <c r="U111" s="101" t="s">
        <v>80</v>
      </c>
      <c r="V111" s="45">
        <v>45181.0</v>
      </c>
      <c r="W111" s="65"/>
      <c r="X111" s="101"/>
      <c r="Y111" s="45"/>
      <c r="Z111" s="65"/>
      <c r="AA111" s="101"/>
      <c r="AB111" s="45"/>
      <c r="AC111" s="65"/>
      <c r="AD111" s="101"/>
      <c r="AE111" s="45"/>
      <c r="AF111" s="102"/>
      <c r="AG111" s="101"/>
      <c r="AH111" s="101"/>
      <c r="AI111" s="102"/>
    </row>
    <row r="112" ht="15.75" customHeight="1">
      <c r="A112" s="101" t="s">
        <v>61</v>
      </c>
      <c r="B112" s="101" t="s">
        <v>62</v>
      </c>
      <c r="C112" s="101" t="s">
        <v>63</v>
      </c>
      <c r="D112" s="101"/>
      <c r="E112" s="102" t="s">
        <v>263</v>
      </c>
      <c r="F112" s="45">
        <v>45190.0</v>
      </c>
      <c r="G112" s="45">
        <v>45181.0</v>
      </c>
      <c r="H112" s="101" t="s">
        <v>83</v>
      </c>
      <c r="I112" s="101" t="s">
        <v>76</v>
      </c>
      <c r="J112" s="101">
        <v>50.0</v>
      </c>
      <c r="K112" s="65">
        <v>59.041</v>
      </c>
      <c r="L112" s="65">
        <v>2952.05</v>
      </c>
      <c r="M112" s="103">
        <v>0.2</v>
      </c>
      <c r="N112" s="65">
        <v>590.41</v>
      </c>
      <c r="O112" s="65"/>
      <c r="P112" s="101" t="s">
        <v>79</v>
      </c>
      <c r="Q112" s="65">
        <v>295.205</v>
      </c>
      <c r="R112" s="65"/>
      <c r="S112" s="65">
        <v>295.205</v>
      </c>
      <c r="T112" s="65">
        <v>3837.66</v>
      </c>
      <c r="U112" s="101" t="s">
        <v>85</v>
      </c>
      <c r="V112" s="45">
        <v>45184.0</v>
      </c>
      <c r="W112" s="65"/>
      <c r="X112" s="101"/>
      <c r="Y112" s="45"/>
      <c r="Z112" s="65"/>
      <c r="AA112" s="101"/>
      <c r="AB112" s="45"/>
      <c r="AC112" s="65">
        <v>295.2</v>
      </c>
      <c r="AD112" s="101"/>
      <c r="AE112" s="45">
        <v>45211.0</v>
      </c>
      <c r="AF112" s="102" t="s">
        <v>446</v>
      </c>
      <c r="AG112" s="101"/>
      <c r="AH112" s="101"/>
      <c r="AI112" s="102"/>
    </row>
    <row r="113" ht="15.75" customHeight="1">
      <c r="A113" s="101" t="s">
        <v>61</v>
      </c>
      <c r="B113" s="101" t="s">
        <v>62</v>
      </c>
      <c r="C113" s="101" t="s">
        <v>63</v>
      </c>
      <c r="D113" s="101"/>
      <c r="E113" s="102" t="s">
        <v>447</v>
      </c>
      <c r="F113" s="45">
        <v>45189.0</v>
      </c>
      <c r="G113" s="45"/>
      <c r="H113" s="101" t="s">
        <v>73</v>
      </c>
      <c r="I113" s="101" t="s">
        <v>76</v>
      </c>
      <c r="J113" s="101">
        <v>15.0</v>
      </c>
      <c r="K113" s="65">
        <v>36.66666667</v>
      </c>
      <c r="L113" s="65">
        <v>550.0</v>
      </c>
      <c r="M113" s="103">
        <v>0.2</v>
      </c>
      <c r="N113" s="65">
        <v>110.0</v>
      </c>
      <c r="O113" s="65">
        <v>660.0</v>
      </c>
      <c r="P113" s="101" t="s">
        <v>84</v>
      </c>
      <c r="Q113" s="65">
        <v>55.0</v>
      </c>
      <c r="R113" s="65">
        <v>660.0</v>
      </c>
      <c r="S113" s="65">
        <v>385.0</v>
      </c>
      <c r="T113" s="65">
        <v>660.0</v>
      </c>
      <c r="U113" s="101" t="s">
        <v>80</v>
      </c>
      <c r="V113" s="45">
        <v>45188.0</v>
      </c>
      <c r="W113" s="65"/>
      <c r="X113" s="101"/>
      <c r="Y113" s="45"/>
      <c r="Z113" s="65"/>
      <c r="AA113" s="101"/>
      <c r="AB113" s="45"/>
      <c r="AC113" s="65"/>
      <c r="AD113" s="101"/>
      <c r="AE113" s="45"/>
      <c r="AF113" s="102"/>
      <c r="AG113" s="101"/>
      <c r="AH113" s="101"/>
      <c r="AI113" s="102"/>
    </row>
    <row r="114" ht="15.75" customHeight="1">
      <c r="A114" s="101" t="s">
        <v>219</v>
      </c>
      <c r="B114" s="101" t="s">
        <v>62</v>
      </c>
      <c r="C114" s="101" t="s">
        <v>63</v>
      </c>
      <c r="D114" s="101"/>
      <c r="E114" s="102" t="s">
        <v>448</v>
      </c>
      <c r="F114" s="45">
        <v>45206.0</v>
      </c>
      <c r="G114" s="45">
        <v>45188.0</v>
      </c>
      <c r="H114" s="101" t="s">
        <v>73</v>
      </c>
      <c r="I114" s="101" t="s">
        <v>76</v>
      </c>
      <c r="J114" s="101">
        <v>20.0</v>
      </c>
      <c r="K114" s="65">
        <v>33.6</v>
      </c>
      <c r="L114" s="65">
        <v>672.0</v>
      </c>
      <c r="M114" s="103">
        <v>0.2</v>
      </c>
      <c r="N114" s="65">
        <v>134.4</v>
      </c>
      <c r="O114" s="65">
        <v>806.4</v>
      </c>
      <c r="P114" s="101" t="s">
        <v>84</v>
      </c>
      <c r="Q114" s="65">
        <v>67.2</v>
      </c>
      <c r="R114" s="65">
        <v>806.4</v>
      </c>
      <c r="S114" s="65">
        <v>470.4</v>
      </c>
      <c r="T114" s="65"/>
      <c r="U114" s="101"/>
      <c r="V114" s="45"/>
      <c r="W114" s="65"/>
      <c r="X114" s="101"/>
      <c r="Y114" s="45"/>
      <c r="Z114" s="65"/>
      <c r="AA114" s="101"/>
      <c r="AB114" s="45"/>
      <c r="AC114" s="65"/>
      <c r="AD114" s="101"/>
      <c r="AE114" s="45"/>
      <c r="AF114" s="102"/>
      <c r="AG114" s="101"/>
      <c r="AH114" s="101"/>
      <c r="AI114" s="102"/>
    </row>
    <row r="115" ht="15.75" customHeight="1">
      <c r="A115" s="101" t="s">
        <v>61</v>
      </c>
      <c r="B115" s="101" t="s">
        <v>62</v>
      </c>
      <c r="C115" s="101" t="s">
        <v>63</v>
      </c>
      <c r="D115" s="101"/>
      <c r="E115" s="102" t="s">
        <v>449</v>
      </c>
      <c r="F115" s="45">
        <v>45195.0</v>
      </c>
      <c r="G115" s="45">
        <v>45190.0</v>
      </c>
      <c r="H115" s="101" t="s">
        <v>73</v>
      </c>
      <c r="I115" s="101" t="s">
        <v>76</v>
      </c>
      <c r="J115" s="101">
        <v>30.0</v>
      </c>
      <c r="K115" s="65">
        <v>42.15</v>
      </c>
      <c r="L115" s="65">
        <v>1264.5</v>
      </c>
      <c r="M115" s="103">
        <v>0.2</v>
      </c>
      <c r="N115" s="65">
        <v>252.9</v>
      </c>
      <c r="O115" s="65">
        <v>1517.4</v>
      </c>
      <c r="P115" s="101" t="s">
        <v>84</v>
      </c>
      <c r="Q115" s="65">
        <v>126.45</v>
      </c>
      <c r="R115" s="65">
        <v>1517.4</v>
      </c>
      <c r="S115" s="65">
        <v>885.15</v>
      </c>
      <c r="T115" s="65">
        <v>1435.8</v>
      </c>
      <c r="U115" s="101" t="s">
        <v>80</v>
      </c>
      <c r="V115" s="45">
        <v>45191.0</v>
      </c>
      <c r="W115" s="65">
        <v>129.6</v>
      </c>
      <c r="X115" s="101" t="s">
        <v>80</v>
      </c>
      <c r="Y115" s="45">
        <v>45195.0</v>
      </c>
      <c r="Z115" s="65"/>
      <c r="AA115" s="101"/>
      <c r="AB115" s="45"/>
      <c r="AC115" s="65"/>
      <c r="AD115" s="101"/>
      <c r="AE115" s="45"/>
      <c r="AF115" s="102"/>
      <c r="AG115" s="101"/>
      <c r="AH115" s="101"/>
      <c r="AI115" s="102"/>
    </row>
    <row r="116" ht="15.75" customHeight="1">
      <c r="A116" s="101" t="s">
        <v>61</v>
      </c>
      <c r="B116" s="101" t="s">
        <v>62</v>
      </c>
      <c r="C116" s="101" t="s">
        <v>251</v>
      </c>
      <c r="D116" s="101"/>
      <c r="E116" s="102" t="s">
        <v>450</v>
      </c>
      <c r="F116" s="45">
        <v>45255.0</v>
      </c>
      <c r="G116" s="45">
        <v>45190.0</v>
      </c>
      <c r="H116" s="101" t="s">
        <v>73</v>
      </c>
      <c r="I116" s="101" t="s">
        <v>76</v>
      </c>
      <c r="J116" s="101">
        <v>39.0</v>
      </c>
      <c r="K116" s="65">
        <v>95.66410256</v>
      </c>
      <c r="L116" s="65">
        <v>3730.9</v>
      </c>
      <c r="M116" s="103">
        <v>0.2</v>
      </c>
      <c r="N116" s="65">
        <v>746.18</v>
      </c>
      <c r="O116" s="65">
        <v>4477.08</v>
      </c>
      <c r="P116" s="101" t="s">
        <v>79</v>
      </c>
      <c r="Q116" s="65">
        <v>373.09</v>
      </c>
      <c r="R116" s="65">
        <v>4850.17</v>
      </c>
      <c r="S116" s="65">
        <v>2611.63</v>
      </c>
      <c r="T116" s="65">
        <v>2184.0</v>
      </c>
      <c r="U116" s="101" t="s">
        <v>85</v>
      </c>
      <c r="V116" s="45">
        <v>45197.0</v>
      </c>
      <c r="W116" s="65">
        <v>2605.08</v>
      </c>
      <c r="X116" s="101" t="s">
        <v>80</v>
      </c>
      <c r="Y116" s="45">
        <v>45249.0</v>
      </c>
      <c r="Z116" s="65"/>
      <c r="AA116" s="101"/>
      <c r="AB116" s="45"/>
      <c r="AC116" s="65">
        <v>312.0</v>
      </c>
      <c r="AD116" s="101" t="s">
        <v>80</v>
      </c>
      <c r="AE116" s="45">
        <v>45265.0</v>
      </c>
      <c r="AF116" s="102"/>
      <c r="AG116" s="101"/>
      <c r="AH116" s="101"/>
      <c r="AI116" s="102"/>
    </row>
    <row r="117" ht="15.75" customHeight="1">
      <c r="A117" s="101" t="s">
        <v>219</v>
      </c>
      <c r="B117" s="101" t="s">
        <v>62</v>
      </c>
      <c r="C117" s="101" t="s">
        <v>63</v>
      </c>
      <c r="D117" s="101">
        <v>2200133.0</v>
      </c>
      <c r="E117" s="102" t="s">
        <v>451</v>
      </c>
      <c r="F117" s="45">
        <v>45201.0</v>
      </c>
      <c r="G117" s="45">
        <v>45190.0</v>
      </c>
      <c r="H117" s="101" t="s">
        <v>73</v>
      </c>
      <c r="I117" s="101" t="s">
        <v>76</v>
      </c>
      <c r="J117" s="101">
        <v>50.0</v>
      </c>
      <c r="K117" s="65">
        <v>31.45</v>
      </c>
      <c r="L117" s="65">
        <v>1572.5</v>
      </c>
      <c r="M117" s="103">
        <v>0.2</v>
      </c>
      <c r="N117" s="65">
        <v>314.5</v>
      </c>
      <c r="O117" s="65">
        <v>1887.0</v>
      </c>
      <c r="P117" s="101" t="s">
        <v>84</v>
      </c>
      <c r="Q117" s="65">
        <v>157.25</v>
      </c>
      <c r="R117" s="65">
        <v>1887.0</v>
      </c>
      <c r="S117" s="65">
        <v>1100.75</v>
      </c>
      <c r="T117" s="65"/>
      <c r="U117" s="101"/>
      <c r="V117" s="45"/>
      <c r="W117" s="65"/>
      <c r="X117" s="101"/>
      <c r="Y117" s="45"/>
      <c r="Z117" s="65"/>
      <c r="AA117" s="101"/>
      <c r="AB117" s="45"/>
      <c r="AC117" s="65"/>
      <c r="AD117" s="101"/>
      <c r="AE117" s="45"/>
      <c r="AF117" s="102"/>
      <c r="AG117" s="101"/>
      <c r="AH117" s="101"/>
      <c r="AI117" s="102"/>
    </row>
    <row r="118" ht="15.75" customHeight="1">
      <c r="A118" s="101" t="s">
        <v>167</v>
      </c>
      <c r="B118" s="101" t="s">
        <v>62</v>
      </c>
      <c r="C118" s="101" t="s">
        <v>251</v>
      </c>
      <c r="D118" s="101">
        <v>2200134.0</v>
      </c>
      <c r="E118" s="102" t="s">
        <v>441</v>
      </c>
      <c r="F118" s="45">
        <v>45185.0</v>
      </c>
      <c r="G118" s="45">
        <v>45192.0</v>
      </c>
      <c r="H118" s="101" t="s">
        <v>83</v>
      </c>
      <c r="I118" s="101" t="s">
        <v>76</v>
      </c>
      <c r="J118" s="101">
        <v>10.0</v>
      </c>
      <c r="K118" s="65">
        <v>76.55</v>
      </c>
      <c r="L118" s="65">
        <v>765.5</v>
      </c>
      <c r="M118" s="103">
        <v>0.2</v>
      </c>
      <c r="N118" s="65">
        <v>153.1</v>
      </c>
      <c r="O118" s="65">
        <v>918.6</v>
      </c>
      <c r="P118" s="101" t="s">
        <v>84</v>
      </c>
      <c r="Q118" s="65">
        <v>76.55</v>
      </c>
      <c r="R118" s="65">
        <v>918.6</v>
      </c>
      <c r="S118" s="65">
        <v>535.85</v>
      </c>
      <c r="T118" s="65">
        <v>918.6</v>
      </c>
      <c r="U118" s="101" t="s">
        <v>80</v>
      </c>
      <c r="V118" s="45">
        <v>45194.0</v>
      </c>
      <c r="W118" s="65"/>
      <c r="X118" s="101"/>
      <c r="Y118" s="45"/>
      <c r="Z118" s="65"/>
      <c r="AA118" s="101"/>
      <c r="AB118" s="45"/>
      <c r="AC118" s="65"/>
      <c r="AD118" s="101"/>
      <c r="AE118" s="45"/>
      <c r="AF118" s="102"/>
      <c r="AG118" s="101"/>
      <c r="AH118" s="101"/>
      <c r="AI118" s="102"/>
    </row>
    <row r="119" ht="15.75" customHeight="1">
      <c r="A119" s="101" t="s">
        <v>61</v>
      </c>
      <c r="B119" s="101" t="s">
        <v>62</v>
      </c>
      <c r="C119" s="101" t="s">
        <v>63</v>
      </c>
      <c r="D119" s="101">
        <v>2200135.0</v>
      </c>
      <c r="E119" s="102" t="s">
        <v>328</v>
      </c>
      <c r="F119" s="45">
        <v>45265.0</v>
      </c>
      <c r="G119" s="45">
        <v>45194.0</v>
      </c>
      <c r="H119" s="101" t="s">
        <v>83</v>
      </c>
      <c r="I119" s="101" t="s">
        <v>119</v>
      </c>
      <c r="J119" s="101">
        <v>30.0</v>
      </c>
      <c r="K119" s="65">
        <v>136.3166667</v>
      </c>
      <c r="L119" s="65">
        <v>4089.5</v>
      </c>
      <c r="M119" s="103">
        <v>0.2</v>
      </c>
      <c r="N119" s="65">
        <v>817.9</v>
      </c>
      <c r="O119" s="65">
        <v>4907.4</v>
      </c>
      <c r="P119" s="101" t="s">
        <v>79</v>
      </c>
      <c r="Q119" s="65">
        <v>408.95</v>
      </c>
      <c r="R119" s="65">
        <v>5316.35</v>
      </c>
      <c r="S119" s="65">
        <v>2862.65</v>
      </c>
      <c r="T119" s="65"/>
      <c r="U119" s="101"/>
      <c r="V119" s="45"/>
      <c r="W119" s="65"/>
      <c r="X119" s="101"/>
      <c r="Y119" s="45"/>
      <c r="Z119" s="65"/>
      <c r="AA119" s="101"/>
      <c r="AB119" s="45"/>
      <c r="AC119" s="65"/>
      <c r="AD119" s="101"/>
      <c r="AE119" s="45"/>
      <c r="AF119" s="102"/>
      <c r="AG119" s="101"/>
      <c r="AH119" s="101"/>
      <c r="AI119" s="102"/>
    </row>
    <row r="120" ht="15.75" customHeight="1">
      <c r="A120" s="101" t="s">
        <v>61</v>
      </c>
      <c r="B120" s="101" t="s">
        <v>62</v>
      </c>
      <c r="C120" s="101" t="s">
        <v>63</v>
      </c>
      <c r="D120" s="101">
        <v>2200136.0</v>
      </c>
      <c r="E120" s="102" t="s">
        <v>452</v>
      </c>
      <c r="F120" s="45">
        <v>45208.0</v>
      </c>
      <c r="G120" s="45">
        <v>45196.0</v>
      </c>
      <c r="H120" s="101" t="s">
        <v>73</v>
      </c>
      <c r="I120" s="101" t="s">
        <v>76</v>
      </c>
      <c r="J120" s="101">
        <v>20.0</v>
      </c>
      <c r="K120" s="65">
        <v>30.9</v>
      </c>
      <c r="L120" s="65">
        <v>618.0</v>
      </c>
      <c r="M120" s="103">
        <v>0.2</v>
      </c>
      <c r="N120" s="65">
        <v>123.6</v>
      </c>
      <c r="O120" s="65">
        <v>741.6</v>
      </c>
      <c r="P120" s="101" t="s">
        <v>84</v>
      </c>
      <c r="Q120" s="65">
        <v>61.8</v>
      </c>
      <c r="R120" s="65">
        <v>741.6</v>
      </c>
      <c r="S120" s="65">
        <v>432.6</v>
      </c>
      <c r="T120" s="65">
        <v>741.6</v>
      </c>
      <c r="U120" s="101" t="s">
        <v>85</v>
      </c>
      <c r="V120" s="45">
        <v>45204.0</v>
      </c>
      <c r="W120" s="65"/>
      <c r="X120" s="101"/>
      <c r="Y120" s="45"/>
      <c r="Z120" s="65"/>
      <c r="AA120" s="101"/>
      <c r="AB120" s="45"/>
      <c r="AC120" s="65"/>
      <c r="AD120" s="101"/>
      <c r="AE120" s="45"/>
      <c r="AF120" s="102"/>
      <c r="AG120" s="101"/>
      <c r="AH120" s="101"/>
      <c r="AI120" s="102"/>
    </row>
    <row r="121" ht="15.75" customHeight="1">
      <c r="A121" s="101" t="s">
        <v>61</v>
      </c>
      <c r="B121" s="101" t="s">
        <v>62</v>
      </c>
      <c r="C121" s="101" t="s">
        <v>63</v>
      </c>
      <c r="D121" s="101">
        <v>2200137.0</v>
      </c>
      <c r="E121" s="102" t="s">
        <v>453</v>
      </c>
      <c r="F121" s="45">
        <v>45274.0</v>
      </c>
      <c r="G121" s="45">
        <v>45196.0</v>
      </c>
      <c r="H121" s="101" t="s">
        <v>83</v>
      </c>
      <c r="I121" s="101" t="s">
        <v>76</v>
      </c>
      <c r="J121" s="101">
        <v>23.0</v>
      </c>
      <c r="K121" s="65">
        <v>93.36086957</v>
      </c>
      <c r="L121" s="65">
        <v>2147.3</v>
      </c>
      <c r="M121" s="103">
        <v>0.2</v>
      </c>
      <c r="N121" s="65">
        <v>429.46</v>
      </c>
      <c r="O121" s="65">
        <v>2576.76</v>
      </c>
      <c r="P121" s="101" t="s">
        <v>79</v>
      </c>
      <c r="Q121" s="65">
        <v>214.73</v>
      </c>
      <c r="R121" s="65">
        <v>2791.49</v>
      </c>
      <c r="S121" s="65">
        <v>1503.11</v>
      </c>
      <c r="T121" s="65">
        <v>1481.41</v>
      </c>
      <c r="U121" s="101" t="s">
        <v>85</v>
      </c>
      <c r="V121" s="45">
        <v>45209.0</v>
      </c>
      <c r="W121" s="65">
        <v>1306.98</v>
      </c>
      <c r="X121" s="101" t="s">
        <v>85</v>
      </c>
      <c r="Y121" s="45">
        <v>45251.0</v>
      </c>
      <c r="Z121" s="65"/>
      <c r="AA121" s="101"/>
      <c r="AB121" s="45"/>
      <c r="AC121" s="65">
        <v>211.63</v>
      </c>
      <c r="AD121" s="101"/>
      <c r="AE121" s="45">
        <v>45279.0</v>
      </c>
      <c r="AF121" s="102" t="s">
        <v>454</v>
      </c>
      <c r="AG121" s="101" t="s">
        <v>379</v>
      </c>
      <c r="AH121" s="101">
        <v>1.1369237E7</v>
      </c>
      <c r="AI121" s="102"/>
    </row>
    <row r="122" ht="15.75" customHeight="1">
      <c r="A122" s="101" t="s">
        <v>61</v>
      </c>
      <c r="B122" s="101" t="s">
        <v>62</v>
      </c>
      <c r="C122" s="101" t="s">
        <v>63</v>
      </c>
      <c r="D122" s="101">
        <v>2200138.0</v>
      </c>
      <c r="E122" s="102" t="s">
        <v>455</v>
      </c>
      <c r="F122" s="45">
        <v>45211.0</v>
      </c>
      <c r="G122" s="45">
        <v>45202.0</v>
      </c>
      <c r="H122" s="101" t="s">
        <v>73</v>
      </c>
      <c r="I122" s="101" t="s">
        <v>76</v>
      </c>
      <c r="J122" s="101">
        <v>100.0</v>
      </c>
      <c r="K122" s="65">
        <v>25.542</v>
      </c>
      <c r="L122" s="65">
        <v>2554.2</v>
      </c>
      <c r="M122" s="103">
        <v>0.2</v>
      </c>
      <c r="N122" s="65">
        <v>510.84</v>
      </c>
      <c r="O122" s="65">
        <v>3065.04</v>
      </c>
      <c r="P122" s="101" t="s">
        <v>79</v>
      </c>
      <c r="Q122" s="65">
        <v>255.42</v>
      </c>
      <c r="R122" s="65">
        <v>3320.46</v>
      </c>
      <c r="S122" s="65">
        <v>1787.94</v>
      </c>
      <c r="T122" s="65">
        <v>3102.06</v>
      </c>
      <c r="U122" s="101" t="s">
        <v>80</v>
      </c>
      <c r="V122" s="45">
        <v>45202.0</v>
      </c>
      <c r="W122" s="65">
        <v>201.6</v>
      </c>
      <c r="X122" s="101" t="s">
        <v>80</v>
      </c>
      <c r="Y122" s="45">
        <v>45209.0</v>
      </c>
      <c r="Z122" s="65"/>
      <c r="AA122" s="101"/>
      <c r="AB122" s="45"/>
      <c r="AC122" s="65">
        <v>172.62</v>
      </c>
      <c r="AD122" s="101" t="s">
        <v>80</v>
      </c>
      <c r="AE122" s="45">
        <v>45215.0</v>
      </c>
      <c r="AF122" s="102"/>
      <c r="AG122" s="101"/>
      <c r="AH122" s="101"/>
      <c r="AI122" s="102"/>
    </row>
    <row r="123" ht="15.75" customHeight="1">
      <c r="A123" s="101" t="s">
        <v>61</v>
      </c>
      <c r="B123" s="101" t="s">
        <v>62</v>
      </c>
      <c r="C123" s="101" t="s">
        <v>63</v>
      </c>
      <c r="D123" s="101">
        <v>2200139.0</v>
      </c>
      <c r="E123" s="102" t="s">
        <v>456</v>
      </c>
      <c r="F123" s="45">
        <v>45211.0</v>
      </c>
      <c r="G123" s="45">
        <v>45203.0</v>
      </c>
      <c r="H123" s="101" t="s">
        <v>73</v>
      </c>
      <c r="I123" s="101" t="s">
        <v>76</v>
      </c>
      <c r="J123" s="101">
        <v>100.0</v>
      </c>
      <c r="K123" s="65">
        <v>18.4</v>
      </c>
      <c r="L123" s="65">
        <v>1840.0</v>
      </c>
      <c r="M123" s="103">
        <v>0.2</v>
      </c>
      <c r="N123" s="65">
        <v>368.0</v>
      </c>
      <c r="O123" s="65">
        <v>2208.0</v>
      </c>
      <c r="P123" s="101" t="s">
        <v>84</v>
      </c>
      <c r="Q123" s="65">
        <v>184.0</v>
      </c>
      <c r="R123" s="65">
        <v>2208.0</v>
      </c>
      <c r="S123" s="65">
        <v>1288.0</v>
      </c>
      <c r="T123" s="65">
        <v>2208.0</v>
      </c>
      <c r="U123" s="101" t="s">
        <v>80</v>
      </c>
      <c r="V123" s="45">
        <v>45208.0</v>
      </c>
      <c r="W123" s="65"/>
      <c r="X123" s="101"/>
      <c r="Y123" s="45"/>
      <c r="Z123" s="65"/>
      <c r="AA123" s="101"/>
      <c r="AB123" s="45"/>
      <c r="AC123" s="65"/>
      <c r="AD123" s="101"/>
      <c r="AE123" s="45"/>
      <c r="AF123" s="102"/>
      <c r="AG123" s="101"/>
      <c r="AH123" s="101"/>
      <c r="AI123" s="102"/>
    </row>
    <row r="124" ht="15.75" customHeight="1">
      <c r="A124" s="101" t="s">
        <v>61</v>
      </c>
      <c r="B124" s="101" t="s">
        <v>62</v>
      </c>
      <c r="C124" s="101" t="s">
        <v>63</v>
      </c>
      <c r="D124" s="101">
        <v>2200140.0</v>
      </c>
      <c r="E124" s="102" t="s">
        <v>457</v>
      </c>
      <c r="F124" s="45">
        <v>45208.0</v>
      </c>
      <c r="G124" s="45">
        <v>45203.0</v>
      </c>
      <c r="H124" s="101" t="s">
        <v>83</v>
      </c>
      <c r="I124" s="101" t="s">
        <v>76</v>
      </c>
      <c r="J124" s="101">
        <v>2.0</v>
      </c>
      <c r="K124" s="65">
        <v>52.15</v>
      </c>
      <c r="L124" s="65">
        <v>104.3</v>
      </c>
      <c r="M124" s="103">
        <v>0.2</v>
      </c>
      <c r="N124" s="65">
        <v>20.86</v>
      </c>
      <c r="O124" s="65">
        <v>125.16</v>
      </c>
      <c r="P124" s="101" t="s">
        <v>84</v>
      </c>
      <c r="Q124" s="65">
        <v>10.43</v>
      </c>
      <c r="R124" s="65">
        <v>125.16</v>
      </c>
      <c r="S124" s="65">
        <v>73.01</v>
      </c>
      <c r="T124" s="65">
        <v>125.16</v>
      </c>
      <c r="U124" s="101" t="s">
        <v>80</v>
      </c>
      <c r="V124" s="45">
        <v>45204.0</v>
      </c>
      <c r="W124" s="65"/>
      <c r="X124" s="101"/>
      <c r="Y124" s="45"/>
      <c r="Z124" s="65"/>
      <c r="AA124" s="101"/>
      <c r="AB124" s="45"/>
      <c r="AC124" s="65"/>
      <c r="AD124" s="101"/>
      <c r="AE124" s="45"/>
      <c r="AF124" s="102"/>
      <c r="AG124" s="101"/>
      <c r="AH124" s="101"/>
      <c r="AI124" s="102"/>
    </row>
    <row r="125" ht="15.75" customHeight="1">
      <c r="A125" s="101" t="s">
        <v>219</v>
      </c>
      <c r="B125" s="101" t="s">
        <v>62</v>
      </c>
      <c r="C125" s="101" t="s">
        <v>63</v>
      </c>
      <c r="D125" s="101"/>
      <c r="E125" s="102" t="s">
        <v>458</v>
      </c>
      <c r="F125" s="45">
        <v>45210.0</v>
      </c>
      <c r="G125" s="45">
        <v>45203.0</v>
      </c>
      <c r="H125" s="101" t="s">
        <v>73</v>
      </c>
      <c r="I125" s="101" t="s">
        <v>76</v>
      </c>
      <c r="J125" s="101">
        <v>60.0</v>
      </c>
      <c r="K125" s="65">
        <v>14.2</v>
      </c>
      <c r="L125" s="65">
        <v>852.0</v>
      </c>
      <c r="M125" s="103">
        <v>0.2</v>
      </c>
      <c r="N125" s="65">
        <v>170.4</v>
      </c>
      <c r="O125" s="65">
        <v>1022.4</v>
      </c>
      <c r="P125" s="101" t="s">
        <v>84</v>
      </c>
      <c r="Q125" s="65">
        <v>85.2</v>
      </c>
      <c r="R125" s="65">
        <v>1022.4</v>
      </c>
      <c r="S125" s="65">
        <v>596.4</v>
      </c>
      <c r="T125" s="65"/>
      <c r="U125" s="101"/>
      <c r="V125" s="45"/>
      <c r="W125" s="65"/>
      <c r="X125" s="101"/>
      <c r="Y125" s="45"/>
      <c r="Z125" s="65"/>
      <c r="AA125" s="101"/>
      <c r="AB125" s="45"/>
      <c r="AC125" s="65"/>
      <c r="AD125" s="101"/>
      <c r="AE125" s="45"/>
      <c r="AF125" s="102"/>
      <c r="AG125" s="101"/>
      <c r="AH125" s="101"/>
      <c r="AI125" s="102"/>
    </row>
    <row r="126" ht="15.75" customHeight="1">
      <c r="A126" s="101" t="s">
        <v>61</v>
      </c>
      <c r="B126" s="101" t="s">
        <v>62</v>
      </c>
      <c r="C126" s="101" t="s">
        <v>63</v>
      </c>
      <c r="D126" s="101"/>
      <c r="E126" s="102" t="s">
        <v>459</v>
      </c>
      <c r="F126" s="45">
        <v>45218.0</v>
      </c>
      <c r="G126" s="45">
        <v>45209.0</v>
      </c>
      <c r="H126" s="101" t="s">
        <v>73</v>
      </c>
      <c r="I126" s="101" t="s">
        <v>76</v>
      </c>
      <c r="J126" s="101">
        <v>14.0</v>
      </c>
      <c r="K126" s="65">
        <v>159.3071429</v>
      </c>
      <c r="L126" s="65">
        <v>2230.3</v>
      </c>
      <c r="M126" s="103">
        <v>0.2</v>
      </c>
      <c r="N126" s="65">
        <v>446.06</v>
      </c>
      <c r="O126" s="65">
        <v>2676.36</v>
      </c>
      <c r="P126" s="101" t="s">
        <v>84</v>
      </c>
      <c r="Q126" s="65">
        <v>223.03</v>
      </c>
      <c r="R126" s="65">
        <v>2676.36</v>
      </c>
      <c r="S126" s="65">
        <v>1561.21</v>
      </c>
      <c r="T126" s="65">
        <v>2899.39</v>
      </c>
      <c r="U126" s="101" t="s">
        <v>85</v>
      </c>
      <c r="V126" s="45">
        <v>45210.0</v>
      </c>
      <c r="W126" s="65"/>
      <c r="X126" s="101"/>
      <c r="Y126" s="45"/>
      <c r="Z126" s="65"/>
      <c r="AA126" s="101"/>
      <c r="AB126" s="45"/>
      <c r="AC126" s="65">
        <v>223.03</v>
      </c>
      <c r="AD126" s="101" t="s">
        <v>85</v>
      </c>
      <c r="AE126" s="45">
        <v>45236.0</v>
      </c>
      <c r="AF126" s="102" t="s">
        <v>459</v>
      </c>
      <c r="AG126" s="101" t="s">
        <v>460</v>
      </c>
      <c r="AH126" s="101">
        <v>1.3941879E7</v>
      </c>
      <c r="AI126" s="102"/>
    </row>
    <row r="127" ht="15.75" customHeight="1">
      <c r="A127" s="101" t="s">
        <v>61</v>
      </c>
      <c r="B127" s="101" t="s">
        <v>62</v>
      </c>
      <c r="C127" s="101" t="s">
        <v>63</v>
      </c>
      <c r="D127" s="101"/>
      <c r="E127" s="102" t="s">
        <v>171</v>
      </c>
      <c r="F127" s="45">
        <v>45225.0</v>
      </c>
      <c r="G127" s="45">
        <v>45209.0</v>
      </c>
      <c r="H127" s="101" t="s">
        <v>73</v>
      </c>
      <c r="I127" s="101" t="s">
        <v>76</v>
      </c>
      <c r="J127" s="101">
        <v>80.0</v>
      </c>
      <c r="K127" s="65">
        <v>40.485</v>
      </c>
      <c r="L127" s="65">
        <v>3238.8</v>
      </c>
      <c r="M127" s="103">
        <v>0.2</v>
      </c>
      <c r="N127" s="65">
        <v>647.76</v>
      </c>
      <c r="O127" s="65">
        <v>3886.56</v>
      </c>
      <c r="P127" s="101" t="s">
        <v>79</v>
      </c>
      <c r="Q127" s="65">
        <v>323.88</v>
      </c>
      <c r="R127" s="65">
        <v>4210.44</v>
      </c>
      <c r="S127" s="65">
        <v>2267.16</v>
      </c>
      <c r="T127" s="65">
        <v>4210.44</v>
      </c>
      <c r="U127" s="101" t="s">
        <v>85</v>
      </c>
      <c r="V127" s="45"/>
      <c r="W127" s="65"/>
      <c r="X127" s="101"/>
      <c r="Y127" s="45"/>
      <c r="Z127" s="65"/>
      <c r="AA127" s="101"/>
      <c r="AB127" s="45"/>
      <c r="AC127" s="65">
        <v>409.32</v>
      </c>
      <c r="AD127" s="101" t="s">
        <v>85</v>
      </c>
      <c r="AE127" s="45">
        <v>45236.0</v>
      </c>
      <c r="AF127" s="102" t="s">
        <v>461</v>
      </c>
      <c r="AG127" s="128">
        <v>29364.0</v>
      </c>
      <c r="AH127" s="101">
        <v>1.8260492E7</v>
      </c>
      <c r="AI127" s="102"/>
    </row>
    <row r="128" ht="15.75" customHeight="1">
      <c r="A128" s="101" t="s">
        <v>219</v>
      </c>
      <c r="B128" s="101" t="s">
        <v>62</v>
      </c>
      <c r="C128" s="101" t="s">
        <v>63</v>
      </c>
      <c r="D128" s="101">
        <v>2200144.0</v>
      </c>
      <c r="E128" s="102" t="s">
        <v>462</v>
      </c>
      <c r="F128" s="45">
        <v>45217.0</v>
      </c>
      <c r="G128" s="45">
        <v>45209.0</v>
      </c>
      <c r="H128" s="101" t="s">
        <v>73</v>
      </c>
      <c r="I128" s="101" t="s">
        <v>76</v>
      </c>
      <c r="J128" s="101">
        <v>16.0</v>
      </c>
      <c r="K128" s="65">
        <v>76.8625</v>
      </c>
      <c r="L128" s="65">
        <v>1229.8</v>
      </c>
      <c r="M128" s="103">
        <v>0.2</v>
      </c>
      <c r="N128" s="65">
        <v>245.96</v>
      </c>
      <c r="O128" s="65">
        <v>1475.76</v>
      </c>
      <c r="P128" s="101" t="s">
        <v>79</v>
      </c>
      <c r="Q128" s="65">
        <v>122.98</v>
      </c>
      <c r="R128" s="65">
        <v>1598.74</v>
      </c>
      <c r="S128" s="65">
        <v>860.86</v>
      </c>
      <c r="T128" s="65">
        <v>1598.74</v>
      </c>
      <c r="U128" s="101" t="s">
        <v>80</v>
      </c>
      <c r="V128" s="45"/>
      <c r="W128" s="65"/>
      <c r="X128" s="101"/>
      <c r="Y128" s="45"/>
      <c r="Z128" s="65"/>
      <c r="AA128" s="101"/>
      <c r="AB128" s="45"/>
      <c r="AC128" s="65">
        <v>283.78</v>
      </c>
      <c r="AD128" s="101" t="s">
        <v>80</v>
      </c>
      <c r="AE128" s="45">
        <v>45219.0</v>
      </c>
      <c r="AF128" s="102"/>
      <c r="AG128" s="101"/>
      <c r="AH128" s="101"/>
      <c r="AI128" s="102"/>
    </row>
    <row r="129" ht="15.75" customHeight="1">
      <c r="A129" s="101" t="s">
        <v>167</v>
      </c>
      <c r="B129" s="101" t="s">
        <v>62</v>
      </c>
      <c r="C129" s="101" t="s">
        <v>63</v>
      </c>
      <c r="D129" s="101">
        <v>2200145.0</v>
      </c>
      <c r="E129" s="102" t="s">
        <v>147</v>
      </c>
      <c r="F129" s="45">
        <v>44846.0</v>
      </c>
      <c r="G129" s="45">
        <v>44846.0</v>
      </c>
      <c r="H129" s="101" t="s">
        <v>83</v>
      </c>
      <c r="I129" s="101" t="s">
        <v>76</v>
      </c>
      <c r="J129" s="101">
        <v>31.0</v>
      </c>
      <c r="K129" s="65">
        <v>29.51612903</v>
      </c>
      <c r="L129" s="65">
        <v>915.0</v>
      </c>
      <c r="M129" s="103">
        <v>0.2</v>
      </c>
      <c r="N129" s="65">
        <v>183.0</v>
      </c>
      <c r="O129" s="65">
        <v>1098.0</v>
      </c>
      <c r="P129" s="101" t="s">
        <v>84</v>
      </c>
      <c r="Q129" s="65">
        <v>91.5</v>
      </c>
      <c r="R129" s="65">
        <v>1098.0</v>
      </c>
      <c r="S129" s="65">
        <v>640.5</v>
      </c>
      <c r="T129" s="65">
        <v>1098.0</v>
      </c>
      <c r="U129" s="101" t="s">
        <v>85</v>
      </c>
      <c r="V129" s="45">
        <v>45244.0</v>
      </c>
      <c r="W129" s="65"/>
      <c r="X129" s="101"/>
      <c r="Y129" s="45"/>
      <c r="Z129" s="65"/>
      <c r="AA129" s="101"/>
      <c r="AB129" s="45"/>
      <c r="AC129" s="65"/>
      <c r="AD129" s="101"/>
      <c r="AE129" s="45"/>
      <c r="AF129" s="102"/>
      <c r="AG129" s="101"/>
      <c r="AH129" s="101"/>
      <c r="AI129" s="102"/>
    </row>
    <row r="130" ht="15.75" customHeight="1">
      <c r="A130" s="101" t="s">
        <v>167</v>
      </c>
      <c r="B130" s="101" t="s">
        <v>62</v>
      </c>
      <c r="C130" s="101" t="s">
        <v>63</v>
      </c>
      <c r="D130" s="101">
        <v>2200146.0</v>
      </c>
      <c r="E130" s="102" t="s">
        <v>463</v>
      </c>
      <c r="F130" s="45">
        <v>45211.0</v>
      </c>
      <c r="G130" s="45">
        <v>45211.0</v>
      </c>
      <c r="H130" s="101" t="s">
        <v>83</v>
      </c>
      <c r="I130" s="101" t="s">
        <v>76</v>
      </c>
      <c r="J130" s="101">
        <v>1.0</v>
      </c>
      <c r="K130" s="65">
        <v>1150.64</v>
      </c>
      <c r="L130" s="65">
        <v>1150.64</v>
      </c>
      <c r="M130" s="103">
        <v>0.0</v>
      </c>
      <c r="N130" s="65">
        <v>0.0</v>
      </c>
      <c r="O130" s="65">
        <v>1150.64</v>
      </c>
      <c r="P130" s="101" t="s">
        <v>84</v>
      </c>
      <c r="Q130" s="65">
        <v>115.064</v>
      </c>
      <c r="R130" s="65">
        <v>1150.64</v>
      </c>
      <c r="S130" s="65">
        <v>690.384</v>
      </c>
      <c r="T130" s="65"/>
      <c r="U130" s="101"/>
      <c r="V130" s="45"/>
      <c r="W130" s="65"/>
      <c r="X130" s="101"/>
      <c r="Y130" s="45"/>
      <c r="Z130" s="65"/>
      <c r="AA130" s="101"/>
      <c r="AB130" s="45"/>
      <c r="AC130" s="65"/>
      <c r="AD130" s="101"/>
      <c r="AE130" s="45"/>
      <c r="AF130" s="102"/>
      <c r="AG130" s="101"/>
      <c r="AH130" s="101"/>
      <c r="AI130" s="102"/>
    </row>
    <row r="131" ht="15.75" customHeight="1">
      <c r="A131" s="101" t="s">
        <v>219</v>
      </c>
      <c r="B131" s="101" t="s">
        <v>62</v>
      </c>
      <c r="C131" s="101" t="s">
        <v>63</v>
      </c>
      <c r="D131" s="101">
        <v>2200147.0</v>
      </c>
      <c r="E131" s="102" t="s">
        <v>464</v>
      </c>
      <c r="F131" s="45">
        <v>45217.0</v>
      </c>
      <c r="G131" s="45">
        <v>45212.0</v>
      </c>
      <c r="H131" s="101" t="s">
        <v>73</v>
      </c>
      <c r="I131" s="101" t="s">
        <v>119</v>
      </c>
      <c r="J131" s="101">
        <v>45.0</v>
      </c>
      <c r="K131" s="65">
        <v>40.25</v>
      </c>
      <c r="L131" s="65">
        <v>1811.25</v>
      </c>
      <c r="M131" s="103">
        <v>0.2</v>
      </c>
      <c r="N131" s="65">
        <v>362.25</v>
      </c>
      <c r="O131" s="65">
        <v>2173.5</v>
      </c>
      <c r="P131" s="101"/>
      <c r="Q131" s="65">
        <v>181.125</v>
      </c>
      <c r="R131" s="65"/>
      <c r="S131" s="65">
        <v>1267.875</v>
      </c>
      <c r="T131" s="65"/>
      <c r="U131" s="101"/>
      <c r="V131" s="45"/>
      <c r="W131" s="65"/>
      <c r="X131" s="101"/>
      <c r="Y131" s="45"/>
      <c r="Z131" s="65"/>
      <c r="AA131" s="101"/>
      <c r="AB131" s="45"/>
      <c r="AC131" s="65"/>
      <c r="AD131" s="101"/>
      <c r="AE131" s="45"/>
      <c r="AF131" s="102"/>
      <c r="AG131" s="101"/>
      <c r="AH131" s="101"/>
      <c r="AI131" s="102"/>
    </row>
    <row r="132" ht="15.75" customHeight="1">
      <c r="A132" s="101" t="s">
        <v>61</v>
      </c>
      <c r="B132" s="101" t="s">
        <v>62</v>
      </c>
      <c r="C132" s="101" t="s">
        <v>63</v>
      </c>
      <c r="D132" s="101">
        <v>2200148.0</v>
      </c>
      <c r="E132" s="102" t="s">
        <v>465</v>
      </c>
      <c r="F132" s="45">
        <v>45221.0</v>
      </c>
      <c r="G132" s="45">
        <v>45212.0</v>
      </c>
      <c r="H132" s="101" t="s">
        <v>73</v>
      </c>
      <c r="I132" s="101" t="s">
        <v>76</v>
      </c>
      <c r="J132" s="101">
        <v>35.0</v>
      </c>
      <c r="K132" s="65">
        <v>24.9</v>
      </c>
      <c r="L132" s="65">
        <v>871.5</v>
      </c>
      <c r="M132" s="103">
        <v>0.2</v>
      </c>
      <c r="N132" s="65">
        <v>174.3</v>
      </c>
      <c r="O132" s="65">
        <v>1045.8</v>
      </c>
      <c r="P132" s="101" t="s">
        <v>84</v>
      </c>
      <c r="Q132" s="65">
        <v>87.15</v>
      </c>
      <c r="R132" s="65">
        <v>1045.8</v>
      </c>
      <c r="S132" s="65">
        <v>610.05</v>
      </c>
      <c r="T132" s="65">
        <v>1045.8</v>
      </c>
      <c r="U132" s="101" t="s">
        <v>80</v>
      </c>
      <c r="V132" s="45">
        <v>45216.0</v>
      </c>
      <c r="W132" s="65"/>
      <c r="X132" s="101"/>
      <c r="Y132" s="45"/>
      <c r="Z132" s="65"/>
      <c r="AA132" s="101"/>
      <c r="AB132" s="45"/>
      <c r="AC132" s="65"/>
      <c r="AD132" s="101"/>
      <c r="AE132" s="45"/>
      <c r="AF132" s="102"/>
      <c r="AG132" s="101"/>
      <c r="AH132" s="101"/>
      <c r="AI132" s="102"/>
    </row>
    <row r="133" ht="15.75" customHeight="1">
      <c r="A133" s="101" t="s">
        <v>61</v>
      </c>
      <c r="B133" s="101" t="s">
        <v>62</v>
      </c>
      <c r="C133" s="101" t="s">
        <v>63</v>
      </c>
      <c r="D133" s="101">
        <v>2200149.0</v>
      </c>
      <c r="E133" s="102" t="s">
        <v>466</v>
      </c>
      <c r="F133" s="45">
        <v>45224.0</v>
      </c>
      <c r="G133" s="45">
        <v>45215.0</v>
      </c>
      <c r="H133" s="101" t="s">
        <v>73</v>
      </c>
      <c r="I133" s="101" t="s">
        <v>76</v>
      </c>
      <c r="J133" s="101">
        <v>50.0</v>
      </c>
      <c r="K133" s="65">
        <v>74.99</v>
      </c>
      <c r="L133" s="65">
        <v>3749.5</v>
      </c>
      <c r="M133" s="103">
        <v>0.2</v>
      </c>
      <c r="N133" s="65">
        <v>749.9</v>
      </c>
      <c r="O133" s="65">
        <v>4499.4</v>
      </c>
      <c r="P133" s="101" t="s">
        <v>79</v>
      </c>
      <c r="Q133" s="65">
        <v>374.95</v>
      </c>
      <c r="R133" s="65">
        <v>4874.35</v>
      </c>
      <c r="S133" s="65">
        <v>2624.65</v>
      </c>
      <c r="T133" s="65">
        <v>4874.35</v>
      </c>
      <c r="U133" s="101" t="s">
        <v>80</v>
      </c>
      <c r="V133" s="45">
        <v>45218.0</v>
      </c>
      <c r="W133" s="65"/>
      <c r="X133" s="101"/>
      <c r="Y133" s="45"/>
      <c r="Z133" s="65"/>
      <c r="AA133" s="101"/>
      <c r="AB133" s="45"/>
      <c r="AC133" s="65">
        <v>481.75</v>
      </c>
      <c r="AD133" s="101" t="s">
        <v>80</v>
      </c>
      <c r="AE133" s="45">
        <v>45232.0</v>
      </c>
      <c r="AF133" s="102"/>
      <c r="AG133" s="101"/>
      <c r="AH133" s="101"/>
      <c r="AI133" s="102"/>
    </row>
    <row r="134" ht="15.75" customHeight="1">
      <c r="A134" s="101" t="s">
        <v>61</v>
      </c>
      <c r="B134" s="101" t="s">
        <v>62</v>
      </c>
      <c r="C134" s="101" t="s">
        <v>63</v>
      </c>
      <c r="D134" s="101">
        <v>2200150.0</v>
      </c>
      <c r="E134" s="102" t="s">
        <v>467</v>
      </c>
      <c r="F134" s="45">
        <v>45218.0</v>
      </c>
      <c r="G134" s="45">
        <v>45217.0</v>
      </c>
      <c r="H134" s="101" t="s">
        <v>73</v>
      </c>
      <c r="I134" s="101" t="s">
        <v>76</v>
      </c>
      <c r="J134" s="101">
        <v>30.0</v>
      </c>
      <c r="K134" s="65">
        <v>20.03333333</v>
      </c>
      <c r="L134" s="65">
        <v>601.0</v>
      </c>
      <c r="M134" s="103">
        <v>0.2</v>
      </c>
      <c r="N134" s="65">
        <v>120.2</v>
      </c>
      <c r="O134" s="65">
        <v>721.2</v>
      </c>
      <c r="P134" s="101" t="s">
        <v>84</v>
      </c>
      <c r="Q134" s="65">
        <v>60.1</v>
      </c>
      <c r="R134" s="65">
        <v>721.2</v>
      </c>
      <c r="S134" s="65">
        <v>420.7</v>
      </c>
      <c r="T134" s="65">
        <v>714.0</v>
      </c>
      <c r="U134" s="101" t="s">
        <v>80</v>
      </c>
      <c r="V134" s="45">
        <v>45216.0</v>
      </c>
      <c r="W134" s="65"/>
      <c r="X134" s="101"/>
      <c r="Y134" s="45"/>
      <c r="Z134" s="65"/>
      <c r="AA134" s="101"/>
      <c r="AB134" s="45"/>
      <c r="AC134" s="65"/>
      <c r="AD134" s="101"/>
      <c r="AE134" s="45"/>
      <c r="AF134" s="102"/>
      <c r="AG134" s="101"/>
      <c r="AH134" s="101"/>
      <c r="AI134" s="102"/>
    </row>
    <row r="135" ht="15.75" customHeight="1">
      <c r="A135" s="101" t="s">
        <v>61</v>
      </c>
      <c r="B135" s="101" t="s">
        <v>62</v>
      </c>
      <c r="C135" s="101" t="s">
        <v>63</v>
      </c>
      <c r="D135" s="101">
        <v>2200151.0</v>
      </c>
      <c r="E135" s="102" t="s">
        <v>468</v>
      </c>
      <c r="F135" s="45">
        <v>45240.0</v>
      </c>
      <c r="G135" s="45">
        <v>45217.0</v>
      </c>
      <c r="H135" s="101" t="s">
        <v>83</v>
      </c>
      <c r="I135" s="101" t="s">
        <v>76</v>
      </c>
      <c r="J135" s="101">
        <v>36.0</v>
      </c>
      <c r="K135" s="65">
        <v>45.0</v>
      </c>
      <c r="L135" s="65">
        <v>1620.0</v>
      </c>
      <c r="M135" s="103">
        <v>0.2</v>
      </c>
      <c r="N135" s="65">
        <v>324.0</v>
      </c>
      <c r="O135" s="65">
        <v>1944.0</v>
      </c>
      <c r="P135" s="101" t="s">
        <v>84</v>
      </c>
      <c r="Q135" s="65">
        <v>162.0</v>
      </c>
      <c r="R135" s="65">
        <v>1944.0</v>
      </c>
      <c r="S135" s="65">
        <v>1134.0</v>
      </c>
      <c r="T135" s="65">
        <v>1832.88</v>
      </c>
      <c r="U135" s="101" t="s">
        <v>80</v>
      </c>
      <c r="V135" s="45">
        <v>45216.0</v>
      </c>
      <c r="W135" s="65">
        <v>99.12</v>
      </c>
      <c r="X135" s="101" t="s">
        <v>80</v>
      </c>
      <c r="Y135" s="45">
        <v>45230.0</v>
      </c>
      <c r="Z135" s="65"/>
      <c r="AA135" s="101"/>
      <c r="AB135" s="45"/>
      <c r="AC135" s="65"/>
      <c r="AD135" s="101"/>
      <c r="AE135" s="45"/>
      <c r="AF135" s="102"/>
      <c r="AG135" s="101"/>
      <c r="AH135" s="101"/>
      <c r="AI135" s="102"/>
    </row>
    <row r="136" ht="15.75" customHeight="1">
      <c r="A136" s="101" t="s">
        <v>61</v>
      </c>
      <c r="B136" s="101" t="s">
        <v>62</v>
      </c>
      <c r="C136" s="101" t="s">
        <v>251</v>
      </c>
      <c r="D136" s="101">
        <v>2200152.0</v>
      </c>
      <c r="E136" s="102" t="s">
        <v>469</v>
      </c>
      <c r="F136" s="45">
        <v>45227.0</v>
      </c>
      <c r="G136" s="45">
        <v>45218.0</v>
      </c>
      <c r="H136" s="101" t="s">
        <v>83</v>
      </c>
      <c r="I136" s="101" t="s">
        <v>76</v>
      </c>
      <c r="J136" s="101">
        <v>40.0</v>
      </c>
      <c r="K136" s="65">
        <v>116.9625</v>
      </c>
      <c r="L136" s="65">
        <v>4678.5</v>
      </c>
      <c r="M136" s="103">
        <v>0.2</v>
      </c>
      <c r="N136" s="65">
        <v>935.7</v>
      </c>
      <c r="O136" s="65">
        <v>5614.2</v>
      </c>
      <c r="P136" s="101" t="s">
        <v>79</v>
      </c>
      <c r="Q136" s="65">
        <v>467.85</v>
      </c>
      <c r="R136" s="65">
        <v>6082.05</v>
      </c>
      <c r="S136" s="65">
        <v>3274.95</v>
      </c>
      <c r="T136" s="65">
        <v>5344.53</v>
      </c>
      <c r="U136" s="101" t="s">
        <v>80</v>
      </c>
      <c r="V136" s="45">
        <v>45223.0</v>
      </c>
      <c r="W136" s="65"/>
      <c r="X136" s="101"/>
      <c r="Y136" s="45"/>
      <c r="Z136" s="65"/>
      <c r="AA136" s="101"/>
      <c r="AB136" s="45"/>
      <c r="AC136" s="65">
        <v>1.49</v>
      </c>
      <c r="AD136" s="101" t="s">
        <v>80</v>
      </c>
      <c r="AE136" s="45">
        <v>45236.0</v>
      </c>
      <c r="AF136" s="102"/>
      <c r="AG136" s="101"/>
      <c r="AH136" s="101"/>
      <c r="AI136" s="102"/>
    </row>
    <row r="137" ht="15.75" customHeight="1">
      <c r="A137" s="101" t="s">
        <v>219</v>
      </c>
      <c r="B137" s="101" t="s">
        <v>62</v>
      </c>
      <c r="C137" s="101" t="s">
        <v>63</v>
      </c>
      <c r="D137" s="101">
        <v>2200153.0</v>
      </c>
      <c r="E137" s="102" t="s">
        <v>470</v>
      </c>
      <c r="F137" s="45">
        <v>45268.0</v>
      </c>
      <c r="G137" s="45">
        <v>45222.0</v>
      </c>
      <c r="H137" s="101" t="s">
        <v>73</v>
      </c>
      <c r="I137" s="101" t="s">
        <v>76</v>
      </c>
      <c r="J137" s="101">
        <v>30.0</v>
      </c>
      <c r="K137" s="65">
        <v>118.3166667</v>
      </c>
      <c r="L137" s="65">
        <v>3549.5</v>
      </c>
      <c r="M137" s="103">
        <v>0.2</v>
      </c>
      <c r="N137" s="65">
        <v>709.9</v>
      </c>
      <c r="O137" s="65">
        <v>4259.4</v>
      </c>
      <c r="P137" s="101" t="s">
        <v>79</v>
      </c>
      <c r="Q137" s="65">
        <v>354.95</v>
      </c>
      <c r="R137" s="65">
        <v>4614.35</v>
      </c>
      <c r="S137" s="65">
        <v>2484.65</v>
      </c>
      <c r="T137" s="65">
        <v>2502.65</v>
      </c>
      <c r="U137" s="101" t="s">
        <v>80</v>
      </c>
      <c r="V137" s="45">
        <v>45223.0</v>
      </c>
      <c r="W137" s="65">
        <v>2111.7</v>
      </c>
      <c r="X137" s="101" t="s">
        <v>80</v>
      </c>
      <c r="Y137" s="45">
        <v>45257.0</v>
      </c>
      <c r="Z137" s="65"/>
      <c r="AA137" s="101"/>
      <c r="AB137" s="45"/>
      <c r="AC137" s="65">
        <v>495.47</v>
      </c>
      <c r="AD137" s="101" t="s">
        <v>85</v>
      </c>
      <c r="AE137" s="45">
        <v>45279.0</v>
      </c>
      <c r="AF137" s="102" t="s">
        <v>471</v>
      </c>
      <c r="AG137" s="101" t="s">
        <v>472</v>
      </c>
      <c r="AH137" s="101">
        <v>2.9868637E7</v>
      </c>
      <c r="AI137" s="102"/>
    </row>
    <row r="138" ht="15.75" customHeight="1">
      <c r="A138" s="101" t="s">
        <v>219</v>
      </c>
      <c r="B138" s="101" t="s">
        <v>62</v>
      </c>
      <c r="C138" s="101" t="s">
        <v>63</v>
      </c>
      <c r="D138" s="101">
        <v>2200154.0</v>
      </c>
      <c r="E138" s="102" t="s">
        <v>473</v>
      </c>
      <c r="F138" s="45">
        <v>45232.0</v>
      </c>
      <c r="G138" s="45">
        <v>45222.0</v>
      </c>
      <c r="H138" s="101" t="s">
        <v>73</v>
      </c>
      <c r="I138" s="101" t="s">
        <v>119</v>
      </c>
      <c r="J138" s="101">
        <v>60.0</v>
      </c>
      <c r="K138" s="65">
        <v>48.33333333</v>
      </c>
      <c r="L138" s="65">
        <v>2900.0</v>
      </c>
      <c r="M138" s="103">
        <v>0.2</v>
      </c>
      <c r="N138" s="65">
        <v>580.0</v>
      </c>
      <c r="O138" s="65">
        <v>3480.0</v>
      </c>
      <c r="P138" s="101"/>
      <c r="Q138" s="65">
        <v>290.0</v>
      </c>
      <c r="R138" s="65"/>
      <c r="S138" s="65">
        <v>2030.0</v>
      </c>
      <c r="T138" s="65"/>
      <c r="U138" s="101"/>
      <c r="V138" s="45"/>
      <c r="W138" s="65"/>
      <c r="X138" s="101"/>
      <c r="Y138" s="45"/>
      <c r="Z138" s="65"/>
      <c r="AA138" s="101"/>
      <c r="AB138" s="45"/>
      <c r="AC138" s="65"/>
      <c r="AD138" s="101"/>
      <c r="AE138" s="45"/>
      <c r="AF138" s="102"/>
      <c r="AG138" s="101"/>
      <c r="AH138" s="101"/>
      <c r="AI138" s="102"/>
    </row>
    <row r="139" ht="15.75" customHeight="1">
      <c r="A139" s="101" t="s">
        <v>223</v>
      </c>
      <c r="B139" s="101" t="s">
        <v>62</v>
      </c>
      <c r="C139" s="101" t="s">
        <v>63</v>
      </c>
      <c r="D139" s="101">
        <v>2200155.0</v>
      </c>
      <c r="E139" s="102" t="s">
        <v>260</v>
      </c>
      <c r="F139" s="45">
        <v>45238.0</v>
      </c>
      <c r="G139" s="45">
        <v>45223.0</v>
      </c>
      <c r="H139" s="101" t="s">
        <v>83</v>
      </c>
      <c r="I139" s="101" t="s">
        <v>76</v>
      </c>
      <c r="J139" s="101">
        <v>15.0</v>
      </c>
      <c r="K139" s="65">
        <v>173.24</v>
      </c>
      <c r="L139" s="65">
        <v>2165.5</v>
      </c>
      <c r="M139" s="103">
        <v>0.2</v>
      </c>
      <c r="N139" s="65">
        <v>433.1</v>
      </c>
      <c r="O139" s="65">
        <v>2598.6</v>
      </c>
      <c r="P139" s="101" t="s">
        <v>84</v>
      </c>
      <c r="Q139" s="65">
        <v>216.55</v>
      </c>
      <c r="R139" s="65">
        <v>2598.6</v>
      </c>
      <c r="S139" s="65">
        <v>1515.85</v>
      </c>
      <c r="T139" s="65">
        <v>2815.15</v>
      </c>
      <c r="U139" s="101" t="s">
        <v>80</v>
      </c>
      <c r="V139" s="45">
        <v>45223.0</v>
      </c>
      <c r="W139" s="65"/>
      <c r="X139" s="101"/>
      <c r="Y139" s="45"/>
      <c r="Z139" s="65"/>
      <c r="AA139" s="101"/>
      <c r="AB139" s="45"/>
      <c r="AC139" s="65">
        <v>333.55</v>
      </c>
      <c r="AD139" s="101" t="s">
        <v>80</v>
      </c>
      <c r="AE139" s="45">
        <v>45250.0</v>
      </c>
      <c r="AF139" s="102"/>
      <c r="AG139" s="101"/>
      <c r="AH139" s="101"/>
      <c r="AI139" s="102"/>
    </row>
    <row r="140" ht="15.75" customHeight="1">
      <c r="A140" s="101" t="s">
        <v>167</v>
      </c>
      <c r="B140" s="101" t="s">
        <v>62</v>
      </c>
      <c r="C140" s="101" t="s">
        <v>63</v>
      </c>
      <c r="D140" s="101">
        <v>2200156.0</v>
      </c>
      <c r="E140" s="102" t="s">
        <v>474</v>
      </c>
      <c r="F140" s="45">
        <v>45231.0</v>
      </c>
      <c r="G140" s="45">
        <v>45224.0</v>
      </c>
      <c r="H140" s="101" t="s">
        <v>73</v>
      </c>
      <c r="I140" s="101" t="s">
        <v>76</v>
      </c>
      <c r="J140" s="101">
        <v>30.0</v>
      </c>
      <c r="K140" s="65">
        <v>54.08333333</v>
      </c>
      <c r="L140" s="65">
        <v>1622.5</v>
      </c>
      <c r="M140" s="103">
        <v>0.2</v>
      </c>
      <c r="N140" s="65">
        <v>324.5</v>
      </c>
      <c r="O140" s="65">
        <v>1947.0</v>
      </c>
      <c r="P140" s="101" t="s">
        <v>79</v>
      </c>
      <c r="Q140" s="65">
        <v>162.25</v>
      </c>
      <c r="R140" s="65">
        <v>2109.25</v>
      </c>
      <c r="S140" s="65">
        <v>1135.75</v>
      </c>
      <c r="T140" s="65">
        <v>1947.0</v>
      </c>
      <c r="U140" s="101" t="s">
        <v>85</v>
      </c>
      <c r="V140" s="45">
        <v>45226.0</v>
      </c>
      <c r="W140" s="65"/>
      <c r="X140" s="101"/>
      <c r="Y140" s="45"/>
      <c r="Z140" s="65"/>
      <c r="AA140" s="101"/>
      <c r="AB140" s="45"/>
      <c r="AC140" s="65"/>
      <c r="AD140" s="101"/>
      <c r="AE140" s="45"/>
      <c r="AF140" s="102"/>
      <c r="AG140" s="101"/>
      <c r="AH140" s="101"/>
      <c r="AI140" s="102"/>
    </row>
    <row r="141" ht="15.75" customHeight="1">
      <c r="A141" s="101" t="s">
        <v>61</v>
      </c>
      <c r="B141" s="101" t="s">
        <v>62</v>
      </c>
      <c r="C141" s="101" t="s">
        <v>63</v>
      </c>
      <c r="D141" s="101">
        <v>2200157.0</v>
      </c>
      <c r="E141" s="102" t="s">
        <v>241</v>
      </c>
      <c r="F141" s="45">
        <v>45239.0</v>
      </c>
      <c r="G141" s="45">
        <v>45225.0</v>
      </c>
      <c r="H141" s="101" t="s">
        <v>83</v>
      </c>
      <c r="I141" s="101" t="s">
        <v>76</v>
      </c>
      <c r="J141" s="101">
        <v>30.0</v>
      </c>
      <c r="K141" s="65">
        <v>50.78333333</v>
      </c>
      <c r="L141" s="65">
        <v>1523.5</v>
      </c>
      <c r="M141" s="103">
        <v>0.2</v>
      </c>
      <c r="N141" s="65">
        <v>304.7</v>
      </c>
      <c r="O141" s="65">
        <v>1828.2</v>
      </c>
      <c r="P141" s="101"/>
      <c r="Q141" s="65">
        <v>152.35</v>
      </c>
      <c r="R141" s="65"/>
      <c r="S141" s="65">
        <v>1066.45</v>
      </c>
      <c r="T141" s="65">
        <v>1524.49</v>
      </c>
      <c r="U141" s="101" t="s">
        <v>85</v>
      </c>
      <c r="V141" s="45">
        <v>45230.0</v>
      </c>
      <c r="W141" s="65"/>
      <c r="X141" s="101"/>
      <c r="Y141" s="45"/>
      <c r="Z141" s="65"/>
      <c r="AA141" s="101"/>
      <c r="AB141" s="45"/>
      <c r="AC141" s="65">
        <v>152.35</v>
      </c>
      <c r="AD141" s="101" t="s">
        <v>85</v>
      </c>
      <c r="AE141" s="45">
        <v>45258.0</v>
      </c>
      <c r="AF141" s="102"/>
      <c r="AG141" s="101"/>
      <c r="AH141" s="101"/>
      <c r="AI141" s="102"/>
    </row>
    <row r="142" ht="15.75" customHeight="1">
      <c r="A142" s="101" t="s">
        <v>61</v>
      </c>
      <c r="B142" s="101" t="s">
        <v>62</v>
      </c>
      <c r="C142" s="101" t="s">
        <v>63</v>
      </c>
      <c r="D142" s="101">
        <v>2200158.0</v>
      </c>
      <c r="E142" s="102" t="s">
        <v>475</v>
      </c>
      <c r="F142" s="45">
        <v>45267.0</v>
      </c>
      <c r="G142" s="45">
        <v>45225.0</v>
      </c>
      <c r="H142" s="101" t="s">
        <v>73</v>
      </c>
      <c r="I142" s="101" t="s">
        <v>76</v>
      </c>
      <c r="J142" s="101">
        <v>59.0</v>
      </c>
      <c r="K142" s="65">
        <v>65.4279661</v>
      </c>
      <c r="L142" s="65">
        <v>3860.25</v>
      </c>
      <c r="M142" s="103">
        <v>0.2</v>
      </c>
      <c r="N142" s="65">
        <v>772.05</v>
      </c>
      <c r="O142" s="65">
        <v>4632.3</v>
      </c>
      <c r="P142" s="101" t="s">
        <v>79</v>
      </c>
      <c r="Q142" s="65">
        <v>386.025</v>
      </c>
      <c r="R142" s="65">
        <v>5018.325</v>
      </c>
      <c r="S142" s="65">
        <v>2702.175</v>
      </c>
      <c r="T142" s="65">
        <v>2040.0</v>
      </c>
      <c r="U142" s="101" t="s">
        <v>80</v>
      </c>
      <c r="V142" s="45">
        <v>45233.0</v>
      </c>
      <c r="W142" s="65">
        <v>2978.32</v>
      </c>
      <c r="X142" s="101" t="s">
        <v>80</v>
      </c>
      <c r="Y142" s="45">
        <v>45261.0</v>
      </c>
      <c r="Z142" s="65"/>
      <c r="AA142" s="101"/>
      <c r="AB142" s="45"/>
      <c r="AC142" s="65">
        <v>386.02</v>
      </c>
      <c r="AD142" s="101"/>
      <c r="AE142" s="45">
        <v>45269.0</v>
      </c>
      <c r="AF142" s="102"/>
      <c r="AG142" s="101"/>
      <c r="AH142" s="101"/>
      <c r="AI142" s="102"/>
    </row>
    <row r="143" ht="15.75" customHeight="1">
      <c r="A143" s="101" t="s">
        <v>167</v>
      </c>
      <c r="B143" s="101" t="s">
        <v>62</v>
      </c>
      <c r="C143" s="101" t="s">
        <v>63</v>
      </c>
      <c r="D143" s="101">
        <v>2200159.0</v>
      </c>
      <c r="E143" s="102" t="s">
        <v>204</v>
      </c>
      <c r="F143" s="45">
        <v>45225.0</v>
      </c>
      <c r="G143" s="45">
        <v>45225.0</v>
      </c>
      <c r="H143" s="101" t="s">
        <v>83</v>
      </c>
      <c r="I143" s="101" t="s">
        <v>76</v>
      </c>
      <c r="J143" s="101">
        <v>11.0</v>
      </c>
      <c r="K143" s="65">
        <v>75.0</v>
      </c>
      <c r="L143" s="65">
        <v>825.0</v>
      </c>
      <c r="M143" s="103">
        <v>0.2</v>
      </c>
      <c r="N143" s="65">
        <v>165.0</v>
      </c>
      <c r="O143" s="65">
        <v>990.0</v>
      </c>
      <c r="P143" s="101"/>
      <c r="Q143" s="65">
        <v>82.5</v>
      </c>
      <c r="R143" s="65"/>
      <c r="S143" s="65">
        <v>577.5</v>
      </c>
      <c r="T143" s="65">
        <v>990.0</v>
      </c>
      <c r="U143" s="101" t="s">
        <v>85</v>
      </c>
      <c r="V143" s="45">
        <v>45240.0</v>
      </c>
      <c r="W143" s="65"/>
      <c r="X143" s="101"/>
      <c r="Y143" s="45"/>
      <c r="Z143" s="65"/>
      <c r="AA143" s="101"/>
      <c r="AB143" s="45"/>
      <c r="AC143" s="65"/>
      <c r="AD143" s="101"/>
      <c r="AE143" s="45"/>
      <c r="AF143" s="102"/>
      <c r="AG143" s="101"/>
      <c r="AH143" s="101"/>
      <c r="AI143" s="102"/>
    </row>
    <row r="144" ht="15.75" customHeight="1">
      <c r="A144" s="101" t="s">
        <v>219</v>
      </c>
      <c r="B144" s="101" t="s">
        <v>62</v>
      </c>
      <c r="C144" s="101" t="s">
        <v>251</v>
      </c>
      <c r="D144" s="101">
        <v>2200160.0</v>
      </c>
      <c r="E144" s="102" t="s">
        <v>476</v>
      </c>
      <c r="F144" s="45">
        <v>45233.0</v>
      </c>
      <c r="G144" s="45">
        <v>45226.0</v>
      </c>
      <c r="H144" s="101" t="s">
        <v>73</v>
      </c>
      <c r="I144" s="101" t="s">
        <v>76</v>
      </c>
      <c r="J144" s="101">
        <v>31.0</v>
      </c>
      <c r="K144" s="65">
        <v>116.1677419</v>
      </c>
      <c r="L144" s="65">
        <v>3601.2</v>
      </c>
      <c r="M144" s="103">
        <v>0.2</v>
      </c>
      <c r="N144" s="65">
        <v>720.24</v>
      </c>
      <c r="O144" s="65">
        <v>4321.44</v>
      </c>
      <c r="P144" s="101"/>
      <c r="Q144" s="65">
        <v>360.12</v>
      </c>
      <c r="R144" s="65"/>
      <c r="S144" s="65">
        <v>2520.84</v>
      </c>
      <c r="T144" s="65">
        <v>4776.07</v>
      </c>
      <c r="U144" s="101" t="s">
        <v>80</v>
      </c>
      <c r="V144" s="45">
        <v>45228.0</v>
      </c>
      <c r="W144" s="65"/>
      <c r="X144" s="101"/>
      <c r="Y144" s="45"/>
      <c r="Z144" s="65"/>
      <c r="AA144" s="101"/>
      <c r="AB144" s="45"/>
      <c r="AC144" s="65">
        <v>347.6</v>
      </c>
      <c r="AD144" s="101" t="s">
        <v>80</v>
      </c>
      <c r="AE144" s="45">
        <v>45247.0</v>
      </c>
      <c r="AF144" s="102"/>
      <c r="AG144" s="101"/>
      <c r="AH144" s="101"/>
      <c r="AI144" s="102"/>
    </row>
    <row r="145" ht="15.75" customHeight="1">
      <c r="A145" s="101" t="s">
        <v>167</v>
      </c>
      <c r="B145" s="101" t="s">
        <v>62</v>
      </c>
      <c r="C145" s="101" t="s">
        <v>251</v>
      </c>
      <c r="D145" s="101">
        <v>2200161.0</v>
      </c>
      <c r="E145" s="102" t="s">
        <v>412</v>
      </c>
      <c r="F145" s="45">
        <v>45234.0</v>
      </c>
      <c r="G145" s="45">
        <v>45228.0</v>
      </c>
      <c r="H145" s="101" t="s">
        <v>83</v>
      </c>
      <c r="I145" s="101" t="s">
        <v>76</v>
      </c>
      <c r="J145" s="101">
        <v>30.0</v>
      </c>
      <c r="K145" s="65">
        <v>124.1916667</v>
      </c>
      <c r="L145" s="65">
        <v>3725.75</v>
      </c>
      <c r="M145" s="103">
        <v>0.2</v>
      </c>
      <c r="N145" s="65">
        <v>745.15</v>
      </c>
      <c r="O145" s="65">
        <v>4470.9</v>
      </c>
      <c r="P145" s="101"/>
      <c r="Q145" s="65">
        <v>372.575</v>
      </c>
      <c r="R145" s="65"/>
      <c r="S145" s="65">
        <v>2608.025</v>
      </c>
      <c r="T145" s="65">
        <v>4470.9</v>
      </c>
      <c r="U145" s="101" t="s">
        <v>85</v>
      </c>
      <c r="V145" s="45">
        <v>45228.0</v>
      </c>
      <c r="W145" s="65"/>
      <c r="X145" s="101"/>
      <c r="Y145" s="45"/>
      <c r="Z145" s="65"/>
      <c r="AA145" s="101"/>
      <c r="AB145" s="45"/>
      <c r="AC145" s="65"/>
      <c r="AD145" s="101"/>
      <c r="AE145" s="45"/>
      <c r="AF145" s="102"/>
      <c r="AG145" s="101"/>
      <c r="AH145" s="101"/>
      <c r="AI145" s="102"/>
    </row>
    <row r="146" ht="15.75" customHeight="1">
      <c r="A146" s="101" t="s">
        <v>61</v>
      </c>
      <c r="B146" s="101" t="s">
        <v>62</v>
      </c>
      <c r="C146" s="101" t="s">
        <v>63</v>
      </c>
      <c r="D146" s="101">
        <v>2200162.0</v>
      </c>
      <c r="E146" s="102" t="s">
        <v>477</v>
      </c>
      <c r="F146" s="45">
        <v>45207.0</v>
      </c>
      <c r="G146" s="45">
        <v>45229.0</v>
      </c>
      <c r="H146" s="101" t="s">
        <v>83</v>
      </c>
      <c r="I146" s="101" t="s">
        <v>76</v>
      </c>
      <c r="J146" s="101">
        <v>15.0</v>
      </c>
      <c r="K146" s="65">
        <v>47.4</v>
      </c>
      <c r="L146" s="65">
        <v>711.0</v>
      </c>
      <c r="M146" s="103">
        <v>0.2</v>
      </c>
      <c r="N146" s="65">
        <v>142.2</v>
      </c>
      <c r="O146" s="65">
        <v>853.2</v>
      </c>
      <c r="P146" s="101" t="s">
        <v>84</v>
      </c>
      <c r="Q146" s="65">
        <v>71.1</v>
      </c>
      <c r="R146" s="65">
        <v>853.2</v>
      </c>
      <c r="S146" s="65">
        <v>497.7</v>
      </c>
      <c r="T146" s="65">
        <v>853.2</v>
      </c>
      <c r="U146" s="101" t="s">
        <v>80</v>
      </c>
      <c r="V146" s="45">
        <v>45230.0</v>
      </c>
      <c r="W146" s="65"/>
      <c r="X146" s="101"/>
      <c r="Y146" s="45"/>
      <c r="Z146" s="65"/>
      <c r="AA146" s="101"/>
      <c r="AB146" s="45"/>
      <c r="AC146" s="65"/>
      <c r="AD146" s="101"/>
      <c r="AE146" s="45"/>
      <c r="AF146" s="102"/>
      <c r="AG146" s="101"/>
      <c r="AH146" s="101"/>
      <c r="AI146" s="102"/>
    </row>
    <row r="147" ht="15.75" customHeight="1">
      <c r="A147" s="101" t="s">
        <v>61</v>
      </c>
      <c r="B147" s="101" t="s">
        <v>62</v>
      </c>
      <c r="C147" s="101" t="s">
        <v>63</v>
      </c>
      <c r="D147" s="101">
        <v>2200163.0</v>
      </c>
      <c r="E147" s="102" t="s">
        <v>478</v>
      </c>
      <c r="F147" s="45">
        <v>45274.0</v>
      </c>
      <c r="G147" s="45">
        <v>45230.0</v>
      </c>
      <c r="H147" s="101" t="s">
        <v>83</v>
      </c>
      <c r="I147" s="101" t="s">
        <v>76</v>
      </c>
      <c r="J147" s="101">
        <v>70.0</v>
      </c>
      <c r="K147" s="65">
        <v>99.11428571</v>
      </c>
      <c r="L147" s="65">
        <v>6938.0</v>
      </c>
      <c r="M147" s="103">
        <v>0.2</v>
      </c>
      <c r="N147" s="65">
        <v>1387.6</v>
      </c>
      <c r="O147" s="65">
        <v>8325.6</v>
      </c>
      <c r="P147" s="101" t="s">
        <v>79</v>
      </c>
      <c r="Q147" s="65">
        <v>693.8</v>
      </c>
      <c r="R147" s="65">
        <v>9019.4</v>
      </c>
      <c r="S147" s="65">
        <v>4856.6</v>
      </c>
      <c r="T147" s="65">
        <v>9019.4</v>
      </c>
      <c r="U147" s="101" t="s">
        <v>85</v>
      </c>
      <c r="V147" s="45">
        <v>45267.0</v>
      </c>
      <c r="W147" s="65"/>
      <c r="X147" s="101"/>
      <c r="Y147" s="45"/>
      <c r="Z147" s="65"/>
      <c r="AA147" s="101"/>
      <c r="AB147" s="45"/>
      <c r="AC147" s="65">
        <v>589.4</v>
      </c>
      <c r="AD147" s="101" t="s">
        <v>85</v>
      </c>
      <c r="AE147" s="45">
        <v>45279.0</v>
      </c>
      <c r="AF147" s="102" t="s">
        <v>479</v>
      </c>
      <c r="AG147" s="101">
        <v>2.1636648E7</v>
      </c>
      <c r="AH147" s="101" t="s">
        <v>283</v>
      </c>
      <c r="AI147" s="102"/>
    </row>
    <row r="148" ht="15.75" customHeight="1">
      <c r="A148" s="101" t="s">
        <v>219</v>
      </c>
      <c r="B148" s="101" t="s">
        <v>62</v>
      </c>
      <c r="C148" s="101" t="s">
        <v>63</v>
      </c>
      <c r="D148" s="101">
        <v>2200164.0</v>
      </c>
      <c r="E148" s="102" t="s">
        <v>263</v>
      </c>
      <c r="F148" s="45">
        <v>45238.0</v>
      </c>
      <c r="G148" s="45">
        <v>45232.0</v>
      </c>
      <c r="H148" s="101" t="s">
        <v>83</v>
      </c>
      <c r="I148" s="101" t="s">
        <v>76</v>
      </c>
      <c r="J148" s="101">
        <v>50.0</v>
      </c>
      <c r="K148" s="65">
        <v>56.048</v>
      </c>
      <c r="L148" s="65">
        <v>2802.4</v>
      </c>
      <c r="M148" s="103">
        <v>0.2</v>
      </c>
      <c r="N148" s="65">
        <v>560.48</v>
      </c>
      <c r="O148" s="65">
        <v>3362.88</v>
      </c>
      <c r="P148" s="101" t="s">
        <v>79</v>
      </c>
      <c r="Q148" s="65">
        <v>280.24</v>
      </c>
      <c r="R148" s="65">
        <v>3643.12</v>
      </c>
      <c r="S148" s="65">
        <v>1961.68</v>
      </c>
      <c r="T148" s="65">
        <v>3643.12</v>
      </c>
      <c r="U148" s="101" t="s">
        <v>85</v>
      </c>
      <c r="V148" s="45"/>
      <c r="W148" s="65"/>
      <c r="X148" s="101"/>
      <c r="Y148" s="45"/>
      <c r="Z148" s="65"/>
      <c r="AA148" s="101"/>
      <c r="AB148" s="45"/>
      <c r="AC148" s="65">
        <v>468.64</v>
      </c>
      <c r="AD148" s="101"/>
      <c r="AE148" s="45">
        <v>45269.0</v>
      </c>
      <c r="AF148" s="102"/>
      <c r="AG148" s="101"/>
      <c r="AH148" s="101"/>
      <c r="AI148" s="102"/>
    </row>
    <row r="149" ht="15.75" customHeight="1">
      <c r="A149" s="101" t="s">
        <v>167</v>
      </c>
      <c r="B149" s="101" t="s">
        <v>62</v>
      </c>
      <c r="C149" s="101" t="s">
        <v>63</v>
      </c>
      <c r="D149" s="101">
        <v>2200165.0</v>
      </c>
      <c r="E149" s="102" t="s">
        <v>480</v>
      </c>
      <c r="F149" s="45">
        <v>45238.0</v>
      </c>
      <c r="G149" s="45">
        <v>45233.0</v>
      </c>
      <c r="H149" s="101" t="s">
        <v>73</v>
      </c>
      <c r="I149" s="101" t="s">
        <v>76</v>
      </c>
      <c r="J149" s="101">
        <v>25.0</v>
      </c>
      <c r="K149" s="65">
        <v>52.144</v>
      </c>
      <c r="L149" s="65">
        <v>1303.6</v>
      </c>
      <c r="M149" s="103">
        <v>0.2</v>
      </c>
      <c r="N149" s="65">
        <v>260.72</v>
      </c>
      <c r="O149" s="65">
        <v>1564.32</v>
      </c>
      <c r="P149" s="101" t="s">
        <v>84</v>
      </c>
      <c r="Q149" s="65">
        <v>130.36</v>
      </c>
      <c r="R149" s="65">
        <v>1564.32</v>
      </c>
      <c r="S149" s="65">
        <v>912.52</v>
      </c>
      <c r="T149" s="65">
        <v>1564.32</v>
      </c>
      <c r="U149" s="101" t="s">
        <v>80</v>
      </c>
      <c r="V149" s="45">
        <v>45233.0</v>
      </c>
      <c r="W149" s="65"/>
      <c r="X149" s="101"/>
      <c r="Y149" s="45"/>
      <c r="Z149" s="65"/>
      <c r="AA149" s="101"/>
      <c r="AB149" s="45"/>
      <c r="AC149" s="65"/>
      <c r="AD149" s="101"/>
      <c r="AE149" s="45"/>
      <c r="AF149" s="102"/>
      <c r="AG149" s="101"/>
      <c r="AH149" s="101"/>
      <c r="AI149" s="102"/>
    </row>
    <row r="150" ht="15.75" customHeight="1">
      <c r="A150" s="101" t="s">
        <v>167</v>
      </c>
      <c r="B150" s="101" t="s">
        <v>62</v>
      </c>
      <c r="C150" s="101" t="s">
        <v>63</v>
      </c>
      <c r="D150" s="101">
        <v>2200166.0</v>
      </c>
      <c r="E150" s="102" t="s">
        <v>204</v>
      </c>
      <c r="F150" s="45">
        <v>45233.0</v>
      </c>
      <c r="G150" s="45">
        <v>45233.0</v>
      </c>
      <c r="H150" s="101" t="s">
        <v>83</v>
      </c>
      <c r="I150" s="101" t="s">
        <v>76</v>
      </c>
      <c r="J150" s="101">
        <v>11.0</v>
      </c>
      <c r="K150" s="65">
        <v>75.0</v>
      </c>
      <c r="L150" s="65">
        <v>825.0</v>
      </c>
      <c r="M150" s="103">
        <v>0.2</v>
      </c>
      <c r="N150" s="65">
        <v>165.0</v>
      </c>
      <c r="O150" s="65">
        <v>990.0</v>
      </c>
      <c r="P150" s="101" t="s">
        <v>84</v>
      </c>
      <c r="Q150" s="65">
        <v>82.5</v>
      </c>
      <c r="R150" s="65">
        <v>990.0</v>
      </c>
      <c r="S150" s="65">
        <v>577.5</v>
      </c>
      <c r="T150" s="65">
        <v>990.0</v>
      </c>
      <c r="U150" s="101" t="s">
        <v>85</v>
      </c>
      <c r="V150" s="45">
        <v>45274.0</v>
      </c>
      <c r="W150" s="65"/>
      <c r="X150" s="101"/>
      <c r="Y150" s="45"/>
      <c r="Z150" s="65"/>
      <c r="AA150" s="101"/>
      <c r="AB150" s="45"/>
      <c r="AC150" s="65"/>
      <c r="AD150" s="101"/>
      <c r="AE150" s="45"/>
      <c r="AF150" s="102"/>
      <c r="AG150" s="101"/>
      <c r="AH150" s="101"/>
      <c r="AI150" s="102"/>
    </row>
    <row r="151" ht="15.75" customHeight="1">
      <c r="A151" s="101" t="s">
        <v>61</v>
      </c>
      <c r="B151" s="101" t="s">
        <v>62</v>
      </c>
      <c r="C151" s="101" t="s">
        <v>63</v>
      </c>
      <c r="D151" s="101">
        <v>2200167.0</v>
      </c>
      <c r="E151" s="102" t="s">
        <v>481</v>
      </c>
      <c r="F151" s="45">
        <v>45274.0</v>
      </c>
      <c r="G151" s="45">
        <v>45235.0</v>
      </c>
      <c r="H151" s="101" t="s">
        <v>83</v>
      </c>
      <c r="I151" s="101" t="s">
        <v>76</v>
      </c>
      <c r="J151" s="101">
        <v>42.0</v>
      </c>
      <c r="K151" s="65">
        <v>86.36904762</v>
      </c>
      <c r="L151" s="65">
        <v>3627.5</v>
      </c>
      <c r="M151" s="103">
        <v>0.2</v>
      </c>
      <c r="N151" s="65">
        <v>725.5</v>
      </c>
      <c r="O151" s="65">
        <v>4353.0</v>
      </c>
      <c r="P151" s="101" t="s">
        <v>79</v>
      </c>
      <c r="Q151" s="65">
        <v>362.75</v>
      </c>
      <c r="R151" s="65">
        <v>4715.75</v>
      </c>
      <c r="S151" s="65">
        <v>2539.25</v>
      </c>
      <c r="T151" s="65">
        <v>2193.73</v>
      </c>
      <c r="U151" s="101" t="s">
        <v>85</v>
      </c>
      <c r="V151" s="45">
        <v>45244.0</v>
      </c>
      <c r="W151" s="65">
        <v>2472.66</v>
      </c>
      <c r="X151" s="101"/>
      <c r="Y151" s="45"/>
      <c r="Z151" s="65"/>
      <c r="AA151" s="101"/>
      <c r="AB151" s="45"/>
      <c r="AC151" s="65">
        <v>313.39</v>
      </c>
      <c r="AD151" s="101"/>
      <c r="AE151" s="45">
        <v>45287.0</v>
      </c>
      <c r="AF151" s="102" t="s">
        <v>482</v>
      </c>
      <c r="AG151" s="101"/>
      <c r="AH151" s="101"/>
      <c r="AI151" s="102"/>
    </row>
    <row r="152" ht="15.75" customHeight="1">
      <c r="A152" s="101" t="s">
        <v>219</v>
      </c>
      <c r="B152" s="101" t="s">
        <v>62</v>
      </c>
      <c r="C152" s="101" t="s">
        <v>278</v>
      </c>
      <c r="D152" s="101">
        <v>2200168.0</v>
      </c>
      <c r="E152" s="102" t="s">
        <v>483</v>
      </c>
      <c r="F152" s="45">
        <v>45280.0</v>
      </c>
      <c r="G152" s="45">
        <v>45237.0</v>
      </c>
      <c r="H152" s="101" t="s">
        <v>73</v>
      </c>
      <c r="I152" s="101" t="s">
        <v>76</v>
      </c>
      <c r="J152" s="101">
        <v>2.0</v>
      </c>
      <c r="K152" s="65">
        <v>90.0</v>
      </c>
      <c r="L152" s="65">
        <v>180.0</v>
      </c>
      <c r="M152" s="103">
        <v>0.2</v>
      </c>
      <c r="N152" s="65">
        <v>36.0</v>
      </c>
      <c r="O152" s="65">
        <v>216.0</v>
      </c>
      <c r="P152" s="101" t="s">
        <v>79</v>
      </c>
      <c r="Q152" s="65">
        <v>18.0</v>
      </c>
      <c r="R152" s="65">
        <v>234.0</v>
      </c>
      <c r="S152" s="65">
        <v>126.0</v>
      </c>
      <c r="T152" s="65"/>
      <c r="U152" s="101"/>
      <c r="V152" s="45"/>
      <c r="W152" s="65"/>
      <c r="X152" s="101"/>
      <c r="Y152" s="45"/>
      <c r="Z152" s="65"/>
      <c r="AA152" s="101"/>
      <c r="AB152" s="45"/>
      <c r="AC152" s="65"/>
      <c r="AD152" s="101"/>
      <c r="AE152" s="45"/>
      <c r="AF152" s="102"/>
      <c r="AG152" s="101"/>
      <c r="AH152" s="101"/>
      <c r="AI152" s="102"/>
    </row>
    <row r="153" ht="15.75" customHeight="1">
      <c r="A153" s="101" t="s">
        <v>61</v>
      </c>
      <c r="B153" s="101" t="s">
        <v>62</v>
      </c>
      <c r="C153" s="101" t="s">
        <v>63</v>
      </c>
      <c r="D153" s="101">
        <v>2200169.0</v>
      </c>
      <c r="E153" s="102" t="s">
        <v>484</v>
      </c>
      <c r="F153" s="45">
        <v>45250.0</v>
      </c>
      <c r="G153" s="45">
        <v>45238.0</v>
      </c>
      <c r="H153" s="101" t="s">
        <v>73</v>
      </c>
      <c r="I153" s="101" t="s">
        <v>76</v>
      </c>
      <c r="J153" s="101">
        <v>150.0</v>
      </c>
      <c r="K153" s="65">
        <v>23.66666667</v>
      </c>
      <c r="L153" s="65">
        <v>3550.0</v>
      </c>
      <c r="M153" s="103">
        <v>0.2</v>
      </c>
      <c r="N153" s="65">
        <v>710.0</v>
      </c>
      <c r="O153" s="65">
        <v>4260.0</v>
      </c>
      <c r="P153" s="101" t="s">
        <v>79</v>
      </c>
      <c r="Q153" s="65">
        <v>355.0</v>
      </c>
      <c r="R153" s="65">
        <v>4615.0</v>
      </c>
      <c r="S153" s="65">
        <v>2485.0</v>
      </c>
      <c r="T153" s="65">
        <v>4615.5</v>
      </c>
      <c r="U153" s="101" t="s">
        <v>85</v>
      </c>
      <c r="V153" s="45"/>
      <c r="W153" s="65"/>
      <c r="X153" s="101"/>
      <c r="Y153" s="45"/>
      <c r="Z153" s="65"/>
      <c r="AA153" s="101"/>
      <c r="AB153" s="45"/>
      <c r="AC153" s="65">
        <v>229.5</v>
      </c>
      <c r="AD153" s="101"/>
      <c r="AE153" s="45">
        <v>45258.0</v>
      </c>
      <c r="AF153" s="102" t="s">
        <v>485</v>
      </c>
      <c r="AG153" s="101">
        <v>401160.0</v>
      </c>
      <c r="AH153" s="101">
        <v>1.1352628E7</v>
      </c>
      <c r="AI153" s="102"/>
    </row>
    <row r="154" ht="15.75" customHeight="1">
      <c r="A154" s="101" t="s">
        <v>61</v>
      </c>
      <c r="B154" s="101" t="s">
        <v>62</v>
      </c>
      <c r="C154" s="101" t="s">
        <v>251</v>
      </c>
      <c r="D154" s="101">
        <v>2200170.0</v>
      </c>
      <c r="E154" s="102" t="s">
        <v>486</v>
      </c>
      <c r="F154" s="45">
        <v>45269.0</v>
      </c>
      <c r="G154" s="45">
        <v>45238.0</v>
      </c>
      <c r="H154" s="101" t="s">
        <v>83</v>
      </c>
      <c r="I154" s="101" t="s">
        <v>76</v>
      </c>
      <c r="J154" s="101">
        <v>50.0</v>
      </c>
      <c r="K154" s="65">
        <v>91.35</v>
      </c>
      <c r="L154" s="65">
        <v>4567.5</v>
      </c>
      <c r="M154" s="103">
        <v>0.2</v>
      </c>
      <c r="N154" s="65">
        <v>913.5</v>
      </c>
      <c r="O154" s="65">
        <v>5481.0</v>
      </c>
      <c r="P154" s="101" t="s">
        <v>79</v>
      </c>
      <c r="Q154" s="65">
        <v>456.75</v>
      </c>
      <c r="R154" s="65">
        <v>5937.75</v>
      </c>
      <c r="S154" s="65">
        <v>3197.25</v>
      </c>
      <c r="T154" s="65"/>
      <c r="U154" s="101"/>
      <c r="V154" s="45"/>
      <c r="W154" s="65"/>
      <c r="X154" s="101"/>
      <c r="Y154" s="45"/>
      <c r="Z154" s="65"/>
      <c r="AA154" s="101"/>
      <c r="AB154" s="45"/>
      <c r="AC154" s="65"/>
      <c r="AD154" s="101"/>
      <c r="AE154" s="45"/>
      <c r="AF154" s="102"/>
      <c r="AG154" s="101"/>
      <c r="AH154" s="101"/>
      <c r="AI154" s="102" t="s">
        <v>487</v>
      </c>
    </row>
    <row r="155" ht="15.75" customHeight="1">
      <c r="A155" s="101" t="s">
        <v>61</v>
      </c>
      <c r="B155" s="101" t="s">
        <v>62</v>
      </c>
      <c r="C155" s="101" t="s">
        <v>63</v>
      </c>
      <c r="D155" s="101">
        <v>2200171.0</v>
      </c>
      <c r="E155" s="102" t="s">
        <v>488</v>
      </c>
      <c r="F155" s="45">
        <v>45269.0</v>
      </c>
      <c r="G155" s="45">
        <v>45238.0</v>
      </c>
      <c r="H155" s="101" t="s">
        <v>73</v>
      </c>
      <c r="I155" s="101" t="s">
        <v>76</v>
      </c>
      <c r="J155" s="101">
        <v>30.0</v>
      </c>
      <c r="K155" s="65">
        <v>78.43333333</v>
      </c>
      <c r="L155" s="65">
        <v>2353.0</v>
      </c>
      <c r="M155" s="103">
        <v>0.2</v>
      </c>
      <c r="N155" s="65">
        <v>470.6</v>
      </c>
      <c r="O155" s="65">
        <v>2823.6</v>
      </c>
      <c r="P155" s="101" t="s">
        <v>79</v>
      </c>
      <c r="Q155" s="65">
        <v>235.3</v>
      </c>
      <c r="R155" s="65">
        <v>3058.9</v>
      </c>
      <c r="S155" s="65">
        <v>1647.1</v>
      </c>
      <c r="T155" s="65">
        <v>1612.8</v>
      </c>
      <c r="U155" s="101" t="s">
        <v>80</v>
      </c>
      <c r="V155" s="45">
        <v>45252.0</v>
      </c>
      <c r="W155" s="65">
        <v>1441.2</v>
      </c>
      <c r="X155" s="101" t="s">
        <v>80</v>
      </c>
      <c r="Y155" s="45">
        <v>45265.0</v>
      </c>
      <c r="Z155" s="65"/>
      <c r="AA155" s="101"/>
      <c r="AB155" s="45"/>
      <c r="AC155" s="65">
        <v>230.4</v>
      </c>
      <c r="AD155" s="101" t="s">
        <v>80</v>
      </c>
      <c r="AE155" s="45">
        <v>45279.0</v>
      </c>
      <c r="AF155" s="102"/>
      <c r="AG155" s="101"/>
      <c r="AH155" s="101"/>
      <c r="AI155" s="102"/>
    </row>
    <row r="156" ht="15.75" customHeight="1">
      <c r="A156" s="101" t="s">
        <v>61</v>
      </c>
      <c r="B156" s="101" t="s">
        <v>62</v>
      </c>
      <c r="C156" s="101" t="s">
        <v>63</v>
      </c>
      <c r="D156" s="101">
        <v>2200172.0</v>
      </c>
      <c r="E156" s="102" t="s">
        <v>489</v>
      </c>
      <c r="F156" s="45">
        <v>45259.0</v>
      </c>
      <c r="G156" s="45">
        <v>45239.0</v>
      </c>
      <c r="H156" s="101" t="s">
        <v>73</v>
      </c>
      <c r="I156" s="101" t="s">
        <v>76</v>
      </c>
      <c r="J156" s="101">
        <v>60.0</v>
      </c>
      <c r="K156" s="65">
        <v>76.315</v>
      </c>
      <c r="L156" s="65">
        <v>4578.9</v>
      </c>
      <c r="M156" s="103">
        <v>0.2</v>
      </c>
      <c r="N156" s="65">
        <v>915.78</v>
      </c>
      <c r="O156" s="65">
        <v>5494.68</v>
      </c>
      <c r="P156" s="101" t="s">
        <v>79</v>
      </c>
      <c r="Q156" s="65">
        <v>457.89</v>
      </c>
      <c r="R156" s="65">
        <v>5952.57</v>
      </c>
      <c r="S156" s="65">
        <v>3205.23</v>
      </c>
      <c r="T156" s="65">
        <v>5952.57</v>
      </c>
      <c r="U156" s="101" t="s">
        <v>85</v>
      </c>
      <c r="V156" s="45">
        <v>45245.0</v>
      </c>
      <c r="W156" s="65"/>
      <c r="X156" s="101"/>
      <c r="Y156" s="45"/>
      <c r="Z156" s="65"/>
      <c r="AA156" s="101"/>
      <c r="AB156" s="45"/>
      <c r="AC156" s="65">
        <v>657.09</v>
      </c>
      <c r="AD156" s="101"/>
      <c r="AE156" s="45">
        <v>45269.0</v>
      </c>
      <c r="AF156" s="102" t="s">
        <v>490</v>
      </c>
      <c r="AG156" s="101" t="s">
        <v>491</v>
      </c>
      <c r="AH156" s="101" t="s">
        <v>492</v>
      </c>
      <c r="AI156" s="102"/>
    </row>
    <row r="157" ht="15.75" customHeight="1">
      <c r="A157" s="101" t="s">
        <v>219</v>
      </c>
      <c r="B157" s="101" t="s">
        <v>62</v>
      </c>
      <c r="C157" s="101" t="s">
        <v>63</v>
      </c>
      <c r="D157" s="101">
        <v>2200173.0</v>
      </c>
      <c r="E157" s="102" t="s">
        <v>328</v>
      </c>
      <c r="F157" s="45">
        <v>45260.0</v>
      </c>
      <c r="G157" s="45">
        <v>45239.0</v>
      </c>
      <c r="H157" s="101" t="s">
        <v>83</v>
      </c>
      <c r="I157" s="101" t="s">
        <v>76</v>
      </c>
      <c r="J157" s="101">
        <v>40.0</v>
      </c>
      <c r="K157" s="65">
        <v>37.375</v>
      </c>
      <c r="L157" s="65">
        <v>1495.0</v>
      </c>
      <c r="M157" s="103">
        <v>0.2</v>
      </c>
      <c r="N157" s="65">
        <v>299.0</v>
      </c>
      <c r="O157" s="65">
        <v>1794.0</v>
      </c>
      <c r="P157" s="101" t="s">
        <v>79</v>
      </c>
      <c r="Q157" s="65">
        <v>149.5</v>
      </c>
      <c r="R157" s="65">
        <v>1943.5</v>
      </c>
      <c r="S157" s="65">
        <v>1046.5</v>
      </c>
      <c r="T157" s="65">
        <v>1943.5</v>
      </c>
      <c r="U157" s="101" t="s">
        <v>85</v>
      </c>
      <c r="V157" s="45">
        <v>45247.0</v>
      </c>
      <c r="W157" s="65"/>
      <c r="X157" s="101"/>
      <c r="Y157" s="45"/>
      <c r="Z157" s="65"/>
      <c r="AA157" s="101"/>
      <c r="AB157" s="45"/>
      <c r="AC157" s="65">
        <v>140.25</v>
      </c>
      <c r="AD157" s="101"/>
      <c r="AE157" s="45">
        <v>45272.0</v>
      </c>
      <c r="AF157" s="102"/>
      <c r="AG157" s="101"/>
      <c r="AH157" s="101"/>
      <c r="AI157" s="102"/>
    </row>
    <row r="158" ht="15.75" customHeight="1">
      <c r="A158" s="101" t="s">
        <v>219</v>
      </c>
      <c r="B158" s="101" t="s">
        <v>62</v>
      </c>
      <c r="C158" s="101" t="s">
        <v>63</v>
      </c>
      <c r="D158" s="101">
        <v>2200174.0</v>
      </c>
      <c r="E158" s="102" t="s">
        <v>493</v>
      </c>
      <c r="F158" s="45">
        <v>45281.0</v>
      </c>
      <c r="G158" s="45">
        <v>45243.0</v>
      </c>
      <c r="H158" s="101" t="s">
        <v>73</v>
      </c>
      <c r="I158" s="101" t="s">
        <v>119</v>
      </c>
      <c r="J158" s="101">
        <v>80.0</v>
      </c>
      <c r="K158" s="65">
        <v>64.2625</v>
      </c>
      <c r="L158" s="65">
        <v>5141.0</v>
      </c>
      <c r="M158" s="103">
        <v>0.2</v>
      </c>
      <c r="N158" s="65">
        <v>1028.2</v>
      </c>
      <c r="O158" s="65">
        <v>6169.2</v>
      </c>
      <c r="P158" s="101" t="s">
        <v>84</v>
      </c>
      <c r="Q158" s="65">
        <v>514.1</v>
      </c>
      <c r="R158" s="65">
        <v>6169.2</v>
      </c>
      <c r="S158" s="65">
        <v>3598.7</v>
      </c>
      <c r="T158" s="65"/>
      <c r="U158" s="101"/>
      <c r="V158" s="45"/>
      <c r="W158" s="65"/>
      <c r="X158" s="101"/>
      <c r="Y158" s="45"/>
      <c r="Z158" s="65"/>
      <c r="AA158" s="101"/>
      <c r="AB158" s="45"/>
      <c r="AC158" s="65"/>
      <c r="AD158" s="101"/>
      <c r="AE158" s="45"/>
      <c r="AF158" s="102"/>
      <c r="AG158" s="101"/>
      <c r="AH158" s="101"/>
      <c r="AI158" s="102"/>
    </row>
    <row r="159" ht="15.75" customHeight="1">
      <c r="A159" s="101" t="s">
        <v>61</v>
      </c>
      <c r="B159" s="101" t="s">
        <v>62</v>
      </c>
      <c r="C159" s="101" t="s">
        <v>278</v>
      </c>
      <c r="D159" s="101">
        <v>2200175.0</v>
      </c>
      <c r="E159" s="102" t="s">
        <v>494</v>
      </c>
      <c r="F159" s="45">
        <v>45283.0</v>
      </c>
      <c r="G159" s="45">
        <v>45244.0</v>
      </c>
      <c r="H159" s="101" t="s">
        <v>73</v>
      </c>
      <c r="I159" s="101" t="s">
        <v>76</v>
      </c>
      <c r="J159" s="101">
        <v>70.0</v>
      </c>
      <c r="K159" s="65">
        <v>120.9742857</v>
      </c>
      <c r="L159" s="65">
        <v>8468.2</v>
      </c>
      <c r="M159" s="103">
        <v>0.2</v>
      </c>
      <c r="N159" s="65">
        <v>1693.64</v>
      </c>
      <c r="O159" s="65">
        <v>10161.84</v>
      </c>
      <c r="P159" s="101" t="s">
        <v>79</v>
      </c>
      <c r="Q159" s="65">
        <v>846.82</v>
      </c>
      <c r="R159" s="65">
        <v>11008.66</v>
      </c>
      <c r="S159" s="65">
        <v>5927.74</v>
      </c>
      <c r="T159" s="65">
        <v>4341.75</v>
      </c>
      <c r="U159" s="101" t="s">
        <v>80</v>
      </c>
      <c r="V159" s="45">
        <v>45250.0</v>
      </c>
      <c r="W159" s="65">
        <v>6440.34</v>
      </c>
      <c r="X159" s="101" t="s">
        <v>80</v>
      </c>
      <c r="Y159" s="45">
        <v>45275.0</v>
      </c>
      <c r="Z159" s="65"/>
      <c r="AA159" s="101"/>
      <c r="AB159" s="45"/>
      <c r="AC159" s="65">
        <v>609.69</v>
      </c>
      <c r="AD159" s="101" t="s">
        <v>80</v>
      </c>
      <c r="AE159" s="45">
        <v>45304.0</v>
      </c>
      <c r="AF159" s="102"/>
      <c r="AG159" s="101"/>
      <c r="AH159" s="101"/>
      <c r="AI159" s="102"/>
    </row>
    <row r="160" ht="15.75" customHeight="1">
      <c r="A160" s="101" t="s">
        <v>167</v>
      </c>
      <c r="B160" s="101" t="s">
        <v>62</v>
      </c>
      <c r="C160" s="101" t="s">
        <v>63</v>
      </c>
      <c r="D160" s="101">
        <v>2200176.0</v>
      </c>
      <c r="E160" s="102" t="s">
        <v>204</v>
      </c>
      <c r="F160" s="45">
        <v>45244.0</v>
      </c>
      <c r="G160" s="45">
        <v>45244.0</v>
      </c>
      <c r="H160" s="101" t="s">
        <v>83</v>
      </c>
      <c r="I160" s="101" t="s">
        <v>76</v>
      </c>
      <c r="J160" s="101">
        <v>11.0</v>
      </c>
      <c r="K160" s="65">
        <v>75.0</v>
      </c>
      <c r="L160" s="65">
        <v>825.0</v>
      </c>
      <c r="M160" s="103">
        <v>0.2</v>
      </c>
      <c r="N160" s="65">
        <v>165.0</v>
      </c>
      <c r="O160" s="65">
        <v>990.0</v>
      </c>
      <c r="P160" s="101"/>
      <c r="Q160" s="65">
        <v>82.5</v>
      </c>
      <c r="R160" s="65"/>
      <c r="S160" s="65">
        <v>577.5</v>
      </c>
      <c r="T160" s="65">
        <v>990.0</v>
      </c>
      <c r="U160" s="101" t="s">
        <v>85</v>
      </c>
      <c r="V160" s="45">
        <v>45261.0</v>
      </c>
      <c r="W160" s="65"/>
      <c r="X160" s="101"/>
      <c r="Y160" s="45"/>
      <c r="Z160" s="65"/>
      <c r="AA160" s="101"/>
      <c r="AB160" s="45"/>
      <c r="AC160" s="65"/>
      <c r="AD160" s="101"/>
      <c r="AE160" s="45"/>
      <c r="AF160" s="102"/>
      <c r="AG160" s="101"/>
      <c r="AH160" s="101"/>
      <c r="AI160" s="102"/>
    </row>
    <row r="161" ht="15.75" customHeight="1">
      <c r="A161" s="101" t="s">
        <v>61</v>
      </c>
      <c r="B161" s="101" t="s">
        <v>62</v>
      </c>
      <c r="C161" s="101" t="s">
        <v>63</v>
      </c>
      <c r="D161" s="101">
        <v>2200177.0</v>
      </c>
      <c r="E161" s="102" t="s">
        <v>495</v>
      </c>
      <c r="F161" s="45">
        <v>45264.0</v>
      </c>
      <c r="G161" s="45">
        <v>45246.0</v>
      </c>
      <c r="H161" s="101" t="s">
        <v>73</v>
      </c>
      <c r="I161" s="101" t="s">
        <v>76</v>
      </c>
      <c r="J161" s="101">
        <v>30.0</v>
      </c>
      <c r="K161" s="65">
        <v>182.14</v>
      </c>
      <c r="L161" s="65">
        <v>4553.5</v>
      </c>
      <c r="M161" s="103">
        <v>0.2</v>
      </c>
      <c r="N161" s="65">
        <v>910.7</v>
      </c>
      <c r="O161" s="65">
        <v>5464.2</v>
      </c>
      <c r="P161" s="101" t="s">
        <v>79</v>
      </c>
      <c r="Q161" s="65">
        <v>455.35</v>
      </c>
      <c r="R161" s="65">
        <v>5919.55</v>
      </c>
      <c r="S161" s="65">
        <v>3187.45</v>
      </c>
      <c r="T161" s="65">
        <v>2276.05</v>
      </c>
      <c r="U161" s="101" t="s">
        <v>80</v>
      </c>
      <c r="V161" s="45">
        <v>45250.0</v>
      </c>
      <c r="W161" s="65">
        <v>1950.9</v>
      </c>
      <c r="X161" s="101" t="s">
        <v>80</v>
      </c>
      <c r="Y161" s="45">
        <v>45259.0</v>
      </c>
      <c r="Z161" s="65">
        <v>1562.4</v>
      </c>
      <c r="AA161" s="101" t="s">
        <v>80</v>
      </c>
      <c r="AB161" s="45">
        <v>45260.0</v>
      </c>
      <c r="AC161" s="65">
        <v>325.15</v>
      </c>
      <c r="AD161" s="101" t="s">
        <v>80</v>
      </c>
      <c r="AE161" s="45">
        <v>45269.0</v>
      </c>
      <c r="AF161" s="102"/>
      <c r="AG161" s="101"/>
      <c r="AH161" s="101"/>
      <c r="AI161" s="102"/>
    </row>
    <row r="162" ht="15.75" customHeight="1">
      <c r="A162" s="101" t="s">
        <v>61</v>
      </c>
      <c r="B162" s="101" t="s">
        <v>62</v>
      </c>
      <c r="C162" s="101" t="s">
        <v>63</v>
      </c>
      <c r="D162" s="101">
        <v>2200178.0</v>
      </c>
      <c r="E162" s="102" t="s">
        <v>498</v>
      </c>
      <c r="F162" s="45">
        <v>45265.0</v>
      </c>
      <c r="G162" s="45">
        <v>45246.0</v>
      </c>
      <c r="H162" s="101" t="s">
        <v>83</v>
      </c>
      <c r="I162" s="101" t="s">
        <v>76</v>
      </c>
      <c r="J162" s="101">
        <v>20.0</v>
      </c>
      <c r="K162" s="65">
        <v>0.0</v>
      </c>
      <c r="L162" s="65">
        <v>2178.0</v>
      </c>
      <c r="M162" s="103">
        <v>0.2</v>
      </c>
      <c r="N162" s="65">
        <v>435.6</v>
      </c>
      <c r="O162" s="65">
        <v>2613.6</v>
      </c>
      <c r="P162" s="101" t="s">
        <v>79</v>
      </c>
      <c r="Q162" s="65">
        <v>217.8</v>
      </c>
      <c r="R162" s="65">
        <v>2831.4</v>
      </c>
      <c r="S162" s="65">
        <v>1524.6</v>
      </c>
      <c r="T162" s="65">
        <v>2831.4</v>
      </c>
      <c r="U162" s="101" t="s">
        <v>85</v>
      </c>
      <c r="V162" s="45">
        <v>45259.0</v>
      </c>
      <c r="W162" s="65"/>
      <c r="X162" s="101"/>
      <c r="Y162" s="45"/>
      <c r="Z162" s="65"/>
      <c r="AA162" s="101"/>
      <c r="AB162" s="45"/>
      <c r="AC162" s="65">
        <v>217.8</v>
      </c>
      <c r="AD162" s="101" t="s">
        <v>85</v>
      </c>
      <c r="AE162" s="45">
        <v>45269.0</v>
      </c>
      <c r="AF162" s="102" t="s">
        <v>500</v>
      </c>
      <c r="AG162" s="101" t="s">
        <v>501</v>
      </c>
      <c r="AH162" s="101">
        <v>4.9005901E7</v>
      </c>
      <c r="AI162" s="102"/>
    </row>
    <row r="163" ht="15.75" customHeight="1">
      <c r="A163" s="101" t="s">
        <v>61</v>
      </c>
      <c r="B163" s="101" t="s">
        <v>62</v>
      </c>
      <c r="C163" s="101" t="s">
        <v>63</v>
      </c>
      <c r="D163" s="101">
        <v>2200179.0</v>
      </c>
      <c r="E163" s="102" t="s">
        <v>502</v>
      </c>
      <c r="F163" s="45">
        <v>45274.0</v>
      </c>
      <c r="G163" s="45">
        <v>45247.0</v>
      </c>
      <c r="H163" s="101" t="s">
        <v>73</v>
      </c>
      <c r="I163" s="101" t="s">
        <v>76</v>
      </c>
      <c r="J163" s="101">
        <v>35.0</v>
      </c>
      <c r="K163" s="65">
        <v>64.87857143</v>
      </c>
      <c r="L163" s="65">
        <v>2270.75</v>
      </c>
      <c r="M163" s="103">
        <v>0.2</v>
      </c>
      <c r="N163" s="65">
        <v>454.15</v>
      </c>
      <c r="O163" s="65">
        <v>2724.9</v>
      </c>
      <c r="P163" s="101" t="s">
        <v>79</v>
      </c>
      <c r="Q163" s="65">
        <v>227.075</v>
      </c>
      <c r="R163" s="65">
        <v>2951.975</v>
      </c>
      <c r="S163" s="65">
        <v>1589.525</v>
      </c>
      <c r="T163" s="65">
        <v>2997.4</v>
      </c>
      <c r="U163" s="101" t="s">
        <v>80</v>
      </c>
      <c r="V163" s="45">
        <v>45247.0</v>
      </c>
      <c r="W163" s="65"/>
      <c r="X163" s="101"/>
      <c r="Y163" s="45"/>
      <c r="Z163" s="65"/>
      <c r="AA163" s="101"/>
      <c r="AB163" s="45"/>
      <c r="AC163" s="65">
        <v>227.08</v>
      </c>
      <c r="AD163" s="101" t="s">
        <v>80</v>
      </c>
      <c r="AE163" s="45">
        <v>45279.0</v>
      </c>
      <c r="AF163" s="102"/>
      <c r="AG163" s="101"/>
      <c r="AH163" s="101"/>
      <c r="AI163" s="102"/>
    </row>
    <row r="164" ht="15.75" customHeight="1">
      <c r="A164" s="101" t="s">
        <v>219</v>
      </c>
      <c r="B164" s="101" t="s">
        <v>62</v>
      </c>
      <c r="C164" s="101" t="s">
        <v>63</v>
      </c>
      <c r="D164" s="101">
        <v>2200180.0</v>
      </c>
      <c r="E164" s="102" t="s">
        <v>503</v>
      </c>
      <c r="F164" s="45">
        <v>45262.0</v>
      </c>
      <c r="G164" s="45">
        <v>45247.0</v>
      </c>
      <c r="H164" s="101" t="s">
        <v>83</v>
      </c>
      <c r="I164" s="101" t="s">
        <v>76</v>
      </c>
      <c r="J164" s="101">
        <v>40.0</v>
      </c>
      <c r="K164" s="65">
        <v>42.885</v>
      </c>
      <c r="L164" s="65">
        <v>1715.4</v>
      </c>
      <c r="M164" s="103">
        <v>0.2</v>
      </c>
      <c r="N164" s="65">
        <v>343.08</v>
      </c>
      <c r="O164" s="65">
        <v>2058.48</v>
      </c>
      <c r="P164" s="101" t="s">
        <v>79</v>
      </c>
      <c r="Q164" s="65">
        <v>171.54</v>
      </c>
      <c r="R164" s="65">
        <v>2230.02</v>
      </c>
      <c r="S164" s="65">
        <v>1200.78</v>
      </c>
      <c r="T164" s="65">
        <v>2332.62</v>
      </c>
      <c r="U164" s="101" t="s">
        <v>85</v>
      </c>
      <c r="V164" s="45">
        <v>45254.0</v>
      </c>
      <c r="W164" s="65"/>
      <c r="X164" s="101"/>
      <c r="Y164" s="45"/>
      <c r="Z164" s="65"/>
      <c r="AA164" s="101"/>
      <c r="AB164" s="45"/>
      <c r="AC164" s="65">
        <v>281.34</v>
      </c>
      <c r="AD164" s="101"/>
      <c r="AE164" s="45">
        <v>45270.0</v>
      </c>
      <c r="AF164" s="102" t="s">
        <v>504</v>
      </c>
      <c r="AG164" s="101" t="s">
        <v>275</v>
      </c>
      <c r="AH164" s="101">
        <v>3.0161756E7</v>
      </c>
      <c r="AI164" s="102"/>
    </row>
    <row r="165" ht="15.75" customHeight="1">
      <c r="A165" s="101" t="s">
        <v>61</v>
      </c>
      <c r="B165" s="101" t="s">
        <v>62</v>
      </c>
      <c r="C165" s="101" t="s">
        <v>251</v>
      </c>
      <c r="D165" s="101">
        <v>2200181.0</v>
      </c>
      <c r="E165" s="102" t="s">
        <v>505</v>
      </c>
      <c r="F165" s="45">
        <v>45269.0</v>
      </c>
      <c r="G165" s="45">
        <v>45250.0</v>
      </c>
      <c r="H165" s="101" t="s">
        <v>83</v>
      </c>
      <c r="I165" s="101" t="s">
        <v>76</v>
      </c>
      <c r="J165" s="101">
        <v>50.0</v>
      </c>
      <c r="K165" s="65">
        <v>73.62</v>
      </c>
      <c r="L165" s="65">
        <v>3681.0</v>
      </c>
      <c r="M165" s="103">
        <v>0.2</v>
      </c>
      <c r="N165" s="65">
        <v>736.2</v>
      </c>
      <c r="O165" s="65">
        <v>4417.2</v>
      </c>
      <c r="P165" s="101" t="s">
        <v>79</v>
      </c>
      <c r="Q165" s="65">
        <v>368.1</v>
      </c>
      <c r="R165" s="65">
        <v>4785.3</v>
      </c>
      <c r="S165" s="65">
        <v>2576.7</v>
      </c>
      <c r="T165" s="65">
        <v>4785.3</v>
      </c>
      <c r="U165" s="101" t="s">
        <v>80</v>
      </c>
      <c r="V165" s="45">
        <v>45264.0</v>
      </c>
      <c r="W165" s="65"/>
      <c r="X165" s="101"/>
      <c r="Y165" s="45"/>
      <c r="Z165" s="65"/>
      <c r="AA165" s="101"/>
      <c r="AB165" s="45"/>
      <c r="AC165" s="65">
        <v>175.5</v>
      </c>
      <c r="AD165" s="101" t="s">
        <v>80</v>
      </c>
      <c r="AE165" s="45">
        <v>45279.0</v>
      </c>
      <c r="AF165" s="102"/>
      <c r="AG165" s="101"/>
      <c r="AH165" s="101"/>
      <c r="AI165" s="102"/>
    </row>
    <row r="166" ht="15.75" customHeight="1">
      <c r="A166" s="101" t="s">
        <v>61</v>
      </c>
      <c r="B166" s="101" t="s">
        <v>62</v>
      </c>
      <c r="C166" s="101" t="s">
        <v>63</v>
      </c>
      <c r="D166" s="101">
        <v>2200182.0</v>
      </c>
      <c r="E166" s="102" t="s">
        <v>449</v>
      </c>
      <c r="F166" s="45">
        <v>45261.0</v>
      </c>
      <c r="G166" s="45">
        <v>45252.0</v>
      </c>
      <c r="H166" s="101" t="s">
        <v>83</v>
      </c>
      <c r="I166" s="101" t="s">
        <v>76</v>
      </c>
      <c r="J166" s="101">
        <v>20.0</v>
      </c>
      <c r="K166" s="65">
        <v>49.3</v>
      </c>
      <c r="L166" s="65">
        <v>986.0</v>
      </c>
      <c r="M166" s="103">
        <v>0.2</v>
      </c>
      <c r="N166" s="65">
        <v>197.2</v>
      </c>
      <c r="O166" s="65">
        <v>1183.2</v>
      </c>
      <c r="P166" s="101" t="s">
        <v>84</v>
      </c>
      <c r="Q166" s="65">
        <v>98.6</v>
      </c>
      <c r="R166" s="65">
        <v>1183.2</v>
      </c>
      <c r="S166" s="65">
        <v>690.2</v>
      </c>
      <c r="T166" s="65">
        <v>1147.2</v>
      </c>
      <c r="U166" s="101" t="s">
        <v>85</v>
      </c>
      <c r="V166" s="45">
        <v>45254.0</v>
      </c>
      <c r="W166" s="65"/>
      <c r="X166" s="101"/>
      <c r="Y166" s="45"/>
      <c r="Z166" s="65"/>
      <c r="AA166" s="101"/>
      <c r="AB166" s="45"/>
      <c r="AC166" s="65"/>
      <c r="AD166" s="101"/>
      <c r="AE166" s="45"/>
      <c r="AF166" s="102"/>
      <c r="AG166" s="101"/>
      <c r="AH166" s="101"/>
      <c r="AI166" s="102"/>
    </row>
    <row r="167" ht="15.75" customHeight="1">
      <c r="A167" s="101" t="s">
        <v>61</v>
      </c>
      <c r="B167" s="101" t="s">
        <v>62</v>
      </c>
      <c r="C167" s="101" t="s">
        <v>63</v>
      </c>
      <c r="D167" s="101">
        <v>2200183.0</v>
      </c>
      <c r="E167" s="102" t="s">
        <v>506</v>
      </c>
      <c r="F167" s="45">
        <v>45267.0</v>
      </c>
      <c r="G167" s="45">
        <v>45252.0</v>
      </c>
      <c r="H167" s="101" t="s">
        <v>73</v>
      </c>
      <c r="I167" s="101" t="s">
        <v>76</v>
      </c>
      <c r="J167" s="101">
        <v>130.0</v>
      </c>
      <c r="K167" s="65">
        <v>30.36538462</v>
      </c>
      <c r="L167" s="65">
        <v>3947.5</v>
      </c>
      <c r="M167" s="103">
        <v>0.2</v>
      </c>
      <c r="N167" s="65">
        <v>789.5</v>
      </c>
      <c r="O167" s="65">
        <v>4737.0</v>
      </c>
      <c r="P167" s="101" t="s">
        <v>79</v>
      </c>
      <c r="Q167" s="65">
        <v>394.75</v>
      </c>
      <c r="R167" s="65">
        <v>5131.75</v>
      </c>
      <c r="S167" s="65">
        <v>2763.25</v>
      </c>
      <c r="T167" s="65">
        <v>4546.75</v>
      </c>
      <c r="U167" s="101" t="s">
        <v>85</v>
      </c>
      <c r="V167" s="45">
        <v>45261.0</v>
      </c>
      <c r="W167" s="65"/>
      <c r="X167" s="101"/>
      <c r="Y167" s="45"/>
      <c r="Z167" s="65"/>
      <c r="AA167" s="101"/>
      <c r="AB167" s="45"/>
      <c r="AC167" s="65">
        <v>387.55</v>
      </c>
      <c r="AD167" s="101"/>
      <c r="AE167" s="45">
        <v>45270.0</v>
      </c>
      <c r="AF167" s="102" t="s">
        <v>507</v>
      </c>
      <c r="AG167" s="101" t="s">
        <v>508</v>
      </c>
      <c r="AH167" s="101" t="s">
        <v>509</v>
      </c>
      <c r="AI167" s="102"/>
    </row>
    <row r="168" ht="15.75" customHeight="1">
      <c r="A168" s="101" t="s">
        <v>61</v>
      </c>
      <c r="B168" s="101" t="s">
        <v>62</v>
      </c>
      <c r="C168" s="101" t="s">
        <v>63</v>
      </c>
      <c r="D168" s="101">
        <v>2200184.0</v>
      </c>
      <c r="E168" s="102" t="s">
        <v>510</v>
      </c>
      <c r="F168" s="45">
        <v>45259.0</v>
      </c>
      <c r="G168" s="45">
        <v>45252.0</v>
      </c>
      <c r="H168" s="101" t="s">
        <v>73</v>
      </c>
      <c r="I168" s="101" t="s">
        <v>76</v>
      </c>
      <c r="J168" s="101">
        <v>145.0</v>
      </c>
      <c r="K168" s="65">
        <v>59.04793103</v>
      </c>
      <c r="L168" s="65">
        <v>8561.95</v>
      </c>
      <c r="M168" s="103">
        <v>0.2</v>
      </c>
      <c r="N168" s="65">
        <v>1712.39</v>
      </c>
      <c r="O168" s="65">
        <v>10274.34</v>
      </c>
      <c r="P168" s="101" t="s">
        <v>79</v>
      </c>
      <c r="Q168" s="65">
        <v>856.195</v>
      </c>
      <c r="R168" s="65">
        <v>11130.535</v>
      </c>
      <c r="S168" s="65">
        <v>5993.365</v>
      </c>
      <c r="T168" s="65">
        <v>11130.53</v>
      </c>
      <c r="U168" s="101" t="s">
        <v>85</v>
      </c>
      <c r="V168" s="45">
        <v>45254.0</v>
      </c>
      <c r="W168" s="65"/>
      <c r="X168" s="101"/>
      <c r="Y168" s="45"/>
      <c r="Z168" s="65"/>
      <c r="AA168" s="101"/>
      <c r="AB168" s="45"/>
      <c r="AC168" s="65">
        <v>1448.51</v>
      </c>
      <c r="AD168" s="101"/>
      <c r="AE168" s="45">
        <v>45269.0</v>
      </c>
      <c r="AF168" s="102" t="s">
        <v>511</v>
      </c>
      <c r="AG168" s="101" t="s">
        <v>512</v>
      </c>
      <c r="AH168" s="101">
        <v>1.3913139E7</v>
      </c>
      <c r="AI168" s="102"/>
    </row>
    <row r="169" ht="15.75" customHeight="1">
      <c r="A169" s="101" t="s">
        <v>61</v>
      </c>
      <c r="B169" s="101" t="s">
        <v>62</v>
      </c>
      <c r="C169" s="101" t="s">
        <v>63</v>
      </c>
      <c r="D169" s="101">
        <v>2200185.0</v>
      </c>
      <c r="E169" s="102" t="s">
        <v>513</v>
      </c>
      <c r="F169" s="45">
        <v>45268.0</v>
      </c>
      <c r="G169" s="45">
        <v>45253.0</v>
      </c>
      <c r="H169" s="101" t="s">
        <v>73</v>
      </c>
      <c r="I169" s="101" t="s">
        <v>76</v>
      </c>
      <c r="J169" s="101">
        <v>35.0</v>
      </c>
      <c r="K169" s="65">
        <v>35.88571429</v>
      </c>
      <c r="L169" s="65">
        <v>1256.0</v>
      </c>
      <c r="M169" s="103">
        <v>0.2</v>
      </c>
      <c r="N169" s="65">
        <v>251.2</v>
      </c>
      <c r="O169" s="65">
        <v>1507.2</v>
      </c>
      <c r="P169" s="101" t="s">
        <v>84</v>
      </c>
      <c r="Q169" s="65">
        <v>125.6</v>
      </c>
      <c r="R169" s="65">
        <v>1507.2</v>
      </c>
      <c r="S169" s="65">
        <v>879.2</v>
      </c>
      <c r="T169" s="65">
        <v>1507.2</v>
      </c>
      <c r="U169" s="101" t="s">
        <v>85</v>
      </c>
      <c r="V169" s="45"/>
      <c r="W169" s="65"/>
      <c r="X169" s="101"/>
      <c r="Y169" s="45"/>
      <c r="Z169" s="65"/>
      <c r="AA169" s="101"/>
      <c r="AB169" s="45"/>
      <c r="AC169" s="65"/>
      <c r="AD169" s="101"/>
      <c r="AE169" s="45"/>
      <c r="AF169" s="102"/>
      <c r="AG169" s="101"/>
      <c r="AH169" s="101"/>
      <c r="AI169" s="102"/>
    </row>
    <row r="170" ht="15.75" customHeight="1">
      <c r="A170" s="101" t="s">
        <v>61</v>
      </c>
      <c r="B170" s="101" t="s">
        <v>62</v>
      </c>
      <c r="C170" s="101" t="s">
        <v>63</v>
      </c>
      <c r="D170" s="101">
        <v>2200186.0</v>
      </c>
      <c r="E170" s="102" t="s">
        <v>514</v>
      </c>
      <c r="F170" s="45">
        <v>45275.0</v>
      </c>
      <c r="G170" s="45">
        <v>45257.0</v>
      </c>
      <c r="H170" s="101" t="s">
        <v>73</v>
      </c>
      <c r="I170" s="101" t="s">
        <v>76</v>
      </c>
      <c r="J170" s="101">
        <v>50.0</v>
      </c>
      <c r="K170" s="65">
        <v>22.92</v>
      </c>
      <c r="L170" s="65">
        <v>1146.0</v>
      </c>
      <c r="M170" s="103">
        <v>0.2</v>
      </c>
      <c r="N170" s="65">
        <v>229.2</v>
      </c>
      <c r="O170" s="65">
        <v>1375.2</v>
      </c>
      <c r="P170" s="101" t="s">
        <v>84</v>
      </c>
      <c r="Q170" s="65">
        <v>114.6</v>
      </c>
      <c r="R170" s="65">
        <v>1375.2</v>
      </c>
      <c r="S170" s="65">
        <v>802.2</v>
      </c>
      <c r="T170" s="65">
        <v>1375.2</v>
      </c>
      <c r="U170" s="101" t="s">
        <v>80</v>
      </c>
      <c r="V170" s="45">
        <v>45257.0</v>
      </c>
      <c r="W170" s="65"/>
      <c r="X170" s="101"/>
      <c r="Y170" s="45"/>
      <c r="Z170" s="65"/>
      <c r="AA170" s="101"/>
      <c r="AB170" s="45"/>
      <c r="AC170" s="65"/>
      <c r="AD170" s="101"/>
      <c r="AE170" s="45"/>
      <c r="AF170" s="102"/>
      <c r="AG170" s="101"/>
      <c r="AH170" s="101"/>
      <c r="AI170" s="102"/>
    </row>
    <row r="171" ht="15.75" customHeight="1">
      <c r="A171" s="101" t="s">
        <v>61</v>
      </c>
      <c r="B171" s="101" t="s">
        <v>62</v>
      </c>
      <c r="C171" s="101" t="s">
        <v>63</v>
      </c>
      <c r="D171" s="101">
        <v>2200187.0</v>
      </c>
      <c r="E171" s="102" t="s">
        <v>515</v>
      </c>
      <c r="F171" s="45">
        <v>45332.0</v>
      </c>
      <c r="G171" s="45">
        <v>45257.0</v>
      </c>
      <c r="H171" s="101" t="s">
        <v>73</v>
      </c>
      <c r="I171" s="101" t="s">
        <v>119</v>
      </c>
      <c r="J171" s="101">
        <v>370.0</v>
      </c>
      <c r="K171" s="65">
        <v>138.5764865</v>
      </c>
      <c r="L171" s="65">
        <v>51273.3</v>
      </c>
      <c r="M171" s="103">
        <v>0.2</v>
      </c>
      <c r="N171" s="65">
        <v>10254.66</v>
      </c>
      <c r="O171" s="65">
        <v>61527.96</v>
      </c>
      <c r="P171" s="101" t="s">
        <v>79</v>
      </c>
      <c r="Q171" s="65">
        <v>5127.33</v>
      </c>
      <c r="R171" s="65">
        <v>66655.29</v>
      </c>
      <c r="S171" s="65">
        <v>35891.31</v>
      </c>
      <c r="T171" s="65">
        <v>18000.0</v>
      </c>
      <c r="U171" s="101" t="s">
        <v>80</v>
      </c>
      <c r="V171" s="45">
        <v>45268.0</v>
      </c>
      <c r="W171" s="65"/>
      <c r="X171" s="101"/>
      <c r="Y171" s="45"/>
      <c r="Z171" s="65"/>
      <c r="AA171" s="101"/>
      <c r="AB171" s="45"/>
      <c r="AC171" s="65"/>
      <c r="AD171" s="101"/>
      <c r="AE171" s="45"/>
      <c r="AF171" s="102"/>
      <c r="AG171" s="101"/>
      <c r="AH171" s="101"/>
      <c r="AI171" s="102"/>
    </row>
    <row r="172" ht="15.75" customHeight="1">
      <c r="A172" s="101" t="s">
        <v>61</v>
      </c>
      <c r="B172" s="101" t="s">
        <v>62</v>
      </c>
      <c r="C172" s="101" t="s">
        <v>63</v>
      </c>
      <c r="D172" s="101">
        <v>2200188.0</v>
      </c>
      <c r="E172" s="102" t="s">
        <v>516</v>
      </c>
      <c r="F172" s="45">
        <v>45263.0</v>
      </c>
      <c r="G172" s="45">
        <v>45258.0</v>
      </c>
      <c r="H172" s="101" t="s">
        <v>73</v>
      </c>
      <c r="I172" s="101" t="s">
        <v>76</v>
      </c>
      <c r="J172" s="101">
        <v>20.0</v>
      </c>
      <c r="K172" s="65">
        <v>50.2</v>
      </c>
      <c r="L172" s="65">
        <v>1004.0</v>
      </c>
      <c r="M172" s="103">
        <v>0.2</v>
      </c>
      <c r="N172" s="65">
        <v>200.8</v>
      </c>
      <c r="O172" s="65">
        <v>1204.8</v>
      </c>
      <c r="P172" s="101" t="s">
        <v>84</v>
      </c>
      <c r="Q172" s="65">
        <v>100.4</v>
      </c>
      <c r="R172" s="65">
        <v>1204.8</v>
      </c>
      <c r="S172" s="65">
        <v>702.8</v>
      </c>
      <c r="T172" s="65">
        <v>1204.8</v>
      </c>
      <c r="U172" s="101" t="s">
        <v>80</v>
      </c>
      <c r="V172" s="45">
        <v>45258.0</v>
      </c>
      <c r="W172" s="65"/>
      <c r="X172" s="101"/>
      <c r="Y172" s="45"/>
      <c r="Z172" s="65"/>
      <c r="AA172" s="101"/>
      <c r="AB172" s="45"/>
      <c r="AC172" s="65"/>
      <c r="AD172" s="101"/>
      <c r="AE172" s="45"/>
      <c r="AF172" s="102"/>
      <c r="AG172" s="101"/>
      <c r="AH172" s="101"/>
      <c r="AI172" s="102"/>
    </row>
    <row r="173" ht="15.75" customHeight="1">
      <c r="A173" s="101" t="s">
        <v>61</v>
      </c>
      <c r="B173" s="101" t="s">
        <v>62</v>
      </c>
      <c r="C173" s="101" t="s">
        <v>63</v>
      </c>
      <c r="D173" s="101">
        <v>2200189.0</v>
      </c>
      <c r="E173" s="102" t="s">
        <v>517</v>
      </c>
      <c r="F173" s="45">
        <v>45274.0</v>
      </c>
      <c r="G173" s="45">
        <v>45258.0</v>
      </c>
      <c r="H173" s="101" t="s">
        <v>83</v>
      </c>
      <c r="I173" s="101" t="s">
        <v>76</v>
      </c>
      <c r="J173" s="101">
        <v>20.0</v>
      </c>
      <c r="K173" s="65">
        <v>36.5</v>
      </c>
      <c r="L173" s="65">
        <v>730.0</v>
      </c>
      <c r="M173" s="103">
        <v>0.2</v>
      </c>
      <c r="N173" s="65">
        <v>146.0</v>
      </c>
      <c r="O173" s="65">
        <v>876.0</v>
      </c>
      <c r="P173" s="101" t="s">
        <v>84</v>
      </c>
      <c r="Q173" s="65">
        <v>73.0</v>
      </c>
      <c r="R173" s="65">
        <v>876.0</v>
      </c>
      <c r="S173" s="65">
        <v>511.0</v>
      </c>
      <c r="T173" s="65">
        <v>876.0</v>
      </c>
      <c r="U173" s="101" t="s">
        <v>80</v>
      </c>
      <c r="V173" s="45">
        <v>45261.0</v>
      </c>
      <c r="W173" s="65"/>
      <c r="X173" s="101"/>
      <c r="Y173" s="45"/>
      <c r="Z173" s="65"/>
      <c r="AA173" s="101"/>
      <c r="AB173" s="45"/>
      <c r="AC173" s="65"/>
      <c r="AD173" s="101"/>
      <c r="AE173" s="45"/>
      <c r="AF173" s="102"/>
      <c r="AG173" s="101"/>
      <c r="AH173" s="101"/>
      <c r="AI173" s="102"/>
    </row>
    <row r="174" ht="15.75" customHeight="1">
      <c r="A174" s="101" t="s">
        <v>61</v>
      </c>
      <c r="B174" s="101" t="s">
        <v>62</v>
      </c>
      <c r="C174" s="101" t="s">
        <v>63</v>
      </c>
      <c r="D174" s="101">
        <v>2200190.0</v>
      </c>
      <c r="E174" s="102" t="s">
        <v>519</v>
      </c>
      <c r="F174" s="45">
        <v>45266.0</v>
      </c>
      <c r="G174" s="45">
        <v>45259.0</v>
      </c>
      <c r="H174" s="101" t="s">
        <v>73</v>
      </c>
      <c r="I174" s="101" t="s">
        <v>76</v>
      </c>
      <c r="J174" s="101">
        <v>20.0</v>
      </c>
      <c r="K174" s="65">
        <v>48.875</v>
      </c>
      <c r="L174" s="65">
        <v>977.5</v>
      </c>
      <c r="M174" s="103">
        <v>0.2</v>
      </c>
      <c r="N174" s="65">
        <v>195.5</v>
      </c>
      <c r="O174" s="65">
        <v>1173.0</v>
      </c>
      <c r="P174" s="101" t="s">
        <v>84</v>
      </c>
      <c r="Q174" s="65">
        <v>97.75</v>
      </c>
      <c r="R174" s="65">
        <v>1173.0</v>
      </c>
      <c r="S174" s="65">
        <v>684.25</v>
      </c>
      <c r="T174" s="65">
        <v>1173.0</v>
      </c>
      <c r="U174" s="101" t="s">
        <v>80</v>
      </c>
      <c r="V174" s="45"/>
      <c r="W174" s="65"/>
      <c r="X174" s="101"/>
      <c r="Y174" s="45"/>
      <c r="Z174" s="65"/>
      <c r="AA174" s="101"/>
      <c r="AB174" s="45"/>
      <c r="AC174" s="65"/>
      <c r="AD174" s="101"/>
      <c r="AE174" s="45"/>
      <c r="AF174" s="102"/>
      <c r="AG174" s="101"/>
      <c r="AH174" s="101"/>
      <c r="AI174" s="102"/>
    </row>
    <row r="175" ht="15.75" customHeight="1">
      <c r="A175" s="101" t="s">
        <v>61</v>
      </c>
      <c r="B175" s="101" t="s">
        <v>62</v>
      </c>
      <c r="C175" s="101" t="s">
        <v>251</v>
      </c>
      <c r="D175" s="101">
        <v>2200191.0</v>
      </c>
      <c r="E175" s="102" t="s">
        <v>520</v>
      </c>
      <c r="F175" s="45">
        <v>45269.0</v>
      </c>
      <c r="G175" s="45">
        <v>45260.0</v>
      </c>
      <c r="H175" s="101" t="s">
        <v>73</v>
      </c>
      <c r="I175" s="101" t="s">
        <v>76</v>
      </c>
      <c r="J175" s="101">
        <v>25.0</v>
      </c>
      <c r="K175" s="65">
        <v>69.19</v>
      </c>
      <c r="L175" s="65">
        <v>1729.75</v>
      </c>
      <c r="M175" s="103">
        <v>0.2</v>
      </c>
      <c r="N175" s="65">
        <v>345.95</v>
      </c>
      <c r="O175" s="65">
        <v>2075.7</v>
      </c>
      <c r="P175" s="101" t="s">
        <v>79</v>
      </c>
      <c r="Q175" s="65">
        <v>172.975</v>
      </c>
      <c r="R175" s="65">
        <v>2248.675</v>
      </c>
      <c r="S175" s="65">
        <v>1210.825</v>
      </c>
      <c r="T175" s="65">
        <v>2075.7</v>
      </c>
      <c r="U175" s="101" t="s">
        <v>85</v>
      </c>
      <c r="V175" s="45">
        <v>45264.0</v>
      </c>
      <c r="W175" s="65">
        <v>172.97</v>
      </c>
      <c r="X175" s="101" t="s">
        <v>85</v>
      </c>
      <c r="Y175" s="45">
        <v>45267.0</v>
      </c>
      <c r="Z175" s="65"/>
      <c r="AA175" s="101"/>
      <c r="AB175" s="45"/>
      <c r="AC175" s="65">
        <v>172.97</v>
      </c>
      <c r="AD175" s="101"/>
      <c r="AE175" s="45">
        <v>45279.0</v>
      </c>
      <c r="AF175" s="102" t="s">
        <v>521</v>
      </c>
      <c r="AG175" s="101" t="s">
        <v>522</v>
      </c>
      <c r="AH175" s="101">
        <v>7.9119956E7</v>
      </c>
      <c r="AI175" s="102"/>
    </row>
    <row r="176" ht="15.75" customHeight="1">
      <c r="A176" s="101" t="s">
        <v>61</v>
      </c>
      <c r="B176" s="101" t="s">
        <v>62</v>
      </c>
      <c r="C176" s="101" t="s">
        <v>63</v>
      </c>
      <c r="D176" s="101">
        <v>2200192.0</v>
      </c>
      <c r="E176" s="102" t="s">
        <v>243</v>
      </c>
      <c r="F176" s="45">
        <v>45267.0</v>
      </c>
      <c r="G176" s="45">
        <v>45260.0</v>
      </c>
      <c r="H176" s="101" t="s">
        <v>83</v>
      </c>
      <c r="I176" s="101" t="s">
        <v>76</v>
      </c>
      <c r="J176" s="101">
        <v>30.0</v>
      </c>
      <c r="K176" s="65">
        <v>30.23333333</v>
      </c>
      <c r="L176" s="65">
        <v>907.0</v>
      </c>
      <c r="M176" s="103">
        <v>0.2</v>
      </c>
      <c r="N176" s="65">
        <v>181.4</v>
      </c>
      <c r="O176" s="65">
        <v>1088.4</v>
      </c>
      <c r="P176" s="101" t="s">
        <v>84</v>
      </c>
      <c r="Q176" s="65">
        <v>90.7</v>
      </c>
      <c r="R176" s="65">
        <v>1088.4</v>
      </c>
      <c r="S176" s="65">
        <v>634.9</v>
      </c>
      <c r="T176" s="65">
        <v>1088.4</v>
      </c>
      <c r="U176" s="101" t="s">
        <v>85</v>
      </c>
      <c r="V176" s="45">
        <v>45261.0</v>
      </c>
      <c r="W176" s="65"/>
      <c r="X176" s="101"/>
      <c r="Y176" s="45"/>
      <c r="Z176" s="65"/>
      <c r="AA176" s="101"/>
      <c r="AB176" s="45"/>
      <c r="AC176" s="65"/>
      <c r="AD176" s="101"/>
      <c r="AE176" s="45"/>
      <c r="AF176" s="102"/>
      <c r="AG176" s="101"/>
      <c r="AH176" s="101"/>
      <c r="AI176" s="102"/>
    </row>
    <row r="177" ht="15.75" customHeight="1">
      <c r="A177" s="101" t="s">
        <v>219</v>
      </c>
      <c r="B177" s="101" t="s">
        <v>62</v>
      </c>
      <c r="C177" s="101" t="s">
        <v>63</v>
      </c>
      <c r="D177" s="101"/>
      <c r="E177" s="102" t="s">
        <v>328</v>
      </c>
      <c r="F177" s="45">
        <v>45267.0</v>
      </c>
      <c r="G177" s="45">
        <v>45260.0</v>
      </c>
      <c r="H177" s="101" t="s">
        <v>73</v>
      </c>
      <c r="I177" s="101" t="s">
        <v>76</v>
      </c>
      <c r="J177" s="101">
        <v>25.0</v>
      </c>
      <c r="K177" s="65">
        <v>59.92</v>
      </c>
      <c r="L177" s="65">
        <v>1498.0</v>
      </c>
      <c r="M177" s="103">
        <v>0.2</v>
      </c>
      <c r="N177" s="65">
        <v>299.6</v>
      </c>
      <c r="O177" s="65">
        <v>1797.6</v>
      </c>
      <c r="P177" s="101" t="s">
        <v>79</v>
      </c>
      <c r="Q177" s="65">
        <v>149.8</v>
      </c>
      <c r="R177" s="65">
        <v>1947.4</v>
      </c>
      <c r="S177" s="65">
        <v>1048.6</v>
      </c>
      <c r="T177" s="65">
        <v>1667.25</v>
      </c>
      <c r="U177" s="101" t="s">
        <v>80</v>
      </c>
      <c r="V177" s="45">
        <v>45261.0</v>
      </c>
      <c r="W177" s="65"/>
      <c r="X177" s="101"/>
      <c r="Y177" s="45"/>
      <c r="Z177" s="65"/>
      <c r="AA177" s="101"/>
      <c r="AB177" s="45"/>
      <c r="AC177" s="65">
        <v>140.25</v>
      </c>
      <c r="AD177" s="101" t="s">
        <v>80</v>
      </c>
      <c r="AE177" s="45">
        <v>44942.0</v>
      </c>
      <c r="AF177" s="102"/>
      <c r="AG177" s="101"/>
      <c r="AH177" s="101"/>
      <c r="AI177" s="102"/>
    </row>
    <row r="178" ht="15.75" customHeight="1">
      <c r="A178" s="101" t="s">
        <v>167</v>
      </c>
      <c r="B178" s="101" t="s">
        <v>62</v>
      </c>
      <c r="C178" s="101" t="s">
        <v>63</v>
      </c>
      <c r="D178" s="101">
        <v>2200194.0</v>
      </c>
      <c r="E178" s="102" t="s">
        <v>517</v>
      </c>
      <c r="F178" s="45">
        <v>45265.0</v>
      </c>
      <c r="G178" s="45">
        <v>45261.0</v>
      </c>
      <c r="H178" s="101" t="s">
        <v>83</v>
      </c>
      <c r="I178" s="101" t="s">
        <v>76</v>
      </c>
      <c r="J178" s="101">
        <v>60.0</v>
      </c>
      <c r="K178" s="65">
        <v>31.5</v>
      </c>
      <c r="L178" s="65">
        <v>1890.0</v>
      </c>
      <c r="M178" s="103">
        <v>0.2</v>
      </c>
      <c r="N178" s="65">
        <v>378.0</v>
      </c>
      <c r="O178" s="65">
        <v>2268.0</v>
      </c>
      <c r="P178" s="101" t="s">
        <v>84</v>
      </c>
      <c r="Q178" s="65">
        <v>189.0</v>
      </c>
      <c r="R178" s="65">
        <v>2268.0</v>
      </c>
      <c r="S178" s="65">
        <v>1323.0</v>
      </c>
      <c r="T178" s="65">
        <v>2268.0</v>
      </c>
      <c r="U178" s="101" t="s">
        <v>80</v>
      </c>
      <c r="V178" s="45">
        <v>45261.0</v>
      </c>
      <c r="W178" s="65"/>
      <c r="X178" s="101"/>
      <c r="Y178" s="45"/>
      <c r="Z178" s="65"/>
      <c r="AA178" s="101"/>
      <c r="AB178" s="45"/>
      <c r="AC178" s="65"/>
      <c r="AD178" s="101"/>
      <c r="AE178" s="45"/>
      <c r="AF178" s="102"/>
      <c r="AG178" s="101"/>
      <c r="AH178" s="101"/>
      <c r="AI178" s="102"/>
    </row>
    <row r="179" ht="15.75" customHeight="1">
      <c r="A179" s="101" t="s">
        <v>167</v>
      </c>
      <c r="B179" s="101" t="s">
        <v>62</v>
      </c>
      <c r="C179" s="101" t="s">
        <v>63</v>
      </c>
      <c r="D179" s="101">
        <v>2200195.0</v>
      </c>
      <c r="E179" s="102" t="s">
        <v>204</v>
      </c>
      <c r="F179" s="45">
        <v>45265.0</v>
      </c>
      <c r="G179" s="45">
        <v>45265.0</v>
      </c>
      <c r="H179" s="101" t="s">
        <v>83</v>
      </c>
      <c r="I179" s="101" t="s">
        <v>76</v>
      </c>
      <c r="J179" s="101">
        <v>120.0</v>
      </c>
      <c r="K179" s="65">
        <v>50.0</v>
      </c>
      <c r="L179" s="65">
        <v>6000.0</v>
      </c>
      <c r="M179" s="103">
        <v>0.2</v>
      </c>
      <c r="N179" s="65">
        <v>1200.0</v>
      </c>
      <c r="O179" s="65">
        <v>7200.0</v>
      </c>
      <c r="P179" s="101" t="s">
        <v>84</v>
      </c>
      <c r="Q179" s="65">
        <v>600.0</v>
      </c>
      <c r="R179" s="65">
        <v>7200.0</v>
      </c>
      <c r="S179" s="65">
        <v>4200.0</v>
      </c>
      <c r="T179" s="65">
        <v>7200.0</v>
      </c>
      <c r="U179" s="101" t="s">
        <v>85</v>
      </c>
      <c r="V179" s="45">
        <v>45274.0</v>
      </c>
      <c r="W179" s="65"/>
      <c r="X179" s="101"/>
      <c r="Y179" s="45"/>
      <c r="Z179" s="65"/>
      <c r="AA179" s="101"/>
      <c r="AB179" s="45"/>
      <c r="AC179" s="65"/>
      <c r="AD179" s="101"/>
      <c r="AE179" s="45"/>
      <c r="AF179" s="102"/>
      <c r="AG179" s="101"/>
      <c r="AH179" s="101"/>
      <c r="AI179" s="102"/>
    </row>
    <row r="180" ht="15.75" customHeight="1">
      <c r="A180" s="101" t="s">
        <v>219</v>
      </c>
      <c r="B180" s="101" t="s">
        <v>62</v>
      </c>
      <c r="C180" s="101" t="s">
        <v>251</v>
      </c>
      <c r="D180" s="101">
        <v>2200196.0</v>
      </c>
      <c r="E180" s="102" t="s">
        <v>525</v>
      </c>
      <c r="F180" s="45">
        <v>45281.0</v>
      </c>
      <c r="G180" s="45">
        <v>45266.0</v>
      </c>
      <c r="H180" s="101" t="s">
        <v>73</v>
      </c>
      <c r="I180" s="101" t="s">
        <v>76</v>
      </c>
      <c r="J180" s="101">
        <v>30.0</v>
      </c>
      <c r="K180" s="65">
        <v>79.825</v>
      </c>
      <c r="L180" s="65">
        <v>2394.75</v>
      </c>
      <c r="M180" s="103">
        <v>0.2</v>
      </c>
      <c r="N180" s="65">
        <v>478.95</v>
      </c>
      <c r="O180" s="65">
        <v>2873.7</v>
      </c>
      <c r="P180" s="101"/>
      <c r="Q180" s="65">
        <v>239.475</v>
      </c>
      <c r="R180" s="65"/>
      <c r="S180" s="65">
        <v>1676.325</v>
      </c>
      <c r="T180" s="65">
        <v>1500.0</v>
      </c>
      <c r="U180" s="101" t="s">
        <v>85</v>
      </c>
      <c r="V180" s="45">
        <v>45267.0</v>
      </c>
      <c r="W180" s="65">
        <v>1613.17</v>
      </c>
      <c r="X180" s="101" t="s">
        <v>85</v>
      </c>
      <c r="Y180" s="45">
        <v>45274.0</v>
      </c>
      <c r="Z180" s="65"/>
      <c r="AA180" s="101"/>
      <c r="AB180" s="45"/>
      <c r="AC180" s="65">
        <v>239.47</v>
      </c>
      <c r="AD180" s="101"/>
      <c r="AE180" s="45">
        <v>45303.0</v>
      </c>
      <c r="AF180" s="102" t="s">
        <v>526</v>
      </c>
      <c r="AG180" s="101" t="s">
        <v>527</v>
      </c>
      <c r="AH180" s="101">
        <v>1063141.0</v>
      </c>
      <c r="AI180" s="102"/>
    </row>
    <row r="181" ht="15.75" customHeight="1">
      <c r="A181" s="101" t="s">
        <v>167</v>
      </c>
      <c r="B181" s="101" t="s">
        <v>62</v>
      </c>
      <c r="C181" s="101" t="s">
        <v>63</v>
      </c>
      <c r="D181" s="101">
        <v>2200197.0</v>
      </c>
      <c r="E181" s="102" t="s">
        <v>528</v>
      </c>
      <c r="F181" s="45">
        <v>45281.0</v>
      </c>
      <c r="G181" s="45">
        <v>45273.0</v>
      </c>
      <c r="H181" s="101" t="s">
        <v>83</v>
      </c>
      <c r="I181" s="101" t="s">
        <v>76</v>
      </c>
      <c r="J181" s="101">
        <v>13.0</v>
      </c>
      <c r="K181" s="65">
        <v>66.58846154</v>
      </c>
      <c r="L181" s="65">
        <v>865.65</v>
      </c>
      <c r="M181" s="103">
        <v>0.2</v>
      </c>
      <c r="N181" s="65">
        <v>173.13</v>
      </c>
      <c r="O181" s="65">
        <v>1038.78</v>
      </c>
      <c r="P181" s="101" t="s">
        <v>84</v>
      </c>
      <c r="Q181" s="65">
        <v>86.565</v>
      </c>
      <c r="R181" s="65">
        <v>1038.78</v>
      </c>
      <c r="S181" s="65">
        <v>605.955</v>
      </c>
      <c r="T181" s="65">
        <v>1038.78</v>
      </c>
      <c r="U181" s="101" t="s">
        <v>85</v>
      </c>
      <c r="V181" s="45">
        <v>45275.0</v>
      </c>
      <c r="W181" s="65"/>
      <c r="X181" s="101"/>
      <c r="Y181" s="45"/>
      <c r="Z181" s="65"/>
      <c r="AA181" s="101"/>
      <c r="AB181" s="45"/>
      <c r="AC181" s="65"/>
      <c r="AD181" s="101"/>
      <c r="AE181" s="45"/>
      <c r="AF181" s="102"/>
      <c r="AG181" s="101"/>
      <c r="AH181" s="101"/>
      <c r="AI181" s="102"/>
    </row>
    <row r="182" ht="15.75" customHeight="1">
      <c r="A182" s="101" t="s">
        <v>167</v>
      </c>
      <c r="B182" s="101" t="s">
        <v>62</v>
      </c>
      <c r="C182" s="101" t="s">
        <v>63</v>
      </c>
      <c r="D182" s="101">
        <v>2200198.0</v>
      </c>
      <c r="E182" s="102" t="s">
        <v>204</v>
      </c>
      <c r="F182" s="45">
        <v>45274.0</v>
      </c>
      <c r="G182" s="45">
        <v>45274.0</v>
      </c>
      <c r="H182" s="101" t="s">
        <v>83</v>
      </c>
      <c r="I182" s="101" t="s">
        <v>76</v>
      </c>
      <c r="J182" s="101">
        <v>50.0</v>
      </c>
      <c r="K182" s="65">
        <v>20.0</v>
      </c>
      <c r="L182" s="65">
        <v>1000.0</v>
      </c>
      <c r="M182" s="103">
        <v>0.2</v>
      </c>
      <c r="N182" s="65">
        <v>200.0</v>
      </c>
      <c r="O182" s="65">
        <v>1200.0</v>
      </c>
      <c r="P182" s="101"/>
      <c r="Q182" s="65">
        <v>100.0</v>
      </c>
      <c r="R182" s="65"/>
      <c r="S182" s="65">
        <v>700.0</v>
      </c>
      <c r="T182" s="65"/>
      <c r="U182" s="101"/>
      <c r="V182" s="45"/>
      <c r="W182" s="65"/>
      <c r="X182" s="101"/>
      <c r="Y182" s="45"/>
      <c r="Z182" s="65"/>
      <c r="AA182" s="101"/>
      <c r="AB182" s="45"/>
      <c r="AC182" s="65"/>
      <c r="AD182" s="101"/>
      <c r="AE182" s="45"/>
      <c r="AF182" s="102"/>
      <c r="AG182" s="101"/>
      <c r="AH182" s="101"/>
      <c r="AI182" s="102"/>
    </row>
    <row r="183" ht="15.75" customHeight="1">
      <c r="A183" s="101" t="s">
        <v>167</v>
      </c>
      <c r="B183" s="101" t="s">
        <v>62</v>
      </c>
      <c r="C183" s="101" t="s">
        <v>251</v>
      </c>
      <c r="D183" s="101">
        <v>2200199.0</v>
      </c>
      <c r="E183" s="102" t="s">
        <v>529</v>
      </c>
      <c r="F183" s="45">
        <v>45282.0</v>
      </c>
      <c r="G183" s="45">
        <v>45275.0</v>
      </c>
      <c r="H183" s="101" t="s">
        <v>73</v>
      </c>
      <c r="I183" s="101" t="s">
        <v>76</v>
      </c>
      <c r="J183" s="101">
        <v>40.0</v>
      </c>
      <c r="K183" s="65">
        <v>91.37625</v>
      </c>
      <c r="L183" s="65">
        <v>3655.05</v>
      </c>
      <c r="M183" s="103">
        <v>0.2</v>
      </c>
      <c r="N183" s="65">
        <v>731.01</v>
      </c>
      <c r="O183" s="65">
        <v>4386.06</v>
      </c>
      <c r="P183" s="101"/>
      <c r="Q183" s="65">
        <v>365.505</v>
      </c>
      <c r="R183" s="65"/>
      <c r="S183" s="65">
        <v>2558.535</v>
      </c>
      <c r="T183" s="65">
        <v>4367.48</v>
      </c>
      <c r="U183" s="101" t="s">
        <v>80</v>
      </c>
      <c r="V183" s="45">
        <v>45275.0</v>
      </c>
      <c r="W183" s="65"/>
      <c r="X183" s="101"/>
      <c r="Y183" s="45"/>
      <c r="Z183" s="65"/>
      <c r="AA183" s="101"/>
      <c r="AB183" s="45"/>
      <c r="AC183" s="65">
        <v>457.4</v>
      </c>
      <c r="AD183" s="101" t="s">
        <v>80</v>
      </c>
      <c r="AE183" s="45">
        <v>45289.0</v>
      </c>
      <c r="AF183" s="102"/>
      <c r="AG183" s="101"/>
      <c r="AH183" s="101"/>
      <c r="AI183" s="102"/>
    </row>
    <row r="184" ht="15.75" customHeight="1">
      <c r="A184" s="101" t="s">
        <v>61</v>
      </c>
      <c r="B184" s="101" t="s">
        <v>62</v>
      </c>
      <c r="C184" s="101" t="s">
        <v>251</v>
      </c>
      <c r="D184" s="101">
        <v>2200200.0</v>
      </c>
      <c r="E184" s="102" t="s">
        <v>530</v>
      </c>
      <c r="F184" s="45">
        <v>44939.0</v>
      </c>
      <c r="G184" s="45">
        <v>45282.0</v>
      </c>
      <c r="H184" s="101" t="s">
        <v>73</v>
      </c>
      <c r="I184" s="101" t="s">
        <v>119</v>
      </c>
      <c r="J184" s="101">
        <v>2.0</v>
      </c>
      <c r="K184" s="65">
        <v>120.0</v>
      </c>
      <c r="L184" s="65">
        <v>240.0</v>
      </c>
      <c r="M184" s="103">
        <v>0.2</v>
      </c>
      <c r="N184" s="65">
        <v>48.0</v>
      </c>
      <c r="O184" s="65">
        <v>288.0</v>
      </c>
      <c r="P184" s="101"/>
      <c r="Q184" s="65">
        <v>24.0</v>
      </c>
      <c r="R184" s="65"/>
      <c r="S184" s="65">
        <v>168.0</v>
      </c>
      <c r="T184" s="65"/>
      <c r="U184" s="101"/>
      <c r="V184" s="45"/>
      <c r="W184" s="65"/>
      <c r="X184" s="101"/>
      <c r="Y184" s="45"/>
      <c r="Z184" s="65"/>
      <c r="AA184" s="101"/>
      <c r="AB184" s="45"/>
      <c r="AC184" s="65"/>
      <c r="AD184" s="101"/>
      <c r="AE184" s="45"/>
      <c r="AF184" s="102"/>
      <c r="AG184" s="101"/>
      <c r="AH184" s="101"/>
      <c r="AI184" s="102"/>
    </row>
    <row r="185" ht="15.75" customHeight="1">
      <c r="A185" s="101" t="s">
        <v>219</v>
      </c>
      <c r="B185" s="101" t="s">
        <v>62</v>
      </c>
      <c r="C185" s="101" t="s">
        <v>63</v>
      </c>
      <c r="D185" s="101">
        <v>2200201.0</v>
      </c>
      <c r="E185" s="102" t="s">
        <v>531</v>
      </c>
      <c r="F185" s="45">
        <v>44965.0</v>
      </c>
      <c r="G185" s="45">
        <v>45286.0</v>
      </c>
      <c r="H185" s="101" t="s">
        <v>83</v>
      </c>
      <c r="I185" s="101" t="s">
        <v>76</v>
      </c>
      <c r="J185" s="101">
        <v>90.0</v>
      </c>
      <c r="K185" s="65">
        <v>88.94666667</v>
      </c>
      <c r="L185" s="65">
        <v>8005.2</v>
      </c>
      <c r="M185" s="103">
        <v>0.2</v>
      </c>
      <c r="N185" s="65">
        <v>1601.04</v>
      </c>
      <c r="O185" s="65">
        <v>9606.24</v>
      </c>
      <c r="P185" s="101" t="s">
        <v>79</v>
      </c>
      <c r="Q185" s="65">
        <v>800.52</v>
      </c>
      <c r="R185" s="65">
        <v>10406.76</v>
      </c>
      <c r="S185" s="65">
        <v>5603.64</v>
      </c>
      <c r="T185" s="65">
        <v>10464.96</v>
      </c>
      <c r="U185" s="101" t="s">
        <v>85</v>
      </c>
      <c r="V185" s="45">
        <v>45310.0</v>
      </c>
      <c r="W185" s="65"/>
      <c r="X185" s="101"/>
      <c r="Y185" s="45"/>
      <c r="Z185" s="65"/>
      <c r="AA185" s="101"/>
      <c r="AB185" s="45"/>
      <c r="AC185" s="65">
        <v>1317.72</v>
      </c>
      <c r="AD185" s="101"/>
      <c r="AE185" s="45">
        <v>45342.0</v>
      </c>
      <c r="AF185" s="102" t="s">
        <v>532</v>
      </c>
      <c r="AG185" s="101" t="s">
        <v>533</v>
      </c>
      <c r="AH185" s="101">
        <v>750664.0</v>
      </c>
      <c r="AI185" s="102"/>
    </row>
    <row r="186" ht="15.75" customHeight="1">
      <c r="A186" s="101" t="s">
        <v>219</v>
      </c>
      <c r="B186" s="101" t="s">
        <v>62</v>
      </c>
      <c r="C186" s="101" t="s">
        <v>251</v>
      </c>
      <c r="D186" s="101">
        <v>2200202.0</v>
      </c>
      <c r="E186" s="102" t="s">
        <v>534</v>
      </c>
      <c r="F186" s="45">
        <v>44933.0</v>
      </c>
      <c r="G186" s="45"/>
      <c r="H186" s="101" t="s">
        <v>73</v>
      </c>
      <c r="I186" s="101" t="s">
        <v>119</v>
      </c>
      <c r="J186" s="101">
        <v>60.0</v>
      </c>
      <c r="K186" s="65">
        <v>64.01666667</v>
      </c>
      <c r="L186" s="65">
        <v>3841.0</v>
      </c>
      <c r="M186" s="103">
        <v>0.2</v>
      </c>
      <c r="N186" s="65">
        <v>768.2</v>
      </c>
      <c r="O186" s="65">
        <v>4609.2</v>
      </c>
      <c r="P186" s="101" t="s">
        <v>79</v>
      </c>
      <c r="Q186" s="65">
        <v>384.1</v>
      </c>
      <c r="R186" s="65">
        <v>4993.3</v>
      </c>
      <c r="S186" s="65">
        <v>2688.7</v>
      </c>
      <c r="T186" s="65"/>
      <c r="U186" s="101"/>
      <c r="V186" s="45"/>
      <c r="W186" s="65"/>
      <c r="X186" s="101"/>
      <c r="Y186" s="45"/>
      <c r="Z186" s="65"/>
      <c r="AA186" s="101"/>
      <c r="AB186" s="45"/>
      <c r="AC186" s="65"/>
      <c r="AD186" s="101"/>
      <c r="AE186" s="45"/>
      <c r="AF186" s="102"/>
      <c r="AG186" s="101"/>
      <c r="AH186" s="101"/>
      <c r="AI186" s="102"/>
    </row>
    <row r="187" ht="15.75" customHeight="1">
      <c r="A187" s="101" t="s">
        <v>219</v>
      </c>
      <c r="B187" s="101" t="s">
        <v>62</v>
      </c>
      <c r="C187" s="101" t="s">
        <v>278</v>
      </c>
      <c r="D187" s="101">
        <v>2200203.0</v>
      </c>
      <c r="E187" s="102" t="s">
        <v>535</v>
      </c>
      <c r="F187" s="45">
        <v>45465.0</v>
      </c>
      <c r="G187" s="45">
        <v>44928.0</v>
      </c>
      <c r="H187" s="101"/>
      <c r="I187" s="101" t="s">
        <v>76</v>
      </c>
      <c r="J187" s="101">
        <v>90.0</v>
      </c>
      <c r="K187" s="65">
        <v>205.2988889</v>
      </c>
      <c r="L187" s="65">
        <v>18476.9</v>
      </c>
      <c r="M187" s="103">
        <v>0.2</v>
      </c>
      <c r="N187" s="65">
        <v>3695.38</v>
      </c>
      <c r="O187" s="65">
        <v>22172.28</v>
      </c>
      <c r="P187" s="101" t="s">
        <v>79</v>
      </c>
      <c r="Q187" s="65">
        <v>1847.69</v>
      </c>
      <c r="R187" s="65">
        <v>24019.97</v>
      </c>
      <c r="S187" s="65">
        <v>12933.83</v>
      </c>
      <c r="T187" s="65">
        <v>10735.9</v>
      </c>
      <c r="U187" s="101" t="s">
        <v>85</v>
      </c>
      <c r="V187" s="45">
        <v>45301.0</v>
      </c>
      <c r="W187" s="65">
        <v>12970.0</v>
      </c>
      <c r="X187" s="101" t="s">
        <v>85</v>
      </c>
      <c r="Y187" s="45">
        <v>45440.0</v>
      </c>
      <c r="Z187" s="65"/>
      <c r="AA187" s="101"/>
      <c r="AB187" s="45"/>
      <c r="AC187" s="65">
        <v>1258.73</v>
      </c>
      <c r="AD187" s="101" t="s">
        <v>85</v>
      </c>
      <c r="AE187" s="45">
        <v>45478.0</v>
      </c>
      <c r="AF187" s="102" t="s">
        <v>536</v>
      </c>
      <c r="AG187" s="101" t="s">
        <v>537</v>
      </c>
      <c r="AH187" s="101">
        <v>7.0047961E7</v>
      </c>
      <c r="AI187" s="102" t="s">
        <v>538</v>
      </c>
    </row>
    <row r="188" ht="15.75" customHeight="1">
      <c r="A188" s="101" t="s">
        <v>219</v>
      </c>
      <c r="B188" s="101" t="s">
        <v>62</v>
      </c>
      <c r="C188" s="101" t="s">
        <v>63</v>
      </c>
      <c r="D188" s="101">
        <v>2200204.0</v>
      </c>
      <c r="E188" s="102" t="s">
        <v>539</v>
      </c>
      <c r="F188" s="45">
        <v>45343.0</v>
      </c>
      <c r="G188" s="45">
        <v>45301.0</v>
      </c>
      <c r="H188" s="101" t="s">
        <v>73</v>
      </c>
      <c r="I188" s="101" t="s">
        <v>76</v>
      </c>
      <c r="J188" s="101">
        <v>70.0</v>
      </c>
      <c r="K188" s="65">
        <v>27.72142857</v>
      </c>
      <c r="L188" s="65">
        <v>1940.5</v>
      </c>
      <c r="M188" s="103">
        <v>0.2</v>
      </c>
      <c r="N188" s="65">
        <v>388.1</v>
      </c>
      <c r="O188" s="65">
        <v>2328.6</v>
      </c>
      <c r="P188" s="101" t="s">
        <v>79</v>
      </c>
      <c r="Q188" s="65">
        <v>194.05</v>
      </c>
      <c r="R188" s="65">
        <v>2522.65</v>
      </c>
      <c r="S188" s="65">
        <v>1358.35</v>
      </c>
      <c r="T188" s="65">
        <v>2522.6</v>
      </c>
      <c r="U188" s="101" t="s">
        <v>85</v>
      </c>
      <c r="V188" s="45">
        <v>45314.0</v>
      </c>
      <c r="W188" s="65"/>
      <c r="X188" s="101"/>
      <c r="Y188" s="45"/>
      <c r="Z188" s="65"/>
      <c r="AA188" s="101"/>
      <c r="AB188" s="45"/>
      <c r="AC188" s="65">
        <v>194.0</v>
      </c>
      <c r="AD188" s="101" t="s">
        <v>85</v>
      </c>
      <c r="AE188" s="45">
        <v>45345.0</v>
      </c>
      <c r="AF188" s="102"/>
      <c r="AG188" s="101"/>
      <c r="AH188" s="101"/>
      <c r="AI188" s="102"/>
    </row>
    <row r="189" ht="15.75" customHeight="1">
      <c r="A189" s="101" t="s">
        <v>219</v>
      </c>
      <c r="B189" s="101" t="s">
        <v>62</v>
      </c>
      <c r="C189" s="101" t="s">
        <v>63</v>
      </c>
      <c r="D189" s="101">
        <v>2200205.0</v>
      </c>
      <c r="E189" s="102" t="s">
        <v>540</v>
      </c>
      <c r="F189" s="45"/>
      <c r="G189" s="45">
        <v>45301.0</v>
      </c>
      <c r="H189" s="101" t="s">
        <v>83</v>
      </c>
      <c r="I189" s="101" t="s">
        <v>76</v>
      </c>
      <c r="J189" s="101">
        <v>40.0</v>
      </c>
      <c r="K189" s="65">
        <v>107.95</v>
      </c>
      <c r="L189" s="65">
        <v>4318.0</v>
      </c>
      <c r="M189" s="103">
        <v>0.2</v>
      </c>
      <c r="N189" s="65">
        <v>863.6</v>
      </c>
      <c r="O189" s="65">
        <v>5181.6</v>
      </c>
      <c r="P189" s="101" t="s">
        <v>79</v>
      </c>
      <c r="Q189" s="65">
        <v>431.8</v>
      </c>
      <c r="R189" s="65">
        <v>5613.4</v>
      </c>
      <c r="S189" s="65">
        <v>3022.6</v>
      </c>
      <c r="T189" s="65">
        <v>5613.4</v>
      </c>
      <c r="U189" s="101" t="s">
        <v>85</v>
      </c>
      <c r="V189" s="45">
        <v>45324.0</v>
      </c>
      <c r="W189" s="65"/>
      <c r="X189" s="101"/>
      <c r="Y189" s="45"/>
      <c r="Z189" s="65"/>
      <c r="AA189" s="101"/>
      <c r="AB189" s="45"/>
      <c r="AC189" s="65">
        <v>619.6</v>
      </c>
      <c r="AD189" s="101" t="s">
        <v>85</v>
      </c>
      <c r="AE189" s="45">
        <v>45370.0</v>
      </c>
      <c r="AF189" s="102" t="s">
        <v>541</v>
      </c>
      <c r="AG189" s="101" t="s">
        <v>542</v>
      </c>
      <c r="AH189" s="101">
        <v>7.1407015E7</v>
      </c>
      <c r="AI189" s="102" t="s">
        <v>543</v>
      </c>
    </row>
    <row r="190" ht="15.75" customHeight="1">
      <c r="A190" s="101" t="s">
        <v>167</v>
      </c>
      <c r="B190" s="101" t="s">
        <v>62</v>
      </c>
      <c r="C190" s="101" t="s">
        <v>63</v>
      </c>
      <c r="D190" s="101">
        <v>2200206.0</v>
      </c>
      <c r="E190" s="102" t="s">
        <v>544</v>
      </c>
      <c r="F190" s="45">
        <v>45317.0</v>
      </c>
      <c r="G190" s="45">
        <v>45302.0</v>
      </c>
      <c r="H190" s="101" t="s">
        <v>73</v>
      </c>
      <c r="I190" s="101" t="s">
        <v>76</v>
      </c>
      <c r="J190" s="101">
        <v>100.0</v>
      </c>
      <c r="K190" s="65">
        <v>43.48</v>
      </c>
      <c r="L190" s="65">
        <v>4348.0</v>
      </c>
      <c r="M190" s="103">
        <v>0.2</v>
      </c>
      <c r="N190" s="65">
        <v>869.6</v>
      </c>
      <c r="O190" s="65">
        <v>5217.6</v>
      </c>
      <c r="P190" s="101" t="s">
        <v>79</v>
      </c>
      <c r="Q190" s="65">
        <v>434.8</v>
      </c>
      <c r="R190" s="65">
        <v>5652.4</v>
      </c>
      <c r="S190" s="65">
        <v>3043.6</v>
      </c>
      <c r="T190" s="65">
        <v>5652.14</v>
      </c>
      <c r="U190" s="101" t="s">
        <v>85</v>
      </c>
      <c r="V190" s="45">
        <v>45313.0</v>
      </c>
      <c r="W190" s="65"/>
      <c r="X190" s="101"/>
      <c r="Y190" s="45"/>
      <c r="Z190" s="65"/>
      <c r="AA190" s="101"/>
      <c r="AB190" s="45"/>
      <c r="AC190" s="65">
        <v>333.4</v>
      </c>
      <c r="AD190" s="101" t="s">
        <v>85</v>
      </c>
      <c r="AE190" s="45">
        <v>45321.0</v>
      </c>
      <c r="AF190" s="102"/>
      <c r="AG190" s="101"/>
      <c r="AH190" s="101"/>
      <c r="AI190" s="102"/>
    </row>
    <row r="191" ht="15.75" customHeight="1">
      <c r="A191" s="101" t="s">
        <v>219</v>
      </c>
      <c r="B191" s="101" t="s">
        <v>62</v>
      </c>
      <c r="C191" s="101" t="s">
        <v>251</v>
      </c>
      <c r="D191" s="101">
        <v>2200207.0</v>
      </c>
      <c r="E191" s="102" t="s">
        <v>545</v>
      </c>
      <c r="F191" s="45">
        <v>45325.0</v>
      </c>
      <c r="G191" s="45">
        <v>45306.0</v>
      </c>
      <c r="H191" s="101" t="s">
        <v>73</v>
      </c>
      <c r="I191" s="101" t="s">
        <v>76</v>
      </c>
      <c r="J191" s="101">
        <v>30.0</v>
      </c>
      <c r="K191" s="65">
        <v>87.54166667</v>
      </c>
      <c r="L191" s="65">
        <v>2626.25</v>
      </c>
      <c r="M191" s="103">
        <v>0.2</v>
      </c>
      <c r="N191" s="65">
        <v>525.25</v>
      </c>
      <c r="O191" s="65">
        <v>3151.5</v>
      </c>
      <c r="P191" s="101" t="s">
        <v>79</v>
      </c>
      <c r="Q191" s="65">
        <v>262.625</v>
      </c>
      <c r="R191" s="65">
        <v>3414.125</v>
      </c>
      <c r="S191" s="65">
        <v>1838.375</v>
      </c>
      <c r="T191" s="65">
        <v>3119.35</v>
      </c>
      <c r="U191" s="101" t="s">
        <v>85</v>
      </c>
      <c r="V191" s="45">
        <v>45308.0</v>
      </c>
      <c r="W191" s="65">
        <v>272.1</v>
      </c>
      <c r="X191" s="101" t="s">
        <v>85</v>
      </c>
      <c r="Y191" s="45">
        <v>45316.0</v>
      </c>
      <c r="Z191" s="65"/>
      <c r="AA191" s="101"/>
      <c r="AB191" s="45"/>
      <c r="AC191" s="65">
        <v>239.95</v>
      </c>
      <c r="AD191" s="101" t="s">
        <v>85</v>
      </c>
      <c r="AE191" s="45">
        <v>12455.0</v>
      </c>
      <c r="AF191" s="102"/>
      <c r="AG191" s="101"/>
      <c r="AH191" s="101"/>
      <c r="AI191" s="102"/>
    </row>
    <row r="192" ht="15.75" customHeight="1">
      <c r="A192" s="101" t="s">
        <v>219</v>
      </c>
      <c r="B192" s="101" t="s">
        <v>62</v>
      </c>
      <c r="C192" s="101" t="s">
        <v>278</v>
      </c>
      <c r="D192" s="101">
        <v>2200208.0</v>
      </c>
      <c r="E192" s="102" t="s">
        <v>546</v>
      </c>
      <c r="F192" s="45"/>
      <c r="G192" s="45">
        <v>45307.0</v>
      </c>
      <c r="H192" s="101"/>
      <c r="I192" s="101" t="s">
        <v>119</v>
      </c>
      <c r="J192" s="101">
        <v>2.0</v>
      </c>
      <c r="K192" s="65">
        <v>120.0</v>
      </c>
      <c r="L192" s="65">
        <v>240.0</v>
      </c>
      <c r="M192" s="103">
        <v>0.2</v>
      </c>
      <c r="N192" s="65">
        <v>48.0</v>
      </c>
      <c r="O192" s="65">
        <v>288.0</v>
      </c>
      <c r="P192" s="101" t="s">
        <v>84</v>
      </c>
      <c r="Q192" s="65">
        <v>24.0</v>
      </c>
      <c r="R192" s="65">
        <v>288.0</v>
      </c>
      <c r="S192" s="65">
        <v>168.0</v>
      </c>
      <c r="T192" s="65"/>
      <c r="U192" s="101"/>
      <c r="V192" s="45"/>
      <c r="W192" s="65"/>
      <c r="X192" s="101"/>
      <c r="Y192" s="45"/>
      <c r="Z192" s="65"/>
      <c r="AA192" s="101"/>
      <c r="AB192" s="45"/>
      <c r="AC192" s="65"/>
      <c r="AD192" s="101"/>
      <c r="AE192" s="45"/>
      <c r="AF192" s="102"/>
      <c r="AG192" s="101"/>
      <c r="AH192" s="101"/>
      <c r="AI192" s="102" t="s">
        <v>547</v>
      </c>
    </row>
    <row r="193" ht="15.75" customHeight="1">
      <c r="A193" s="101" t="s">
        <v>167</v>
      </c>
      <c r="B193" s="101" t="s">
        <v>62</v>
      </c>
      <c r="C193" s="101" t="s">
        <v>63</v>
      </c>
      <c r="D193" s="101">
        <v>2200209.0</v>
      </c>
      <c r="E193" s="102" t="s">
        <v>204</v>
      </c>
      <c r="F193" s="45">
        <v>45309.0</v>
      </c>
      <c r="G193" s="45">
        <v>45309.0</v>
      </c>
      <c r="H193" s="101" t="s">
        <v>83</v>
      </c>
      <c r="I193" s="101" t="s">
        <v>76</v>
      </c>
      <c r="J193" s="101">
        <v>11.0</v>
      </c>
      <c r="K193" s="65">
        <v>75.0</v>
      </c>
      <c r="L193" s="65">
        <v>825.0</v>
      </c>
      <c r="M193" s="103">
        <v>0.2</v>
      </c>
      <c r="N193" s="65">
        <v>165.0</v>
      </c>
      <c r="O193" s="65">
        <v>990.0</v>
      </c>
      <c r="P193" s="101" t="s">
        <v>84</v>
      </c>
      <c r="Q193" s="65">
        <v>82.5</v>
      </c>
      <c r="R193" s="65">
        <v>990.0</v>
      </c>
      <c r="S193" s="65">
        <v>577.5</v>
      </c>
      <c r="T193" s="65"/>
      <c r="U193" s="101"/>
      <c r="V193" s="45"/>
      <c r="W193" s="65"/>
      <c r="X193" s="101"/>
      <c r="Y193" s="45"/>
      <c r="Z193" s="65"/>
      <c r="AA193" s="101"/>
      <c r="AB193" s="45"/>
      <c r="AC193" s="65"/>
      <c r="AD193" s="101"/>
      <c r="AE193" s="45"/>
      <c r="AF193" s="102"/>
      <c r="AG193" s="101"/>
      <c r="AH193" s="101"/>
      <c r="AI193" s="102"/>
    </row>
    <row r="194" ht="15.75" customHeight="1">
      <c r="A194" s="101" t="s">
        <v>167</v>
      </c>
      <c r="B194" s="101" t="s">
        <v>62</v>
      </c>
      <c r="C194" s="101" t="s">
        <v>63</v>
      </c>
      <c r="D194" s="101">
        <v>2200210.0</v>
      </c>
      <c r="E194" s="102" t="s">
        <v>548</v>
      </c>
      <c r="F194" s="45">
        <v>45316.0</v>
      </c>
      <c r="G194" s="45">
        <v>45309.0</v>
      </c>
      <c r="H194" s="101"/>
      <c r="I194" s="101" t="s">
        <v>76</v>
      </c>
      <c r="J194" s="101">
        <v>50.0</v>
      </c>
      <c r="K194" s="65">
        <v>18.84</v>
      </c>
      <c r="L194" s="65">
        <v>942.0</v>
      </c>
      <c r="M194" s="103">
        <v>0.2</v>
      </c>
      <c r="N194" s="65">
        <v>188.4</v>
      </c>
      <c r="O194" s="65">
        <v>1130.4</v>
      </c>
      <c r="P194" s="101" t="s">
        <v>84</v>
      </c>
      <c r="Q194" s="65">
        <v>94.2</v>
      </c>
      <c r="R194" s="65">
        <v>1130.4</v>
      </c>
      <c r="S194" s="65">
        <v>659.4</v>
      </c>
      <c r="T194" s="65">
        <v>1130.4</v>
      </c>
      <c r="U194" s="101" t="s">
        <v>80</v>
      </c>
      <c r="V194" s="45">
        <v>45311.0</v>
      </c>
      <c r="W194" s="65"/>
      <c r="X194" s="101"/>
      <c r="Y194" s="45"/>
      <c r="Z194" s="65"/>
      <c r="AA194" s="101"/>
      <c r="AB194" s="45"/>
      <c r="AC194" s="65"/>
      <c r="AD194" s="101"/>
      <c r="AE194" s="45"/>
      <c r="AF194" s="102"/>
      <c r="AG194" s="101"/>
      <c r="AH194" s="101"/>
      <c r="AI194" s="102"/>
    </row>
    <row r="195" ht="15.75" customHeight="1">
      <c r="A195" s="101" t="s">
        <v>167</v>
      </c>
      <c r="B195" s="101" t="s">
        <v>62</v>
      </c>
      <c r="C195" s="101" t="s">
        <v>63</v>
      </c>
      <c r="D195" s="101">
        <v>2200211.0</v>
      </c>
      <c r="E195" s="102" t="s">
        <v>204</v>
      </c>
      <c r="F195" s="45">
        <v>45313.0</v>
      </c>
      <c r="G195" s="45">
        <v>45313.0</v>
      </c>
      <c r="H195" s="101" t="s">
        <v>83</v>
      </c>
      <c r="I195" s="101" t="s">
        <v>76</v>
      </c>
      <c r="J195" s="101">
        <v>30.0</v>
      </c>
      <c r="K195" s="65">
        <v>30.5</v>
      </c>
      <c r="L195" s="65">
        <v>915.0</v>
      </c>
      <c r="M195" s="103">
        <v>0.2</v>
      </c>
      <c r="N195" s="65">
        <v>183.0</v>
      </c>
      <c r="O195" s="65">
        <v>1098.0</v>
      </c>
      <c r="P195" s="101" t="s">
        <v>84</v>
      </c>
      <c r="Q195" s="65">
        <v>91.5</v>
      </c>
      <c r="R195" s="65">
        <v>1098.0</v>
      </c>
      <c r="S195" s="65">
        <v>640.5</v>
      </c>
      <c r="T195" s="65"/>
      <c r="U195" s="101"/>
      <c r="V195" s="45"/>
      <c r="W195" s="65"/>
      <c r="X195" s="101"/>
      <c r="Y195" s="45"/>
      <c r="Z195" s="65"/>
      <c r="AA195" s="101"/>
      <c r="AB195" s="45"/>
      <c r="AC195" s="65"/>
      <c r="AD195" s="101"/>
      <c r="AE195" s="45"/>
      <c r="AF195" s="102"/>
      <c r="AG195" s="101"/>
      <c r="AH195" s="101"/>
      <c r="AI195" s="102"/>
    </row>
    <row r="196" ht="15.75" customHeight="1">
      <c r="A196" s="101" t="s">
        <v>61</v>
      </c>
      <c r="B196" s="101" t="s">
        <v>62</v>
      </c>
      <c r="C196" s="101" t="s">
        <v>251</v>
      </c>
      <c r="D196" s="101">
        <v>2200212.0</v>
      </c>
      <c r="E196" s="102" t="s">
        <v>549</v>
      </c>
      <c r="F196" s="45">
        <v>45409.0</v>
      </c>
      <c r="G196" s="45">
        <v>45314.0</v>
      </c>
      <c r="H196" s="101" t="s">
        <v>73</v>
      </c>
      <c r="I196" s="101" t="s">
        <v>76</v>
      </c>
      <c r="J196" s="101">
        <v>35.0</v>
      </c>
      <c r="K196" s="65">
        <v>132.59</v>
      </c>
      <c r="L196" s="65">
        <v>3713.0</v>
      </c>
      <c r="M196" s="103">
        <v>0.2</v>
      </c>
      <c r="N196" s="65">
        <v>742.6</v>
      </c>
      <c r="O196" s="65">
        <v>4455.6</v>
      </c>
      <c r="P196" s="101" t="s">
        <v>79</v>
      </c>
      <c r="Q196" s="65">
        <v>371.3</v>
      </c>
      <c r="R196" s="65">
        <v>4826.9</v>
      </c>
      <c r="S196" s="65">
        <v>2599.1</v>
      </c>
      <c r="T196" s="65">
        <v>2706.9</v>
      </c>
      <c r="U196" s="101" t="s">
        <v>80</v>
      </c>
      <c r="V196" s="45">
        <v>45311.0</v>
      </c>
      <c r="W196" s="65">
        <v>2135.4</v>
      </c>
      <c r="X196" s="101" t="s">
        <v>80</v>
      </c>
      <c r="Y196" s="45">
        <v>45404.0</v>
      </c>
      <c r="Z196" s="65"/>
      <c r="AA196" s="101"/>
      <c r="AB196" s="45"/>
      <c r="AC196" s="65">
        <v>386.7</v>
      </c>
      <c r="AD196" s="101" t="s">
        <v>80</v>
      </c>
      <c r="AE196" s="45">
        <v>45413.0</v>
      </c>
      <c r="AF196" s="102"/>
      <c r="AG196" s="101"/>
      <c r="AH196" s="101"/>
      <c r="AI196" s="102"/>
    </row>
    <row r="197" ht="15.75" customHeight="1">
      <c r="A197" s="101" t="s">
        <v>167</v>
      </c>
      <c r="B197" s="101" t="s">
        <v>62</v>
      </c>
      <c r="C197" s="101" t="s">
        <v>63</v>
      </c>
      <c r="D197" s="101">
        <v>2200213.0</v>
      </c>
      <c r="E197" s="102" t="s">
        <v>430</v>
      </c>
      <c r="F197" s="45">
        <v>45321.0</v>
      </c>
      <c r="G197" s="45">
        <v>45314.0</v>
      </c>
      <c r="H197" s="101" t="s">
        <v>83</v>
      </c>
      <c r="I197" s="101" t="s">
        <v>76</v>
      </c>
      <c r="J197" s="101">
        <v>50.0</v>
      </c>
      <c r="K197" s="65">
        <v>71.9</v>
      </c>
      <c r="L197" s="65">
        <v>3595.0</v>
      </c>
      <c r="M197" s="103">
        <v>0.2</v>
      </c>
      <c r="N197" s="65">
        <v>719.0</v>
      </c>
      <c r="O197" s="65">
        <v>4314.0</v>
      </c>
      <c r="P197" s="101" t="s">
        <v>79</v>
      </c>
      <c r="Q197" s="65">
        <v>359.5</v>
      </c>
      <c r="R197" s="65">
        <v>4673.5</v>
      </c>
      <c r="S197" s="65">
        <v>2516.5</v>
      </c>
      <c r="T197" s="65">
        <v>4673.5</v>
      </c>
      <c r="U197" s="101" t="s">
        <v>80</v>
      </c>
      <c r="V197" s="45">
        <v>45315.0</v>
      </c>
      <c r="W197" s="65"/>
      <c r="X197" s="101"/>
      <c r="Y197" s="45"/>
      <c r="Z197" s="65"/>
      <c r="AA197" s="101"/>
      <c r="AB197" s="45"/>
      <c r="AC197" s="65">
        <v>189.1</v>
      </c>
      <c r="AD197" s="101" t="s">
        <v>80</v>
      </c>
      <c r="AE197" s="45">
        <v>45322.0</v>
      </c>
      <c r="AF197" s="102"/>
      <c r="AG197" s="101"/>
      <c r="AH197" s="101"/>
      <c r="AI197" s="102"/>
    </row>
    <row r="198" ht="15.75" customHeight="1">
      <c r="A198" s="101" t="s">
        <v>61</v>
      </c>
      <c r="B198" s="101" t="s">
        <v>62</v>
      </c>
      <c r="C198" s="101" t="s">
        <v>63</v>
      </c>
      <c r="D198" s="101">
        <v>2200214.0</v>
      </c>
      <c r="E198" s="102" t="s">
        <v>155</v>
      </c>
      <c r="F198" s="45">
        <v>45328.0</v>
      </c>
      <c r="G198" s="45">
        <v>45315.0</v>
      </c>
      <c r="H198" s="101" t="s">
        <v>83</v>
      </c>
      <c r="I198" s="101" t="s">
        <v>76</v>
      </c>
      <c r="J198" s="101">
        <v>50.0</v>
      </c>
      <c r="K198" s="65">
        <v>56.002</v>
      </c>
      <c r="L198" s="65">
        <v>2800.1</v>
      </c>
      <c r="M198" s="103">
        <v>0.2</v>
      </c>
      <c r="N198" s="65">
        <v>560.02</v>
      </c>
      <c r="O198" s="65">
        <v>3360.12</v>
      </c>
      <c r="P198" s="101" t="s">
        <v>79</v>
      </c>
      <c r="Q198" s="65">
        <v>280.01</v>
      </c>
      <c r="R198" s="65">
        <v>3640.13</v>
      </c>
      <c r="S198" s="65">
        <v>1960.07</v>
      </c>
      <c r="T198" s="65">
        <v>3640.12</v>
      </c>
      <c r="U198" s="101" t="s">
        <v>80</v>
      </c>
      <c r="V198" s="45">
        <v>45327.0</v>
      </c>
      <c r="W198" s="65"/>
      <c r="X198" s="101"/>
      <c r="Y198" s="45"/>
      <c r="Z198" s="65"/>
      <c r="AA198" s="101"/>
      <c r="AB198" s="45"/>
      <c r="AC198" s="65">
        <v>395.02</v>
      </c>
      <c r="AD198" s="101" t="s">
        <v>80</v>
      </c>
      <c r="AE198" s="45">
        <v>45329.0</v>
      </c>
      <c r="AF198" s="102"/>
      <c r="AG198" s="101"/>
      <c r="AH198" s="101"/>
      <c r="AI198" s="102"/>
    </row>
    <row r="199" ht="15.75" customHeight="1">
      <c r="A199" s="101" t="s">
        <v>219</v>
      </c>
      <c r="B199" s="101" t="s">
        <v>62</v>
      </c>
      <c r="C199" s="101" t="s">
        <v>63</v>
      </c>
      <c r="D199" s="101">
        <v>2200215.0</v>
      </c>
      <c r="E199" s="102" t="s">
        <v>550</v>
      </c>
      <c r="F199" s="45">
        <v>45330.0</v>
      </c>
      <c r="G199" s="45">
        <v>45320.0</v>
      </c>
      <c r="H199" s="101" t="s">
        <v>73</v>
      </c>
      <c r="I199" s="101" t="s">
        <v>76</v>
      </c>
      <c r="J199" s="101">
        <v>40.0</v>
      </c>
      <c r="K199" s="65">
        <v>60.4</v>
      </c>
      <c r="L199" s="65">
        <v>2416.0</v>
      </c>
      <c r="M199" s="103">
        <v>0.2</v>
      </c>
      <c r="N199" s="65">
        <v>483.2</v>
      </c>
      <c r="O199" s="65">
        <v>2899.2</v>
      </c>
      <c r="P199" s="101" t="s">
        <v>79</v>
      </c>
      <c r="Q199" s="65">
        <v>241.6</v>
      </c>
      <c r="R199" s="65">
        <v>3140.8</v>
      </c>
      <c r="S199" s="65">
        <v>1691.2</v>
      </c>
      <c r="T199" s="65">
        <v>3140.8</v>
      </c>
      <c r="U199" s="101" t="s">
        <v>80</v>
      </c>
      <c r="V199" s="45"/>
      <c r="W199" s="65"/>
      <c r="X199" s="101"/>
      <c r="Y199" s="45"/>
      <c r="Z199" s="65"/>
      <c r="AA199" s="101"/>
      <c r="AB199" s="45"/>
      <c r="AC199" s="65">
        <v>61.6</v>
      </c>
      <c r="AD199" s="101" t="s">
        <v>80</v>
      </c>
      <c r="AE199" s="45">
        <v>45331.0</v>
      </c>
      <c r="AF199" s="102"/>
      <c r="AG199" s="101"/>
      <c r="AH199" s="101"/>
      <c r="AI199" s="102"/>
    </row>
    <row r="200" ht="15.75" customHeight="1">
      <c r="A200" s="101" t="s">
        <v>167</v>
      </c>
      <c r="B200" s="101" t="s">
        <v>62</v>
      </c>
      <c r="C200" s="101" t="s">
        <v>63</v>
      </c>
      <c r="D200" s="101">
        <v>2200216.0</v>
      </c>
      <c r="E200" s="102" t="s">
        <v>204</v>
      </c>
      <c r="F200" s="45">
        <v>45321.0</v>
      </c>
      <c r="G200" s="45"/>
      <c r="H200" s="101" t="s">
        <v>83</v>
      </c>
      <c r="I200" s="101" t="s">
        <v>76</v>
      </c>
      <c r="J200" s="101">
        <v>11.0</v>
      </c>
      <c r="K200" s="65">
        <v>75.0</v>
      </c>
      <c r="L200" s="65">
        <v>825.0</v>
      </c>
      <c r="M200" s="103">
        <v>0.2</v>
      </c>
      <c r="N200" s="65">
        <v>165.0</v>
      </c>
      <c r="O200" s="65">
        <v>990.0</v>
      </c>
      <c r="P200" s="101" t="s">
        <v>84</v>
      </c>
      <c r="Q200" s="65">
        <v>82.5</v>
      </c>
      <c r="R200" s="65">
        <v>990.0</v>
      </c>
      <c r="S200" s="65">
        <v>577.5</v>
      </c>
      <c r="T200" s="65"/>
      <c r="U200" s="101"/>
      <c r="V200" s="45"/>
      <c r="W200" s="65"/>
      <c r="X200" s="101"/>
      <c r="Y200" s="45"/>
      <c r="Z200" s="65"/>
      <c r="AA200" s="101"/>
      <c r="AB200" s="45"/>
      <c r="AC200" s="65"/>
      <c r="AD200" s="101"/>
      <c r="AE200" s="45"/>
      <c r="AF200" s="102"/>
      <c r="AG200" s="101"/>
      <c r="AH200" s="101"/>
      <c r="AI200" s="102"/>
    </row>
    <row r="201" ht="15.75" customHeight="1">
      <c r="A201" s="101" t="s">
        <v>61</v>
      </c>
      <c r="B201" s="101" t="s">
        <v>62</v>
      </c>
      <c r="C201" s="101" t="s">
        <v>63</v>
      </c>
      <c r="D201" s="101">
        <v>2200217.0</v>
      </c>
      <c r="E201" s="102" t="s">
        <v>86</v>
      </c>
      <c r="F201" s="45">
        <v>45463.0</v>
      </c>
      <c r="G201" s="45">
        <v>45463.0</v>
      </c>
      <c r="H201" s="101" t="s">
        <v>83</v>
      </c>
      <c r="I201" s="101" t="s">
        <v>76</v>
      </c>
      <c r="J201" s="101">
        <v>60.0</v>
      </c>
      <c r="K201" s="65">
        <v>73.4</v>
      </c>
      <c r="L201" s="65">
        <v>4404.0</v>
      </c>
      <c r="M201" s="103">
        <v>0.2</v>
      </c>
      <c r="N201" s="65">
        <v>880.8</v>
      </c>
      <c r="O201" s="65">
        <v>5284.8</v>
      </c>
      <c r="P201" s="101" t="s">
        <v>79</v>
      </c>
      <c r="Q201" s="65">
        <v>440.4</v>
      </c>
      <c r="R201" s="65">
        <v>5725.2</v>
      </c>
      <c r="S201" s="65">
        <v>3082.8</v>
      </c>
      <c r="T201" s="65">
        <v>2642.4</v>
      </c>
      <c r="U201" s="101" t="s">
        <v>85</v>
      </c>
      <c r="V201" s="45">
        <v>45341.0</v>
      </c>
      <c r="W201" s="65">
        <v>3082.8</v>
      </c>
      <c r="X201" s="101" t="s">
        <v>80</v>
      </c>
      <c r="Y201" s="45">
        <v>45456.0</v>
      </c>
      <c r="Z201" s="65"/>
      <c r="AA201" s="101"/>
      <c r="AB201" s="45"/>
      <c r="AC201" s="65">
        <v>440.4</v>
      </c>
      <c r="AD201" s="101" t="s">
        <v>80</v>
      </c>
      <c r="AE201" s="45">
        <v>45468.0</v>
      </c>
      <c r="AF201" s="102"/>
      <c r="AG201" s="101"/>
      <c r="AH201" s="101"/>
      <c r="AI201" s="102"/>
    </row>
    <row r="202" ht="15.75" customHeight="1">
      <c r="A202" s="101" t="s">
        <v>167</v>
      </c>
      <c r="B202" s="101" t="s">
        <v>62</v>
      </c>
      <c r="C202" s="101" t="s">
        <v>251</v>
      </c>
      <c r="D202" s="101">
        <v>2200218.0</v>
      </c>
      <c r="E202" s="102" t="s">
        <v>554</v>
      </c>
      <c r="F202" s="45">
        <v>45339.0</v>
      </c>
      <c r="G202" s="45">
        <v>45326.0</v>
      </c>
      <c r="H202" s="101" t="s">
        <v>83</v>
      </c>
      <c r="I202" s="101" t="s">
        <v>76</v>
      </c>
      <c r="J202" s="101">
        <v>25.0</v>
      </c>
      <c r="K202" s="65">
        <v>93.56</v>
      </c>
      <c r="L202" s="65">
        <v>2339.0</v>
      </c>
      <c r="M202" s="103">
        <v>0.2</v>
      </c>
      <c r="N202" s="65">
        <v>467.8</v>
      </c>
      <c r="O202" s="65">
        <v>2806.8</v>
      </c>
      <c r="P202" s="101" t="s">
        <v>79</v>
      </c>
      <c r="Q202" s="65">
        <v>233.9</v>
      </c>
      <c r="R202" s="65">
        <v>3040.7</v>
      </c>
      <c r="S202" s="65">
        <v>1637.3</v>
      </c>
      <c r="T202" s="65">
        <v>3040.7</v>
      </c>
      <c r="U202" s="101" t="s">
        <v>80</v>
      </c>
      <c r="V202" s="45">
        <v>45326.0</v>
      </c>
      <c r="W202" s="65"/>
      <c r="X202" s="101"/>
      <c r="Y202" s="45"/>
      <c r="Z202" s="65"/>
      <c r="AA202" s="101"/>
      <c r="AB202" s="45"/>
      <c r="AC202" s="65">
        <v>305.9</v>
      </c>
      <c r="AD202" s="101" t="s">
        <v>80</v>
      </c>
      <c r="AE202" s="45">
        <v>45341.0</v>
      </c>
      <c r="AF202" s="102"/>
      <c r="AG202" s="101"/>
      <c r="AH202" s="101"/>
      <c r="AI202" s="102"/>
    </row>
    <row r="203" ht="15.75" customHeight="1">
      <c r="A203" s="101" t="s">
        <v>167</v>
      </c>
      <c r="B203" s="101" t="s">
        <v>62</v>
      </c>
      <c r="C203" s="101" t="s">
        <v>63</v>
      </c>
      <c r="D203" s="101">
        <v>2200219.0</v>
      </c>
      <c r="E203" s="102" t="s">
        <v>555</v>
      </c>
      <c r="F203" s="45">
        <v>45350.0</v>
      </c>
      <c r="G203" s="45">
        <v>45327.0</v>
      </c>
      <c r="H203" s="101" t="s">
        <v>73</v>
      </c>
      <c r="I203" s="101" t="s">
        <v>76</v>
      </c>
      <c r="J203" s="101">
        <v>16.0</v>
      </c>
      <c r="K203" s="65">
        <v>158.31875</v>
      </c>
      <c r="L203" s="65">
        <v>2533.1</v>
      </c>
      <c r="M203" s="103">
        <v>0.2</v>
      </c>
      <c r="N203" s="65">
        <v>506.62</v>
      </c>
      <c r="O203" s="65">
        <v>3039.72</v>
      </c>
      <c r="P203" s="101" t="s">
        <v>79</v>
      </c>
      <c r="Q203" s="65">
        <v>253.31</v>
      </c>
      <c r="R203" s="65">
        <v>3293.03</v>
      </c>
      <c r="S203" s="65">
        <v>1773.17</v>
      </c>
      <c r="T203" s="65">
        <v>3293.03</v>
      </c>
      <c r="U203" s="101" t="s">
        <v>85</v>
      </c>
      <c r="V203" s="45">
        <v>45342.0</v>
      </c>
      <c r="W203" s="65"/>
      <c r="X203" s="101"/>
      <c r="Y203" s="45"/>
      <c r="Z203" s="65"/>
      <c r="AA203" s="101"/>
      <c r="AB203" s="45"/>
      <c r="AC203" s="65">
        <v>347.75</v>
      </c>
      <c r="AD203" s="101" t="s">
        <v>85</v>
      </c>
      <c r="AE203" s="45">
        <v>45356.0</v>
      </c>
      <c r="AF203" s="102"/>
      <c r="AG203" s="101"/>
      <c r="AH203" s="101"/>
      <c r="AI203" s="102"/>
    </row>
    <row r="204" ht="15.75" customHeight="1">
      <c r="A204" s="101" t="s">
        <v>167</v>
      </c>
      <c r="B204" s="101" t="s">
        <v>62</v>
      </c>
      <c r="C204" s="101" t="s">
        <v>63</v>
      </c>
      <c r="D204" s="101">
        <v>2200220.0</v>
      </c>
      <c r="E204" s="102" t="s">
        <v>268</v>
      </c>
      <c r="F204" s="45">
        <v>45333.0</v>
      </c>
      <c r="G204" s="45">
        <v>45328.0</v>
      </c>
      <c r="H204" s="101" t="s">
        <v>83</v>
      </c>
      <c r="I204" s="101" t="s">
        <v>76</v>
      </c>
      <c r="J204" s="101">
        <v>12.0</v>
      </c>
      <c r="K204" s="65">
        <v>138.35</v>
      </c>
      <c r="L204" s="65">
        <v>1660.2</v>
      </c>
      <c r="M204" s="103">
        <v>0.2</v>
      </c>
      <c r="N204" s="65">
        <v>332.04</v>
      </c>
      <c r="O204" s="65">
        <v>1992.24</v>
      </c>
      <c r="P204" s="101" t="s">
        <v>79</v>
      </c>
      <c r="Q204" s="65">
        <v>166.02</v>
      </c>
      <c r="R204" s="65">
        <v>2158.26</v>
      </c>
      <c r="S204" s="65">
        <v>1162.14</v>
      </c>
      <c r="T204" s="65">
        <v>2158.2</v>
      </c>
      <c r="U204" s="101" t="s">
        <v>80</v>
      </c>
      <c r="V204" s="45">
        <v>45330.0</v>
      </c>
      <c r="W204" s="65"/>
      <c r="X204" s="101"/>
      <c r="Y204" s="45"/>
      <c r="Z204" s="65"/>
      <c r="AA204" s="101"/>
      <c r="AB204" s="45"/>
      <c r="AC204" s="65">
        <v>166.0</v>
      </c>
      <c r="AD204" s="101" t="s">
        <v>80</v>
      </c>
      <c r="AE204" s="45">
        <v>45337.0</v>
      </c>
      <c r="AF204" s="102"/>
      <c r="AG204" s="101"/>
      <c r="AH204" s="101"/>
      <c r="AI204" s="102"/>
    </row>
    <row r="205" ht="15.75" customHeight="1">
      <c r="A205" s="101" t="s">
        <v>167</v>
      </c>
      <c r="B205" s="101" t="s">
        <v>62</v>
      </c>
      <c r="C205" s="101" t="s">
        <v>63</v>
      </c>
      <c r="D205" s="101">
        <v>2200221.0</v>
      </c>
      <c r="E205" s="102" t="s">
        <v>155</v>
      </c>
      <c r="F205" s="45">
        <v>45355.0</v>
      </c>
      <c r="G205" s="45">
        <v>45339.0</v>
      </c>
      <c r="H205" s="101" t="s">
        <v>83</v>
      </c>
      <c r="I205" s="101" t="s">
        <v>76</v>
      </c>
      <c r="J205" s="101">
        <v>50.0</v>
      </c>
      <c r="K205" s="65">
        <v>56.002</v>
      </c>
      <c r="L205" s="65">
        <v>2800.1</v>
      </c>
      <c r="M205" s="103">
        <v>0.2</v>
      </c>
      <c r="N205" s="65">
        <v>560.02</v>
      </c>
      <c r="O205" s="65">
        <v>3360.12</v>
      </c>
      <c r="P205" s="101" t="s">
        <v>79</v>
      </c>
      <c r="Q205" s="65">
        <v>280.01</v>
      </c>
      <c r="R205" s="65">
        <v>3640.13</v>
      </c>
      <c r="S205" s="65">
        <v>1960.07</v>
      </c>
      <c r="T205" s="65">
        <v>3640.13</v>
      </c>
      <c r="U205" s="101" t="s">
        <v>85</v>
      </c>
      <c r="V205" s="45">
        <v>45342.0</v>
      </c>
      <c r="W205" s="65"/>
      <c r="X205" s="101"/>
      <c r="Y205" s="45"/>
      <c r="Z205" s="65"/>
      <c r="AA205" s="101"/>
      <c r="AB205" s="45"/>
      <c r="AC205" s="65">
        <v>364.55</v>
      </c>
      <c r="AD205" s="101" t="s">
        <v>85</v>
      </c>
      <c r="AE205" s="45">
        <v>45356.0</v>
      </c>
      <c r="AF205" s="102"/>
      <c r="AG205" s="101"/>
      <c r="AH205" s="101"/>
      <c r="AI205" s="102"/>
    </row>
    <row r="206" ht="15.75" customHeight="1">
      <c r="A206" s="101" t="s">
        <v>167</v>
      </c>
      <c r="B206" s="101" t="s">
        <v>62</v>
      </c>
      <c r="C206" s="101" t="s">
        <v>63</v>
      </c>
      <c r="D206" s="101">
        <v>2200222.0</v>
      </c>
      <c r="E206" s="102" t="s">
        <v>556</v>
      </c>
      <c r="F206" s="45">
        <v>45344.0</v>
      </c>
      <c r="G206" s="45">
        <v>45341.0</v>
      </c>
      <c r="H206" s="101" t="s">
        <v>73</v>
      </c>
      <c r="I206" s="101" t="s">
        <v>76</v>
      </c>
      <c r="J206" s="101">
        <v>76.0</v>
      </c>
      <c r="K206" s="65">
        <v>33.68421053</v>
      </c>
      <c r="L206" s="65">
        <v>2560.0</v>
      </c>
      <c r="M206" s="103">
        <v>0.2</v>
      </c>
      <c r="N206" s="65">
        <v>512.0</v>
      </c>
      <c r="O206" s="65">
        <v>3072.0</v>
      </c>
      <c r="P206" s="101" t="s">
        <v>84</v>
      </c>
      <c r="Q206" s="65">
        <v>256.0</v>
      </c>
      <c r="R206" s="65">
        <v>3072.0</v>
      </c>
      <c r="S206" s="65">
        <v>1792.0</v>
      </c>
      <c r="T206" s="65">
        <v>3072.0</v>
      </c>
      <c r="U206" s="101" t="s">
        <v>80</v>
      </c>
      <c r="V206" s="45">
        <v>45341.0</v>
      </c>
      <c r="W206" s="65"/>
      <c r="X206" s="101"/>
      <c r="Y206" s="45"/>
      <c r="Z206" s="65"/>
      <c r="AA206" s="101"/>
      <c r="AB206" s="45"/>
      <c r="AC206" s="65"/>
      <c r="AD206" s="101"/>
      <c r="AE206" s="45"/>
      <c r="AF206" s="102"/>
      <c r="AG206" s="101"/>
      <c r="AH206" s="101"/>
      <c r="AI206" s="102"/>
    </row>
    <row r="207" ht="15.75" customHeight="1">
      <c r="A207" s="101" t="s">
        <v>167</v>
      </c>
      <c r="B207" s="101" t="s">
        <v>62</v>
      </c>
      <c r="C207" s="101" t="s">
        <v>63</v>
      </c>
      <c r="D207" s="101">
        <v>2200223.0</v>
      </c>
      <c r="E207" s="102" t="s">
        <v>558</v>
      </c>
      <c r="F207" s="45">
        <v>45350.0</v>
      </c>
      <c r="G207" s="45">
        <v>45342.0</v>
      </c>
      <c r="H207" s="101" t="s">
        <v>83</v>
      </c>
      <c r="I207" s="101" t="s">
        <v>76</v>
      </c>
      <c r="J207" s="101">
        <v>25.0</v>
      </c>
      <c r="K207" s="65">
        <v>52.88</v>
      </c>
      <c r="L207" s="65">
        <v>1322.0</v>
      </c>
      <c r="M207" s="103">
        <v>0.2</v>
      </c>
      <c r="N207" s="65">
        <v>264.4</v>
      </c>
      <c r="O207" s="65">
        <v>1586.4</v>
      </c>
      <c r="P207" s="101" t="s">
        <v>84</v>
      </c>
      <c r="Q207" s="65">
        <v>132.2</v>
      </c>
      <c r="R207" s="65">
        <v>1586.4</v>
      </c>
      <c r="S207" s="65">
        <v>925.4</v>
      </c>
      <c r="T207" s="65">
        <v>1586.4</v>
      </c>
      <c r="U207" s="101" t="s">
        <v>85</v>
      </c>
      <c r="V207" s="45">
        <v>45348.0</v>
      </c>
      <c r="W207" s="65"/>
      <c r="X207" s="101"/>
      <c r="Y207" s="45"/>
      <c r="Z207" s="65"/>
      <c r="AA207" s="101"/>
      <c r="AB207" s="45"/>
      <c r="AC207" s="65"/>
      <c r="AD207" s="101"/>
      <c r="AE207" s="45"/>
      <c r="AF207" s="102"/>
      <c r="AG207" s="101"/>
      <c r="AH207" s="101"/>
      <c r="AI207" s="102"/>
    </row>
    <row r="208" ht="15.75" customHeight="1">
      <c r="A208" s="101" t="s">
        <v>167</v>
      </c>
      <c r="B208" s="101" t="s">
        <v>62</v>
      </c>
      <c r="C208" s="101" t="s">
        <v>63</v>
      </c>
      <c r="D208" s="101">
        <v>2200224.0</v>
      </c>
      <c r="E208" s="102" t="s">
        <v>559</v>
      </c>
      <c r="F208" s="45">
        <v>45357.0</v>
      </c>
      <c r="G208" s="45">
        <v>45342.0</v>
      </c>
      <c r="H208" s="101" t="s">
        <v>73</v>
      </c>
      <c r="I208" s="101" t="s">
        <v>76</v>
      </c>
      <c r="J208" s="101">
        <v>100.0</v>
      </c>
      <c r="K208" s="65">
        <v>44.79</v>
      </c>
      <c r="L208" s="65">
        <v>4479.0</v>
      </c>
      <c r="M208" s="103">
        <v>0.2</v>
      </c>
      <c r="N208" s="65">
        <v>895.8</v>
      </c>
      <c r="O208" s="65">
        <v>5374.8</v>
      </c>
      <c r="P208" s="101" t="s">
        <v>79</v>
      </c>
      <c r="Q208" s="65">
        <v>447.9</v>
      </c>
      <c r="R208" s="65">
        <v>5822.7</v>
      </c>
      <c r="S208" s="65">
        <v>3135.3</v>
      </c>
      <c r="T208" s="65">
        <v>5598.75</v>
      </c>
      <c r="U208" s="101" t="s">
        <v>80</v>
      </c>
      <c r="V208" s="45">
        <v>45348.0</v>
      </c>
      <c r="W208" s="65"/>
      <c r="X208" s="101"/>
      <c r="Y208" s="45"/>
      <c r="Z208" s="65"/>
      <c r="AA208" s="101"/>
      <c r="AB208" s="45"/>
      <c r="AC208" s="65">
        <v>223.95</v>
      </c>
      <c r="AD208" s="101"/>
      <c r="AE208" s="45">
        <v>45358.0</v>
      </c>
      <c r="AF208" s="102"/>
      <c r="AG208" s="101"/>
      <c r="AH208" s="101"/>
      <c r="AI208" s="102"/>
    </row>
    <row r="209" ht="15.75" customHeight="1">
      <c r="A209" s="101" t="s">
        <v>167</v>
      </c>
      <c r="B209" s="101" t="s">
        <v>62</v>
      </c>
      <c r="C209" s="101" t="s">
        <v>63</v>
      </c>
      <c r="D209" s="101">
        <v>2200225.0</v>
      </c>
      <c r="E209" s="102" t="s">
        <v>430</v>
      </c>
      <c r="F209" s="45">
        <v>45352.0</v>
      </c>
      <c r="G209" s="45">
        <v>45348.0</v>
      </c>
      <c r="H209" s="101" t="s">
        <v>83</v>
      </c>
      <c r="I209" s="101" t="s">
        <v>76</v>
      </c>
      <c r="J209" s="101">
        <v>50.0</v>
      </c>
      <c r="K209" s="65">
        <v>92.25</v>
      </c>
      <c r="L209" s="65">
        <v>4612.5</v>
      </c>
      <c r="M209" s="103">
        <v>0.2</v>
      </c>
      <c r="N209" s="65">
        <v>922.5</v>
      </c>
      <c r="O209" s="65">
        <v>5535.0</v>
      </c>
      <c r="P209" s="101" t="s">
        <v>79</v>
      </c>
      <c r="Q209" s="65">
        <v>461.25</v>
      </c>
      <c r="R209" s="65">
        <v>5996.25</v>
      </c>
      <c r="S209" s="65">
        <v>3228.75</v>
      </c>
      <c r="T209" s="65">
        <v>6044.25</v>
      </c>
      <c r="U209" s="101" t="s">
        <v>80</v>
      </c>
      <c r="V209" s="45">
        <v>45348.0</v>
      </c>
      <c r="W209" s="65"/>
      <c r="X209" s="101"/>
      <c r="Y209" s="45"/>
      <c r="Z209" s="65"/>
      <c r="AA209" s="101"/>
      <c r="AB209" s="45"/>
      <c r="AC209" s="65"/>
      <c r="AD209" s="101"/>
      <c r="AE209" s="45"/>
      <c r="AF209" s="102"/>
      <c r="AG209" s="101"/>
      <c r="AH209" s="101"/>
      <c r="AI209" s="102"/>
    </row>
    <row r="210" ht="15.75" customHeight="1">
      <c r="A210" s="101" t="s">
        <v>167</v>
      </c>
      <c r="B210" s="101" t="s">
        <v>62</v>
      </c>
      <c r="C210" s="101" t="s">
        <v>63</v>
      </c>
      <c r="D210" s="101">
        <v>2200226.0</v>
      </c>
      <c r="E210" s="102" t="s">
        <v>260</v>
      </c>
      <c r="F210" s="45">
        <v>45358.0</v>
      </c>
      <c r="G210" s="45">
        <v>45348.0</v>
      </c>
      <c r="H210" s="101" t="s">
        <v>83</v>
      </c>
      <c r="I210" s="101" t="s">
        <v>76</v>
      </c>
      <c r="J210" s="101">
        <v>15.0</v>
      </c>
      <c r="K210" s="65">
        <v>137.8666667</v>
      </c>
      <c r="L210" s="65">
        <v>2068.0</v>
      </c>
      <c r="M210" s="103">
        <v>0.2</v>
      </c>
      <c r="N210" s="65">
        <v>413.6</v>
      </c>
      <c r="O210" s="65">
        <v>2481.6</v>
      </c>
      <c r="P210" s="101" t="s">
        <v>79</v>
      </c>
      <c r="Q210" s="65">
        <v>206.8</v>
      </c>
      <c r="R210" s="65">
        <v>2688.4</v>
      </c>
      <c r="S210" s="65">
        <v>1447.6</v>
      </c>
      <c r="T210" s="65">
        <v>2526.55</v>
      </c>
      <c r="U210" s="101" t="s">
        <v>80</v>
      </c>
      <c r="V210" s="45">
        <v>45350.0</v>
      </c>
      <c r="W210" s="65"/>
      <c r="X210" s="101"/>
      <c r="Y210" s="45"/>
      <c r="Z210" s="65"/>
      <c r="AA210" s="101"/>
      <c r="AB210" s="45"/>
      <c r="AC210" s="65">
        <v>194.35</v>
      </c>
      <c r="AD210" s="101" t="s">
        <v>80</v>
      </c>
      <c r="AE210" s="45">
        <v>45363.0</v>
      </c>
      <c r="AF210" s="102"/>
      <c r="AG210" s="101"/>
      <c r="AH210" s="101"/>
      <c r="AI210" s="102"/>
    </row>
    <row r="211" ht="15.75" customHeight="1">
      <c r="A211" s="101" t="s">
        <v>167</v>
      </c>
      <c r="B211" s="101" t="s">
        <v>62</v>
      </c>
      <c r="C211" s="101" t="s">
        <v>251</v>
      </c>
      <c r="D211" s="101">
        <v>2200227.0</v>
      </c>
      <c r="E211" s="102" t="s">
        <v>234</v>
      </c>
      <c r="F211" s="45">
        <v>45293.0</v>
      </c>
      <c r="G211" s="45">
        <v>45348.0</v>
      </c>
      <c r="H211" s="101" t="s">
        <v>83</v>
      </c>
      <c r="I211" s="101" t="s">
        <v>76</v>
      </c>
      <c r="J211" s="101">
        <v>6.0</v>
      </c>
      <c r="K211" s="65">
        <v>153.65</v>
      </c>
      <c r="L211" s="65">
        <v>921.9</v>
      </c>
      <c r="M211" s="103">
        <v>0.2</v>
      </c>
      <c r="N211" s="65">
        <v>184.38</v>
      </c>
      <c r="O211" s="65">
        <v>1106.28</v>
      </c>
      <c r="P211" s="101" t="s">
        <v>79</v>
      </c>
      <c r="Q211" s="65">
        <v>92.19</v>
      </c>
      <c r="R211" s="65">
        <v>1198.47</v>
      </c>
      <c r="S211" s="65">
        <v>645.33</v>
      </c>
      <c r="T211" s="65"/>
      <c r="U211" s="101"/>
      <c r="V211" s="45"/>
      <c r="W211" s="65"/>
      <c r="X211" s="101"/>
      <c r="Y211" s="45"/>
      <c r="Z211" s="65"/>
      <c r="AA211" s="101"/>
      <c r="AB211" s="45"/>
      <c r="AC211" s="65"/>
      <c r="AD211" s="101"/>
      <c r="AE211" s="45"/>
      <c r="AF211" s="102"/>
      <c r="AG211" s="101"/>
      <c r="AH211" s="101"/>
      <c r="AI211" s="102"/>
    </row>
    <row r="212" ht="15.75" customHeight="1">
      <c r="A212" s="101" t="s">
        <v>167</v>
      </c>
      <c r="B212" s="101" t="s">
        <v>62</v>
      </c>
      <c r="C212" s="101" t="s">
        <v>63</v>
      </c>
      <c r="D212" s="101">
        <v>2200228.0</v>
      </c>
      <c r="E212" s="102" t="s">
        <v>560</v>
      </c>
      <c r="F212" s="45">
        <v>45359.0</v>
      </c>
      <c r="G212" s="45">
        <v>45350.0</v>
      </c>
      <c r="H212" s="101" t="s">
        <v>83</v>
      </c>
      <c r="I212" s="101" t="s">
        <v>76</v>
      </c>
      <c r="J212" s="101">
        <v>70.0</v>
      </c>
      <c r="K212" s="65">
        <v>41.9</v>
      </c>
      <c r="L212" s="65">
        <v>2933.0</v>
      </c>
      <c r="M212" s="103">
        <v>0.2</v>
      </c>
      <c r="N212" s="65">
        <v>586.6</v>
      </c>
      <c r="O212" s="65">
        <v>3519.6</v>
      </c>
      <c r="P212" s="101" t="s">
        <v>79</v>
      </c>
      <c r="Q212" s="65">
        <v>293.3</v>
      </c>
      <c r="R212" s="65">
        <v>3812.9</v>
      </c>
      <c r="S212" s="65">
        <v>2053.1</v>
      </c>
      <c r="T212" s="65">
        <v>3519.6</v>
      </c>
      <c r="U212" s="101" t="s">
        <v>80</v>
      </c>
      <c r="V212" s="45">
        <v>45352.0</v>
      </c>
      <c r="W212" s="65"/>
      <c r="X212" s="101"/>
      <c r="Y212" s="45"/>
      <c r="Z212" s="65"/>
      <c r="AA212" s="101"/>
      <c r="AB212" s="45"/>
      <c r="AC212" s="65"/>
      <c r="AD212" s="101"/>
      <c r="AE212" s="45"/>
      <c r="AF212" s="102" t="s">
        <v>561</v>
      </c>
      <c r="AG212" s="101"/>
      <c r="AH212" s="101"/>
      <c r="AI212" s="102"/>
    </row>
    <row r="213" ht="15.75" customHeight="1">
      <c r="A213" s="101" t="s">
        <v>61</v>
      </c>
      <c r="B213" s="101" t="s">
        <v>62</v>
      </c>
      <c r="C213" s="101" t="s">
        <v>251</v>
      </c>
      <c r="D213" s="101">
        <v>2200229.0</v>
      </c>
      <c r="E213" s="102" t="s">
        <v>562</v>
      </c>
      <c r="F213" s="45">
        <v>45360.0</v>
      </c>
      <c r="G213" s="45">
        <v>45351.0</v>
      </c>
      <c r="H213" s="101" t="s">
        <v>83</v>
      </c>
      <c r="I213" s="101" t="s">
        <v>76</v>
      </c>
      <c r="J213" s="101">
        <v>53.0</v>
      </c>
      <c r="K213" s="65">
        <v>35.4245283</v>
      </c>
      <c r="L213" s="65">
        <v>1877.5</v>
      </c>
      <c r="M213" s="103">
        <v>0.2</v>
      </c>
      <c r="N213" s="65">
        <v>375.5</v>
      </c>
      <c r="O213" s="65">
        <v>2253.0</v>
      </c>
      <c r="P213" s="101" t="s">
        <v>79</v>
      </c>
      <c r="Q213" s="65">
        <v>187.75</v>
      </c>
      <c r="R213" s="65">
        <v>2440.75</v>
      </c>
      <c r="S213" s="65">
        <v>1314.25</v>
      </c>
      <c r="T213" s="65">
        <v>2440.75</v>
      </c>
      <c r="U213" s="101" t="s">
        <v>80</v>
      </c>
      <c r="V213" s="45">
        <v>45352.0</v>
      </c>
      <c r="W213" s="65"/>
      <c r="X213" s="101"/>
      <c r="Y213" s="45"/>
      <c r="Z213" s="65"/>
      <c r="AA213" s="101"/>
      <c r="AB213" s="45"/>
      <c r="AC213" s="65">
        <v>99.73</v>
      </c>
      <c r="AD213" s="101" t="s">
        <v>80</v>
      </c>
      <c r="AE213" s="45">
        <v>45363.0</v>
      </c>
      <c r="AF213" s="102"/>
      <c r="AG213" s="101"/>
      <c r="AH213" s="101"/>
      <c r="AI213" s="102"/>
    </row>
    <row r="214" ht="15.75" customHeight="1">
      <c r="A214" s="101" t="s">
        <v>61</v>
      </c>
      <c r="B214" s="101" t="s">
        <v>62</v>
      </c>
      <c r="C214" s="101" t="s">
        <v>63</v>
      </c>
      <c r="D214" s="101">
        <v>2200230.0</v>
      </c>
      <c r="E214" s="102" t="s">
        <v>563</v>
      </c>
      <c r="F214" s="45">
        <v>45363.0</v>
      </c>
      <c r="G214" s="45">
        <v>45355.0</v>
      </c>
      <c r="H214" s="101" t="s">
        <v>83</v>
      </c>
      <c r="I214" s="101" t="s">
        <v>76</v>
      </c>
      <c r="J214" s="101">
        <v>65.0</v>
      </c>
      <c r="K214" s="65">
        <v>40.84615385</v>
      </c>
      <c r="L214" s="65">
        <v>2655.0</v>
      </c>
      <c r="M214" s="103">
        <v>0.2</v>
      </c>
      <c r="N214" s="65">
        <v>531.0</v>
      </c>
      <c r="O214" s="65">
        <v>3186.0</v>
      </c>
      <c r="P214" s="101" t="s">
        <v>79</v>
      </c>
      <c r="Q214" s="65">
        <v>265.5</v>
      </c>
      <c r="R214" s="65">
        <v>3451.5</v>
      </c>
      <c r="S214" s="65">
        <v>1858.5</v>
      </c>
      <c r="T214" s="65">
        <v>3451.5</v>
      </c>
      <c r="U214" s="101" t="s">
        <v>80</v>
      </c>
      <c r="V214" s="45">
        <v>45357.0</v>
      </c>
      <c r="W214" s="65"/>
      <c r="X214" s="101"/>
      <c r="Y214" s="45"/>
      <c r="Z214" s="65"/>
      <c r="AA214" s="101"/>
      <c r="AB214" s="45"/>
      <c r="AC214" s="65">
        <v>265.5</v>
      </c>
      <c r="AD214" s="101" t="s">
        <v>80</v>
      </c>
      <c r="AE214" s="45">
        <v>45365.0</v>
      </c>
      <c r="AF214" s="102"/>
      <c r="AG214" s="101"/>
      <c r="AH214" s="101"/>
      <c r="AI214" s="102"/>
    </row>
    <row r="215" ht="15.75" customHeight="1">
      <c r="A215" s="101" t="s">
        <v>61</v>
      </c>
      <c r="B215" s="101" t="s">
        <v>62</v>
      </c>
      <c r="C215" s="101" t="s">
        <v>63</v>
      </c>
      <c r="D215" s="101">
        <v>2200231.0</v>
      </c>
      <c r="E215" s="102" t="s">
        <v>564</v>
      </c>
      <c r="F215" s="45">
        <v>45372.0</v>
      </c>
      <c r="G215" s="45">
        <v>45355.0</v>
      </c>
      <c r="H215" s="101" t="s">
        <v>73</v>
      </c>
      <c r="I215" s="101" t="s">
        <v>76</v>
      </c>
      <c r="J215" s="101">
        <v>100.0</v>
      </c>
      <c r="K215" s="65">
        <v>32.48</v>
      </c>
      <c r="L215" s="65">
        <v>3248.0</v>
      </c>
      <c r="M215" s="103">
        <v>0.2</v>
      </c>
      <c r="N215" s="65">
        <v>649.6</v>
      </c>
      <c r="O215" s="65">
        <v>3897.6</v>
      </c>
      <c r="P215" s="101" t="s">
        <v>79</v>
      </c>
      <c r="Q215" s="65">
        <v>324.8</v>
      </c>
      <c r="R215" s="65">
        <v>4222.4</v>
      </c>
      <c r="S215" s="65">
        <v>2273.6</v>
      </c>
      <c r="T215" s="65">
        <v>4222.4</v>
      </c>
      <c r="U215" s="101" t="s">
        <v>85</v>
      </c>
      <c r="V215" s="45">
        <v>45365.0</v>
      </c>
      <c r="W215" s="65"/>
      <c r="X215" s="101"/>
      <c r="Y215" s="45"/>
      <c r="Z215" s="65"/>
      <c r="AA215" s="101"/>
      <c r="AB215" s="45"/>
      <c r="AC215" s="65">
        <v>737.24</v>
      </c>
      <c r="AD215" s="101"/>
      <c r="AE215" s="45"/>
      <c r="AF215" s="102" t="s">
        <v>439</v>
      </c>
      <c r="AG215" s="101"/>
      <c r="AH215" s="101"/>
      <c r="AI215" s="102"/>
    </row>
    <row r="216" ht="15.75" customHeight="1">
      <c r="A216" s="101" t="s">
        <v>61</v>
      </c>
      <c r="B216" s="101" t="s">
        <v>62</v>
      </c>
      <c r="C216" s="101" t="s">
        <v>63</v>
      </c>
      <c r="D216" s="101">
        <v>2200232.0</v>
      </c>
      <c r="E216" s="102" t="s">
        <v>565</v>
      </c>
      <c r="F216" s="45">
        <v>45365.0</v>
      </c>
      <c r="G216" s="45">
        <v>45358.0</v>
      </c>
      <c r="H216" s="101" t="s">
        <v>73</v>
      </c>
      <c r="I216" s="101" t="s">
        <v>76</v>
      </c>
      <c r="J216" s="101">
        <v>40.0</v>
      </c>
      <c r="K216" s="65">
        <v>59.325</v>
      </c>
      <c r="L216" s="65">
        <v>2373.0</v>
      </c>
      <c r="M216" s="103">
        <v>0.2</v>
      </c>
      <c r="N216" s="65">
        <v>474.6</v>
      </c>
      <c r="O216" s="65">
        <v>2847.6</v>
      </c>
      <c r="P216" s="101" t="s">
        <v>79</v>
      </c>
      <c r="Q216" s="65">
        <v>237.3</v>
      </c>
      <c r="R216" s="65">
        <v>3084.9</v>
      </c>
      <c r="S216" s="65">
        <v>1661.1</v>
      </c>
      <c r="T216" s="65">
        <v>3084.9</v>
      </c>
      <c r="U216" s="101" t="s">
        <v>80</v>
      </c>
      <c r="V216" s="45">
        <v>45363.0</v>
      </c>
      <c r="W216" s="65"/>
      <c r="X216" s="101"/>
      <c r="Y216" s="45"/>
      <c r="Z216" s="65"/>
      <c r="AA216" s="101"/>
      <c r="AB216" s="45"/>
      <c r="AC216" s="65">
        <v>237.3</v>
      </c>
      <c r="AD216" s="101" t="s">
        <v>80</v>
      </c>
      <c r="AE216" s="45">
        <v>45371.0</v>
      </c>
      <c r="AF216" s="102"/>
      <c r="AG216" s="101"/>
      <c r="AH216" s="101"/>
      <c r="AI216" s="102"/>
    </row>
    <row r="217" ht="15.75" customHeight="1">
      <c r="A217" s="101" t="s">
        <v>61</v>
      </c>
      <c r="B217" s="101" t="s">
        <v>62</v>
      </c>
      <c r="C217" s="101" t="s">
        <v>63</v>
      </c>
      <c r="D217" s="101">
        <v>2200233.0</v>
      </c>
      <c r="E217" s="102" t="s">
        <v>566</v>
      </c>
      <c r="F217" s="45">
        <v>45364.0</v>
      </c>
      <c r="G217" s="45">
        <v>45358.0</v>
      </c>
      <c r="H217" s="101" t="s">
        <v>73</v>
      </c>
      <c r="I217" s="101" t="s">
        <v>76</v>
      </c>
      <c r="J217" s="101">
        <v>32.0</v>
      </c>
      <c r="K217" s="65">
        <v>76.753125</v>
      </c>
      <c r="L217" s="65">
        <v>2456.1</v>
      </c>
      <c r="M217" s="103">
        <v>0.2</v>
      </c>
      <c r="N217" s="65">
        <v>491.22</v>
      </c>
      <c r="O217" s="65">
        <v>2947.32</v>
      </c>
      <c r="P217" s="101" t="s">
        <v>79</v>
      </c>
      <c r="Q217" s="65">
        <v>245.61</v>
      </c>
      <c r="R217" s="65">
        <v>3192.93</v>
      </c>
      <c r="S217" s="65">
        <v>1719.27</v>
      </c>
      <c r="T217" s="65">
        <v>3192.93</v>
      </c>
      <c r="U217" s="101" t="s">
        <v>80</v>
      </c>
      <c r="V217" s="45">
        <v>45359.0</v>
      </c>
      <c r="W217" s="65"/>
      <c r="X217" s="101"/>
      <c r="Y217" s="45"/>
      <c r="Z217" s="65"/>
      <c r="AA217" s="101"/>
      <c r="AB217" s="45"/>
      <c r="AC217" s="65">
        <v>220.41</v>
      </c>
      <c r="AD217" s="101" t="s">
        <v>80</v>
      </c>
      <c r="AE217" s="45">
        <v>45365.0</v>
      </c>
      <c r="AF217" s="102"/>
      <c r="AG217" s="101"/>
      <c r="AH217" s="101"/>
      <c r="AI217" s="102"/>
    </row>
    <row r="218" ht="15.75" customHeight="1">
      <c r="A218" s="101" t="s">
        <v>61</v>
      </c>
      <c r="B218" s="101" t="s">
        <v>62</v>
      </c>
      <c r="C218" s="101" t="s">
        <v>63</v>
      </c>
      <c r="D218" s="101">
        <v>2200234.0</v>
      </c>
      <c r="E218" s="102" t="s">
        <v>567</v>
      </c>
      <c r="F218" s="45">
        <v>45365.0</v>
      </c>
      <c r="G218" s="45">
        <v>45359.0</v>
      </c>
      <c r="H218" s="101" t="s">
        <v>73</v>
      </c>
      <c r="I218" s="101" t="s">
        <v>76</v>
      </c>
      <c r="J218" s="101">
        <v>25.0</v>
      </c>
      <c r="K218" s="65">
        <v>89.04</v>
      </c>
      <c r="L218" s="65">
        <v>2226.0</v>
      </c>
      <c r="M218" s="103">
        <v>0.2</v>
      </c>
      <c r="N218" s="65">
        <v>445.2</v>
      </c>
      <c r="O218" s="65">
        <v>2671.2</v>
      </c>
      <c r="P218" s="101" t="s">
        <v>79</v>
      </c>
      <c r="Q218" s="65">
        <v>222.6</v>
      </c>
      <c r="R218" s="65">
        <v>2893.8</v>
      </c>
      <c r="S218" s="65">
        <v>1558.2</v>
      </c>
      <c r="T218" s="65">
        <v>2893.8</v>
      </c>
      <c r="U218" s="101" t="s">
        <v>80</v>
      </c>
      <c r="V218" s="45">
        <v>45363.0</v>
      </c>
      <c r="W218" s="65"/>
      <c r="X218" s="101"/>
      <c r="Y218" s="45"/>
      <c r="Z218" s="65"/>
      <c r="AA218" s="101"/>
      <c r="AB218" s="45"/>
      <c r="AC218" s="65">
        <v>222.6</v>
      </c>
      <c r="AD218" s="101"/>
      <c r="AE218" s="45">
        <v>45369.0</v>
      </c>
      <c r="AF218" s="102"/>
      <c r="AG218" s="101"/>
      <c r="AH218" s="101"/>
      <c r="AI218" s="102"/>
    </row>
    <row r="219" ht="15.75" customHeight="1">
      <c r="A219" s="101" t="s">
        <v>61</v>
      </c>
      <c r="B219" s="101" t="s">
        <v>62</v>
      </c>
      <c r="C219" s="101" t="s">
        <v>63</v>
      </c>
      <c r="D219" s="101">
        <v>2200235.0</v>
      </c>
      <c r="E219" s="102" t="s">
        <v>262</v>
      </c>
      <c r="F219" s="45">
        <v>45431.0</v>
      </c>
      <c r="G219" s="45">
        <v>45365.0</v>
      </c>
      <c r="H219" s="101" t="s">
        <v>83</v>
      </c>
      <c r="I219" s="101" t="s">
        <v>76</v>
      </c>
      <c r="J219" s="101">
        <v>36.0</v>
      </c>
      <c r="K219" s="65">
        <v>107.7847222</v>
      </c>
      <c r="L219" s="65">
        <v>3880.25</v>
      </c>
      <c r="M219" s="103">
        <v>0.2</v>
      </c>
      <c r="N219" s="65">
        <v>776.05</v>
      </c>
      <c r="O219" s="65">
        <v>4656.3</v>
      </c>
      <c r="P219" s="101" t="s">
        <v>79</v>
      </c>
      <c r="Q219" s="65">
        <v>388.025</v>
      </c>
      <c r="R219" s="65">
        <v>5044.325</v>
      </c>
      <c r="S219" s="65">
        <v>2716.175</v>
      </c>
      <c r="T219" s="65">
        <v>2533.67</v>
      </c>
      <c r="U219" s="101" t="s">
        <v>80</v>
      </c>
      <c r="V219" s="45">
        <v>45370.0</v>
      </c>
      <c r="W219" s="65">
        <v>2408.38</v>
      </c>
      <c r="X219" s="101" t="s">
        <v>80</v>
      </c>
      <c r="Y219" s="45">
        <v>45421.0</v>
      </c>
      <c r="Z219" s="65"/>
      <c r="AA219" s="101"/>
      <c r="AB219" s="45"/>
      <c r="AC219" s="65">
        <v>285.75</v>
      </c>
      <c r="AD219" s="101" t="s">
        <v>80</v>
      </c>
      <c r="AE219" s="45">
        <v>45434.0</v>
      </c>
      <c r="AF219" s="102"/>
      <c r="AG219" s="101"/>
      <c r="AH219" s="101"/>
      <c r="AI219" s="102"/>
    </row>
    <row r="220" ht="15.75" customHeight="1">
      <c r="A220" s="101" t="s">
        <v>167</v>
      </c>
      <c r="B220" s="101" t="s">
        <v>62</v>
      </c>
      <c r="C220" s="101" t="s">
        <v>63</v>
      </c>
      <c r="D220" s="101">
        <v>2200236.0</v>
      </c>
      <c r="E220" s="102" t="s">
        <v>568</v>
      </c>
      <c r="F220" s="45">
        <v>45373.0</v>
      </c>
      <c r="G220" s="45">
        <v>45366.0</v>
      </c>
      <c r="H220" s="101" t="s">
        <v>73</v>
      </c>
      <c r="I220" s="101" t="s">
        <v>76</v>
      </c>
      <c r="J220" s="101">
        <v>60.0</v>
      </c>
      <c r="K220" s="65">
        <v>35.75</v>
      </c>
      <c r="L220" s="65">
        <v>2145.0</v>
      </c>
      <c r="M220" s="103">
        <v>0.2</v>
      </c>
      <c r="N220" s="65">
        <v>429.0</v>
      </c>
      <c r="O220" s="65">
        <v>2574.0</v>
      </c>
      <c r="P220" s="101" t="s">
        <v>84</v>
      </c>
      <c r="Q220" s="65">
        <v>214.5</v>
      </c>
      <c r="R220" s="65">
        <v>2574.0</v>
      </c>
      <c r="S220" s="65">
        <v>1501.5</v>
      </c>
      <c r="T220" s="65">
        <v>2574.0</v>
      </c>
      <c r="U220" s="101" t="s">
        <v>80</v>
      </c>
      <c r="V220" s="45">
        <v>45370.0</v>
      </c>
      <c r="W220" s="65"/>
      <c r="X220" s="101"/>
      <c r="Y220" s="45"/>
      <c r="Z220" s="65"/>
      <c r="AA220" s="101"/>
      <c r="AB220" s="45"/>
      <c r="AC220" s="65"/>
      <c r="AD220" s="101"/>
      <c r="AE220" s="45"/>
      <c r="AF220" s="102"/>
      <c r="AG220" s="101"/>
      <c r="AH220" s="101"/>
      <c r="AI220" s="102"/>
    </row>
    <row r="221" ht="15.75" customHeight="1">
      <c r="A221" s="101" t="s">
        <v>167</v>
      </c>
      <c r="B221" s="101" t="s">
        <v>62</v>
      </c>
      <c r="C221" s="101" t="s">
        <v>63</v>
      </c>
      <c r="D221" s="101">
        <v>2200237.0</v>
      </c>
      <c r="E221" s="102" t="s">
        <v>569</v>
      </c>
      <c r="F221" s="45">
        <v>45374.0</v>
      </c>
      <c r="G221" s="45">
        <v>45369.0</v>
      </c>
      <c r="H221" s="101" t="s">
        <v>73</v>
      </c>
      <c r="I221" s="101" t="s">
        <v>76</v>
      </c>
      <c r="J221" s="101">
        <v>18.0</v>
      </c>
      <c r="K221" s="65">
        <v>44.22222222</v>
      </c>
      <c r="L221" s="65">
        <v>796.0</v>
      </c>
      <c r="M221" s="103">
        <v>0.2</v>
      </c>
      <c r="N221" s="65">
        <v>159.2</v>
      </c>
      <c r="O221" s="65">
        <v>955.2</v>
      </c>
      <c r="P221" s="101" t="s">
        <v>84</v>
      </c>
      <c r="Q221" s="65">
        <v>79.6</v>
      </c>
      <c r="R221" s="65">
        <v>955.2</v>
      </c>
      <c r="S221" s="65">
        <v>557.2</v>
      </c>
      <c r="T221" s="65">
        <v>955.2</v>
      </c>
      <c r="U221" s="101" t="s">
        <v>85</v>
      </c>
      <c r="V221" s="45">
        <v>45370.0</v>
      </c>
      <c r="W221" s="65"/>
      <c r="X221" s="101"/>
      <c r="Y221" s="45"/>
      <c r="Z221" s="65"/>
      <c r="AA221" s="101"/>
      <c r="AB221" s="45"/>
      <c r="AC221" s="65"/>
      <c r="AD221" s="101"/>
      <c r="AE221" s="45"/>
      <c r="AF221" s="102"/>
      <c r="AG221" s="101"/>
      <c r="AH221" s="101"/>
      <c r="AI221" s="102"/>
    </row>
    <row r="222" ht="15.75" customHeight="1">
      <c r="A222" s="101" t="s">
        <v>61</v>
      </c>
      <c r="B222" s="101" t="s">
        <v>62</v>
      </c>
      <c r="C222" s="101" t="s">
        <v>63</v>
      </c>
      <c r="D222" s="101">
        <v>2200238.0</v>
      </c>
      <c r="E222" s="102" t="s">
        <v>570</v>
      </c>
      <c r="F222" s="45">
        <v>45377.0</v>
      </c>
      <c r="G222" s="45">
        <v>45371.0</v>
      </c>
      <c r="H222" s="101" t="s">
        <v>83</v>
      </c>
      <c r="I222" s="101" t="s">
        <v>76</v>
      </c>
      <c r="J222" s="101">
        <v>50.0</v>
      </c>
      <c r="K222" s="65">
        <v>54.27</v>
      </c>
      <c r="L222" s="65">
        <v>2713.5</v>
      </c>
      <c r="M222" s="103">
        <v>0.2</v>
      </c>
      <c r="N222" s="65">
        <v>542.7</v>
      </c>
      <c r="O222" s="65">
        <v>3256.2</v>
      </c>
      <c r="P222" s="101" t="s">
        <v>79</v>
      </c>
      <c r="Q222" s="65">
        <v>271.35</v>
      </c>
      <c r="R222" s="65">
        <v>3527.55</v>
      </c>
      <c r="S222" s="65">
        <v>1899.45</v>
      </c>
      <c r="T222" s="65">
        <v>3527.55</v>
      </c>
      <c r="U222" s="101" t="s">
        <v>80</v>
      </c>
      <c r="V222" s="45">
        <v>45372.0</v>
      </c>
      <c r="W222" s="65"/>
      <c r="X222" s="101"/>
      <c r="Y222" s="45"/>
      <c r="Z222" s="65"/>
      <c r="AA222" s="101"/>
      <c r="AB222" s="45"/>
      <c r="AC222" s="65">
        <v>271.35</v>
      </c>
      <c r="AD222" s="101" t="s">
        <v>80</v>
      </c>
      <c r="AE222" s="45">
        <v>45379.0</v>
      </c>
      <c r="AF222" s="102"/>
      <c r="AG222" s="101"/>
      <c r="AH222" s="101"/>
      <c r="AI222" s="102"/>
    </row>
    <row r="223" ht="15.75" customHeight="1">
      <c r="A223" s="101" t="s">
        <v>167</v>
      </c>
      <c r="B223" s="101" t="s">
        <v>62</v>
      </c>
      <c r="C223" s="101" t="s">
        <v>251</v>
      </c>
      <c r="D223" s="101">
        <v>2200239.0</v>
      </c>
      <c r="E223" s="102" t="s">
        <v>234</v>
      </c>
      <c r="F223" s="45">
        <v>45374.0</v>
      </c>
      <c r="G223" s="45">
        <v>45372.0</v>
      </c>
      <c r="H223" s="101" t="s">
        <v>83</v>
      </c>
      <c r="I223" s="101" t="s">
        <v>76</v>
      </c>
      <c r="J223" s="101">
        <v>8.0</v>
      </c>
      <c r="K223" s="65">
        <v>151.125</v>
      </c>
      <c r="L223" s="65">
        <v>1209.0</v>
      </c>
      <c r="M223" s="103">
        <v>0.2</v>
      </c>
      <c r="N223" s="65">
        <v>241.8</v>
      </c>
      <c r="O223" s="65">
        <v>1450.8</v>
      </c>
      <c r="P223" s="101" t="s">
        <v>84</v>
      </c>
      <c r="Q223" s="65">
        <v>120.9</v>
      </c>
      <c r="R223" s="65">
        <v>1450.8</v>
      </c>
      <c r="S223" s="65">
        <v>846.3</v>
      </c>
      <c r="T223" s="65"/>
      <c r="U223" s="101"/>
      <c r="V223" s="45"/>
      <c r="W223" s="65"/>
      <c r="X223" s="101"/>
      <c r="Y223" s="45"/>
      <c r="Z223" s="65"/>
      <c r="AA223" s="101"/>
      <c r="AB223" s="45"/>
      <c r="AC223" s="65"/>
      <c r="AD223" s="101"/>
      <c r="AE223" s="45"/>
      <c r="AF223" s="102"/>
      <c r="AG223" s="101"/>
      <c r="AH223" s="101"/>
      <c r="AI223" s="102"/>
    </row>
    <row r="224" ht="15.75" customHeight="1">
      <c r="A224" s="101" t="s">
        <v>61</v>
      </c>
      <c r="B224" s="101" t="s">
        <v>62</v>
      </c>
      <c r="C224" s="101" t="s">
        <v>63</v>
      </c>
      <c r="D224" s="101">
        <v>2200240.0</v>
      </c>
      <c r="E224" s="102" t="s">
        <v>563</v>
      </c>
      <c r="F224" s="45">
        <v>45407.0</v>
      </c>
      <c r="G224" s="45">
        <v>45372.0</v>
      </c>
      <c r="H224" s="101" t="s">
        <v>83</v>
      </c>
      <c r="I224" s="101" t="s">
        <v>76</v>
      </c>
      <c r="J224" s="101">
        <v>65.0</v>
      </c>
      <c r="K224" s="65">
        <v>35.04615385</v>
      </c>
      <c r="L224" s="65">
        <v>2278.0</v>
      </c>
      <c r="M224" s="103">
        <v>0.2</v>
      </c>
      <c r="N224" s="65">
        <v>455.6</v>
      </c>
      <c r="O224" s="65">
        <v>2733.6</v>
      </c>
      <c r="P224" s="101" t="s">
        <v>79</v>
      </c>
      <c r="Q224" s="65">
        <v>227.8</v>
      </c>
      <c r="R224" s="65">
        <v>2961.4</v>
      </c>
      <c r="S224" s="65">
        <v>1594.6</v>
      </c>
      <c r="T224" s="65">
        <v>2961.4</v>
      </c>
      <c r="U224" s="101" t="s">
        <v>85</v>
      </c>
      <c r="V224" s="45">
        <v>45400.0</v>
      </c>
      <c r="W224" s="65"/>
      <c r="X224" s="101"/>
      <c r="Y224" s="45"/>
      <c r="Z224" s="65"/>
      <c r="AA224" s="101"/>
      <c r="AB224" s="45"/>
      <c r="AC224" s="65">
        <v>227.8</v>
      </c>
      <c r="AD224" s="101" t="s">
        <v>85</v>
      </c>
      <c r="AE224" s="45">
        <v>45422.0</v>
      </c>
      <c r="AF224" s="102" t="s">
        <v>571</v>
      </c>
      <c r="AG224" s="101" t="s">
        <v>379</v>
      </c>
      <c r="AH224" s="101">
        <v>1.1368346E7</v>
      </c>
      <c r="AI224" s="102"/>
    </row>
    <row r="225" ht="15.75" customHeight="1">
      <c r="A225" s="101" t="s">
        <v>61</v>
      </c>
      <c r="B225" s="101" t="s">
        <v>62</v>
      </c>
      <c r="C225" s="101" t="s">
        <v>63</v>
      </c>
      <c r="D225" s="101">
        <v>2200241.0</v>
      </c>
      <c r="E225" s="102" t="s">
        <v>176</v>
      </c>
      <c r="F225" s="45">
        <v>45384.0</v>
      </c>
      <c r="G225" s="45">
        <v>45375.0</v>
      </c>
      <c r="H225" s="101" t="s">
        <v>73</v>
      </c>
      <c r="I225" s="101" t="s">
        <v>76</v>
      </c>
      <c r="J225" s="101">
        <v>150.0</v>
      </c>
      <c r="K225" s="65">
        <v>78.106</v>
      </c>
      <c r="L225" s="65">
        <v>11715.9</v>
      </c>
      <c r="M225" s="103">
        <v>0.2</v>
      </c>
      <c r="N225" s="65">
        <v>2343.18</v>
      </c>
      <c r="O225" s="65">
        <v>14059.08</v>
      </c>
      <c r="P225" s="101" t="s">
        <v>79</v>
      </c>
      <c r="Q225" s="65">
        <v>1171.59</v>
      </c>
      <c r="R225" s="65">
        <v>15230.67</v>
      </c>
      <c r="S225" s="65">
        <v>8201.13</v>
      </c>
      <c r="T225" s="65">
        <v>15303.46</v>
      </c>
      <c r="U225" s="101" t="s">
        <v>85</v>
      </c>
      <c r="V225" s="45">
        <v>45377.0</v>
      </c>
      <c r="W225" s="65"/>
      <c r="X225" s="101"/>
      <c r="Y225" s="45"/>
      <c r="Z225" s="65"/>
      <c r="AA225" s="101"/>
      <c r="AB225" s="45"/>
      <c r="AC225" s="65">
        <v>1171.59</v>
      </c>
      <c r="AD225" s="101" t="s">
        <v>85</v>
      </c>
      <c r="AE225" s="45">
        <v>45394.0</v>
      </c>
      <c r="AF225" s="102" t="s">
        <v>572</v>
      </c>
      <c r="AG225" s="128">
        <v>29364.0</v>
      </c>
      <c r="AH225" s="101">
        <v>1.8260492E7</v>
      </c>
      <c r="AI225" s="102"/>
    </row>
    <row r="226" ht="15.75" customHeight="1">
      <c r="A226" s="101" t="s">
        <v>61</v>
      </c>
      <c r="B226" s="101" t="s">
        <v>62</v>
      </c>
      <c r="C226" s="101" t="s">
        <v>251</v>
      </c>
      <c r="D226" s="101">
        <v>2200242.0</v>
      </c>
      <c r="E226" s="102" t="s">
        <v>172</v>
      </c>
      <c r="F226" s="45">
        <v>45457.0</v>
      </c>
      <c r="G226" s="45">
        <v>45375.0</v>
      </c>
      <c r="H226" s="101" t="s">
        <v>73</v>
      </c>
      <c r="I226" s="101" t="s">
        <v>76</v>
      </c>
      <c r="J226" s="101">
        <v>45.0</v>
      </c>
      <c r="K226" s="65">
        <v>124.3666667</v>
      </c>
      <c r="L226" s="65">
        <v>5596.5</v>
      </c>
      <c r="M226" s="103">
        <v>0.2</v>
      </c>
      <c r="N226" s="65">
        <v>1119.3</v>
      </c>
      <c r="O226" s="65">
        <v>6715.8</v>
      </c>
      <c r="P226" s="101" t="s">
        <v>79</v>
      </c>
      <c r="Q226" s="65">
        <v>559.65</v>
      </c>
      <c r="R226" s="65">
        <v>7275.45</v>
      </c>
      <c r="S226" s="65">
        <v>3917.55</v>
      </c>
      <c r="T226" s="65">
        <v>4113.36</v>
      </c>
      <c r="U226" s="101" t="s">
        <v>80</v>
      </c>
      <c r="V226" s="45">
        <v>45375.0</v>
      </c>
      <c r="W226" s="65">
        <v>3190.06</v>
      </c>
      <c r="X226" s="101" t="s">
        <v>80</v>
      </c>
      <c r="Y226" s="45">
        <v>45447.0</v>
      </c>
      <c r="Z226" s="65"/>
      <c r="AA226" s="101"/>
      <c r="AB226" s="45"/>
      <c r="AC226" s="65">
        <v>1022.02</v>
      </c>
      <c r="AD226" s="101" t="s">
        <v>80</v>
      </c>
      <c r="AE226" s="45">
        <v>45460.0</v>
      </c>
      <c r="AF226" s="102"/>
      <c r="AG226" s="101"/>
      <c r="AH226" s="101"/>
      <c r="AI226" s="102"/>
    </row>
    <row r="227" ht="15.75" customHeight="1">
      <c r="A227" s="101" t="s">
        <v>61</v>
      </c>
      <c r="B227" s="101" t="s">
        <v>62</v>
      </c>
      <c r="C227" s="101" t="s">
        <v>63</v>
      </c>
      <c r="D227" s="101">
        <v>2200243.0</v>
      </c>
      <c r="E227" s="102" t="s">
        <v>573</v>
      </c>
      <c r="F227" s="45">
        <v>45384.0</v>
      </c>
      <c r="G227" s="45">
        <v>45378.0</v>
      </c>
      <c r="H227" s="101" t="s">
        <v>73</v>
      </c>
      <c r="I227" s="101" t="s">
        <v>119</v>
      </c>
      <c r="J227" s="101">
        <v>45.0</v>
      </c>
      <c r="K227" s="65">
        <v>17.14444444</v>
      </c>
      <c r="L227" s="65">
        <v>771.5</v>
      </c>
      <c r="M227" s="103">
        <v>0.2</v>
      </c>
      <c r="N227" s="65">
        <v>154.3</v>
      </c>
      <c r="O227" s="65">
        <v>925.8</v>
      </c>
      <c r="P227" s="101" t="s">
        <v>79</v>
      </c>
      <c r="Q227" s="65">
        <v>77.15</v>
      </c>
      <c r="R227" s="65">
        <v>1002.95</v>
      </c>
      <c r="S227" s="65">
        <v>540.05</v>
      </c>
      <c r="T227" s="65"/>
      <c r="U227" s="101"/>
      <c r="V227" s="45"/>
      <c r="W227" s="65"/>
      <c r="X227" s="101"/>
      <c r="Y227" s="45"/>
      <c r="Z227" s="65"/>
      <c r="AA227" s="101"/>
      <c r="AB227" s="45"/>
      <c r="AC227" s="65"/>
      <c r="AD227" s="101"/>
      <c r="AE227" s="45"/>
      <c r="AF227" s="102"/>
      <c r="AG227" s="101"/>
      <c r="AH227" s="101"/>
      <c r="AI227" s="102"/>
    </row>
    <row r="228" ht="15.75" customHeight="1">
      <c r="A228" s="101" t="s">
        <v>61</v>
      </c>
      <c r="B228" s="101" t="s">
        <v>62</v>
      </c>
      <c r="C228" s="101" t="s">
        <v>63</v>
      </c>
      <c r="D228" s="101">
        <v>2200244.0</v>
      </c>
      <c r="E228" s="102" t="s">
        <v>574</v>
      </c>
      <c r="F228" s="45">
        <v>45427.0</v>
      </c>
      <c r="G228" s="45">
        <v>45386.0</v>
      </c>
      <c r="H228" s="101" t="s">
        <v>73</v>
      </c>
      <c r="I228" s="101" t="s">
        <v>76</v>
      </c>
      <c r="J228" s="101">
        <v>165.0</v>
      </c>
      <c r="K228" s="65">
        <v>106.3548485</v>
      </c>
      <c r="L228" s="65">
        <v>17548.55</v>
      </c>
      <c r="M228" s="103">
        <v>0.2</v>
      </c>
      <c r="N228" s="65">
        <v>3509.71</v>
      </c>
      <c r="O228" s="65">
        <v>21058.26</v>
      </c>
      <c r="P228" s="101" t="s">
        <v>79</v>
      </c>
      <c r="Q228" s="65">
        <v>1754.855</v>
      </c>
      <c r="R228" s="65">
        <v>22813.115</v>
      </c>
      <c r="S228" s="65">
        <v>12283.985</v>
      </c>
      <c r="T228" s="65">
        <v>10504.48</v>
      </c>
      <c r="U228" s="101" t="s">
        <v>85</v>
      </c>
      <c r="V228" s="45">
        <v>45393.0</v>
      </c>
      <c r="W228" s="65">
        <v>11172.42</v>
      </c>
      <c r="X228" s="101" t="s">
        <v>80</v>
      </c>
      <c r="Y228" s="45">
        <v>45420.0</v>
      </c>
      <c r="Z228" s="65"/>
      <c r="AA228" s="101"/>
      <c r="AB228" s="45"/>
      <c r="AC228" s="65">
        <v>487.96</v>
      </c>
      <c r="AD228" s="101" t="s">
        <v>80</v>
      </c>
      <c r="AE228" s="45">
        <v>45433.0</v>
      </c>
      <c r="AF228" s="102"/>
      <c r="AG228" s="101"/>
      <c r="AH228" s="101"/>
      <c r="AI228" s="102"/>
    </row>
    <row r="229" ht="15.75" customHeight="1">
      <c r="A229" s="101" t="s">
        <v>61</v>
      </c>
      <c r="B229" s="101" t="s">
        <v>62</v>
      </c>
      <c r="C229" s="101" t="s">
        <v>63</v>
      </c>
      <c r="D229" s="101">
        <v>2200245.0</v>
      </c>
      <c r="E229" s="102" t="s">
        <v>575</v>
      </c>
      <c r="F229" s="45">
        <v>45462.0</v>
      </c>
      <c r="G229" s="45">
        <v>45386.0</v>
      </c>
      <c r="H229" s="101" t="s">
        <v>73</v>
      </c>
      <c r="I229" s="101" t="s">
        <v>76</v>
      </c>
      <c r="J229" s="101">
        <v>50.0</v>
      </c>
      <c r="K229" s="65">
        <v>58.64</v>
      </c>
      <c r="L229" s="65">
        <v>2932.0</v>
      </c>
      <c r="M229" s="103">
        <v>0.2</v>
      </c>
      <c r="N229" s="65">
        <v>586.4</v>
      </c>
      <c r="O229" s="65">
        <v>3518.4</v>
      </c>
      <c r="P229" s="101" t="s">
        <v>79</v>
      </c>
      <c r="Q229" s="65">
        <v>293.2</v>
      </c>
      <c r="R229" s="65">
        <v>3811.6</v>
      </c>
      <c r="S229" s="65">
        <v>2052.4</v>
      </c>
      <c r="T229" s="65">
        <v>2006.2</v>
      </c>
      <c r="U229" s="101" t="s">
        <v>80</v>
      </c>
      <c r="V229" s="45">
        <v>45405.0</v>
      </c>
      <c r="W229" s="65">
        <v>1798.8</v>
      </c>
      <c r="X229" s="101" t="s">
        <v>80</v>
      </c>
      <c r="Y229" s="45">
        <v>45457.0</v>
      </c>
      <c r="Z229" s="65"/>
      <c r="AA229" s="101"/>
      <c r="AB229" s="45"/>
      <c r="AC229" s="65">
        <v>286.6</v>
      </c>
      <c r="AD229" s="101" t="s">
        <v>80</v>
      </c>
      <c r="AE229" s="45">
        <v>45468.0</v>
      </c>
      <c r="AF229" s="102"/>
      <c r="AG229" s="101"/>
      <c r="AH229" s="101"/>
      <c r="AI229" s="102"/>
    </row>
    <row r="230" ht="15.75" customHeight="1">
      <c r="A230" s="101" t="s">
        <v>223</v>
      </c>
      <c r="B230" s="101" t="s">
        <v>62</v>
      </c>
      <c r="C230" s="101" t="s">
        <v>63</v>
      </c>
      <c r="D230" s="101">
        <v>2200246.0</v>
      </c>
      <c r="E230" s="102" t="s">
        <v>576</v>
      </c>
      <c r="F230" s="45">
        <v>45400.0</v>
      </c>
      <c r="G230" s="45">
        <v>45393.0</v>
      </c>
      <c r="H230" s="101" t="s">
        <v>83</v>
      </c>
      <c r="I230" s="101" t="s">
        <v>76</v>
      </c>
      <c r="J230" s="101">
        <v>31.0</v>
      </c>
      <c r="K230" s="65">
        <v>29.89</v>
      </c>
      <c r="L230" s="65">
        <v>772.0</v>
      </c>
      <c r="M230" s="103">
        <v>0.2</v>
      </c>
      <c r="N230" s="65"/>
      <c r="O230" s="65">
        <v>926.4</v>
      </c>
      <c r="P230" s="101" t="s">
        <v>84</v>
      </c>
      <c r="Q230" s="65">
        <v>926.4</v>
      </c>
      <c r="R230" s="65"/>
      <c r="S230" s="65"/>
      <c r="T230" s="65">
        <v>925.4</v>
      </c>
      <c r="U230" s="101" t="s">
        <v>85</v>
      </c>
      <c r="V230" s="45">
        <v>45394.0</v>
      </c>
      <c r="W230" s="65"/>
      <c r="X230" s="101"/>
      <c r="Y230" s="45"/>
      <c r="Z230" s="65"/>
      <c r="AA230" s="101"/>
      <c r="AB230" s="45"/>
      <c r="AC230" s="65"/>
      <c r="AD230" s="101"/>
      <c r="AE230" s="45"/>
      <c r="AF230" s="102"/>
      <c r="AG230" s="101"/>
      <c r="AH230" s="101"/>
      <c r="AI230" s="102"/>
    </row>
    <row r="231" ht="15.75" customHeight="1">
      <c r="A231" s="101" t="s">
        <v>219</v>
      </c>
      <c r="B231" s="101" t="s">
        <v>62</v>
      </c>
      <c r="C231" s="101" t="s">
        <v>63</v>
      </c>
      <c r="D231" s="101">
        <v>2200247.0</v>
      </c>
      <c r="E231" s="102" t="s">
        <v>205</v>
      </c>
      <c r="F231" s="45">
        <v>45449.0</v>
      </c>
      <c r="G231" s="45">
        <v>45397.0</v>
      </c>
      <c r="H231" s="101" t="s">
        <v>83</v>
      </c>
      <c r="I231" s="101" t="s">
        <v>76</v>
      </c>
      <c r="J231" s="101">
        <v>60.0</v>
      </c>
      <c r="K231" s="65">
        <v>107.555</v>
      </c>
      <c r="L231" s="65">
        <v>6453.3</v>
      </c>
      <c r="M231" s="103">
        <v>0.2</v>
      </c>
      <c r="N231" s="65">
        <v>1290.66</v>
      </c>
      <c r="O231" s="65">
        <v>7743.96</v>
      </c>
      <c r="P231" s="101" t="s">
        <v>79</v>
      </c>
      <c r="Q231" s="65">
        <v>645.33</v>
      </c>
      <c r="R231" s="65">
        <v>8389.29</v>
      </c>
      <c r="S231" s="65">
        <v>4517.31</v>
      </c>
      <c r="T231" s="65">
        <v>4517.31</v>
      </c>
      <c r="U231" s="101" t="s">
        <v>80</v>
      </c>
      <c r="V231" s="45">
        <v>45397.0</v>
      </c>
      <c r="W231" s="65">
        <v>3871.98</v>
      </c>
      <c r="X231" s="101" t="s">
        <v>80</v>
      </c>
      <c r="Y231" s="45">
        <v>45435.0</v>
      </c>
      <c r="Z231" s="65"/>
      <c r="AA231" s="101"/>
      <c r="AB231" s="45"/>
      <c r="AC231" s="65">
        <v>645.33</v>
      </c>
      <c r="AD231" s="101" t="s">
        <v>80</v>
      </c>
      <c r="AE231" s="45">
        <v>45450.0</v>
      </c>
      <c r="AF231" s="102"/>
      <c r="AG231" s="101"/>
      <c r="AH231" s="101"/>
      <c r="AI231" s="102"/>
    </row>
    <row r="232" ht="15.75" customHeight="1">
      <c r="A232" s="101" t="s">
        <v>223</v>
      </c>
      <c r="B232" s="101" t="s">
        <v>62</v>
      </c>
      <c r="C232" s="101" t="s">
        <v>63</v>
      </c>
      <c r="D232" s="101">
        <v>2200248.0</v>
      </c>
      <c r="E232" s="102" t="s">
        <v>577</v>
      </c>
      <c r="F232" s="45">
        <v>45432.0</v>
      </c>
      <c r="G232" s="45">
        <v>45397.0</v>
      </c>
      <c r="H232" s="101" t="s">
        <v>83</v>
      </c>
      <c r="I232" s="101" t="s">
        <v>76</v>
      </c>
      <c r="J232" s="101">
        <v>50.0</v>
      </c>
      <c r="K232" s="65">
        <v>55.214</v>
      </c>
      <c r="L232" s="65">
        <v>2760.7</v>
      </c>
      <c r="M232" s="103">
        <v>0.2</v>
      </c>
      <c r="N232" s="65">
        <v>552.14</v>
      </c>
      <c r="O232" s="65">
        <v>3312.84</v>
      </c>
      <c r="P232" s="101" t="s">
        <v>79</v>
      </c>
      <c r="Q232" s="65">
        <v>276.07</v>
      </c>
      <c r="R232" s="65">
        <v>3588.91</v>
      </c>
      <c r="S232" s="65">
        <v>1932.49</v>
      </c>
      <c r="T232" s="65">
        <v>3588.91</v>
      </c>
      <c r="U232" s="101" t="s">
        <v>80</v>
      </c>
      <c r="V232" s="45">
        <v>45454.0</v>
      </c>
      <c r="W232" s="65"/>
      <c r="X232" s="101"/>
      <c r="Y232" s="45"/>
      <c r="Z232" s="65"/>
      <c r="AA232" s="101"/>
      <c r="AB232" s="45"/>
      <c r="AC232" s="65">
        <v>276.07</v>
      </c>
      <c r="AD232" s="101" t="s">
        <v>80</v>
      </c>
      <c r="AE232" s="45">
        <v>45468.0</v>
      </c>
      <c r="AF232" s="102"/>
      <c r="AG232" s="101"/>
      <c r="AH232" s="101"/>
      <c r="AI232" s="102"/>
    </row>
    <row r="233" ht="15.75" customHeight="1">
      <c r="A233" s="101" t="s">
        <v>61</v>
      </c>
      <c r="B233" s="101" t="s">
        <v>62</v>
      </c>
      <c r="C233" s="101" t="s">
        <v>63</v>
      </c>
      <c r="D233" s="101">
        <v>2200249.0</v>
      </c>
      <c r="E233" s="102" t="s">
        <v>178</v>
      </c>
      <c r="F233" s="45">
        <v>45477.0</v>
      </c>
      <c r="G233" s="45">
        <v>45399.0</v>
      </c>
      <c r="H233" s="101" t="s">
        <v>83</v>
      </c>
      <c r="I233" s="101" t="s">
        <v>76</v>
      </c>
      <c r="J233" s="101">
        <v>325.0</v>
      </c>
      <c r="K233" s="65">
        <v>106.3953846</v>
      </c>
      <c r="L233" s="65">
        <v>34578.5</v>
      </c>
      <c r="M233" s="103">
        <v>0.2</v>
      </c>
      <c r="N233" s="65">
        <v>6915.7</v>
      </c>
      <c r="O233" s="65">
        <v>41494.2</v>
      </c>
      <c r="P233" s="101" t="s">
        <v>79</v>
      </c>
      <c r="Q233" s="65">
        <v>3457.85</v>
      </c>
      <c r="R233" s="65"/>
      <c r="S233" s="65">
        <v>24204.95</v>
      </c>
      <c r="T233" s="65">
        <v>23219.35</v>
      </c>
      <c r="U233" s="101" t="s">
        <v>85</v>
      </c>
      <c r="V233" s="45">
        <v>45413.0</v>
      </c>
      <c r="W233" s="65">
        <v>21264.3</v>
      </c>
      <c r="X233" s="101" t="s">
        <v>85</v>
      </c>
      <c r="Y233" s="45">
        <v>45476.0</v>
      </c>
      <c r="Z233" s="65"/>
      <c r="AA233" s="101"/>
      <c r="AB233" s="45"/>
      <c r="AC233" s="65">
        <v>3317.05</v>
      </c>
      <c r="AD233" s="101" t="s">
        <v>85</v>
      </c>
      <c r="AE233" s="45">
        <v>45478.0</v>
      </c>
      <c r="AF233" s="102" t="s">
        <v>285</v>
      </c>
      <c r="AG233" s="101">
        <v>301635.0</v>
      </c>
      <c r="AH233" s="101">
        <v>8.1822019E7</v>
      </c>
      <c r="AI233" s="102"/>
    </row>
    <row r="234" ht="15.75" customHeight="1">
      <c r="A234" s="101" t="s">
        <v>61</v>
      </c>
      <c r="B234" s="101" t="s">
        <v>62</v>
      </c>
      <c r="C234" s="101" t="s">
        <v>251</v>
      </c>
      <c r="D234" s="101">
        <v>2200250.0</v>
      </c>
      <c r="E234" s="102" t="s">
        <v>578</v>
      </c>
      <c r="F234" s="45">
        <v>45443.0</v>
      </c>
      <c r="G234" s="45">
        <v>45400.0</v>
      </c>
      <c r="H234" s="101" t="s">
        <v>73</v>
      </c>
      <c r="I234" s="101" t="s">
        <v>76</v>
      </c>
      <c r="J234" s="101">
        <v>40.0</v>
      </c>
      <c r="K234" s="65">
        <v>75.465</v>
      </c>
      <c r="L234" s="65">
        <v>3018.6</v>
      </c>
      <c r="M234" s="103">
        <v>0.2</v>
      </c>
      <c r="N234" s="65">
        <v>603.72</v>
      </c>
      <c r="O234" s="65">
        <v>3622.32</v>
      </c>
      <c r="P234" s="101" t="s">
        <v>79</v>
      </c>
      <c r="Q234" s="65">
        <v>301.86</v>
      </c>
      <c r="R234" s="65">
        <v>3924.18</v>
      </c>
      <c r="S234" s="65">
        <v>2113.02</v>
      </c>
      <c r="T234" s="65">
        <v>2113.03</v>
      </c>
      <c r="U234" s="101" t="s">
        <v>85</v>
      </c>
      <c r="V234" s="45">
        <v>45416.0</v>
      </c>
      <c r="W234" s="65">
        <v>1811.16</v>
      </c>
      <c r="X234" s="101" t="s">
        <v>80</v>
      </c>
      <c r="Y234" s="45">
        <v>45440.0</v>
      </c>
      <c r="Z234" s="65"/>
      <c r="AA234" s="101"/>
      <c r="AB234" s="45"/>
      <c r="AC234" s="65">
        <v>301.86</v>
      </c>
      <c r="AD234" s="101" t="s">
        <v>80</v>
      </c>
      <c r="AE234" s="45">
        <v>45448.0</v>
      </c>
      <c r="AF234" s="102"/>
      <c r="AG234" s="101"/>
      <c r="AH234" s="101"/>
      <c r="AI234" s="102"/>
    </row>
    <row r="235" ht="15.75" customHeight="1">
      <c r="A235" s="101" t="s">
        <v>61</v>
      </c>
      <c r="B235" s="101" t="s">
        <v>62</v>
      </c>
      <c r="C235" s="101" t="s">
        <v>63</v>
      </c>
      <c r="D235" s="101">
        <v>2200251.0</v>
      </c>
      <c r="E235" s="102" t="s">
        <v>579</v>
      </c>
      <c r="F235" s="45">
        <v>45407.0</v>
      </c>
      <c r="G235" s="45">
        <v>45401.0</v>
      </c>
      <c r="H235" s="101" t="s">
        <v>73</v>
      </c>
      <c r="I235" s="101" t="s">
        <v>76</v>
      </c>
      <c r="J235" s="101">
        <v>20.0</v>
      </c>
      <c r="K235" s="65">
        <v>114.12</v>
      </c>
      <c r="L235" s="65">
        <v>2282.4</v>
      </c>
      <c r="M235" s="103">
        <v>0.2</v>
      </c>
      <c r="N235" s="65">
        <v>456.48</v>
      </c>
      <c r="O235" s="65">
        <v>2738.88</v>
      </c>
      <c r="P235" s="101" t="s">
        <v>79</v>
      </c>
      <c r="Q235" s="65">
        <v>228.24</v>
      </c>
      <c r="R235" s="65">
        <v>2967.12</v>
      </c>
      <c r="S235" s="65">
        <v>1597.68</v>
      </c>
      <c r="T235" s="65">
        <v>2901.47</v>
      </c>
      <c r="U235" s="101" t="s">
        <v>80</v>
      </c>
      <c r="V235" s="45">
        <v>45405.0</v>
      </c>
      <c r="W235" s="65"/>
      <c r="X235" s="101"/>
      <c r="Y235" s="45"/>
      <c r="Z235" s="65"/>
      <c r="AA235" s="101"/>
      <c r="AB235" s="45"/>
      <c r="AC235" s="65">
        <v>223.19</v>
      </c>
      <c r="AD235" s="101" t="s">
        <v>80</v>
      </c>
      <c r="AE235" s="45">
        <v>45418.0</v>
      </c>
      <c r="AF235" s="102"/>
      <c r="AG235" s="101"/>
      <c r="AH235" s="101"/>
      <c r="AI235" s="102"/>
    </row>
    <row r="236" ht="15.75" customHeight="1">
      <c r="A236" s="101" t="s">
        <v>61</v>
      </c>
      <c r="B236" s="101" t="s">
        <v>62</v>
      </c>
      <c r="C236" s="101" t="s">
        <v>63</v>
      </c>
      <c r="D236" s="101">
        <v>2200252.0</v>
      </c>
      <c r="E236" s="102" t="s">
        <v>580</v>
      </c>
      <c r="F236" s="45">
        <v>45408.0</v>
      </c>
      <c r="G236" s="45">
        <v>45401.0</v>
      </c>
      <c r="H236" s="101" t="s">
        <v>73</v>
      </c>
      <c r="I236" s="101" t="s">
        <v>76</v>
      </c>
      <c r="J236" s="101">
        <v>100.0</v>
      </c>
      <c r="K236" s="65">
        <v>1.0</v>
      </c>
      <c r="L236" s="65">
        <v>100.0</v>
      </c>
      <c r="M236" s="103">
        <v>0.2</v>
      </c>
      <c r="N236" s="65">
        <v>20.0</v>
      </c>
      <c r="O236" s="65">
        <v>120.0</v>
      </c>
      <c r="P236" s="101" t="s">
        <v>84</v>
      </c>
      <c r="Q236" s="65">
        <v>10.0</v>
      </c>
      <c r="R236" s="65">
        <v>120.0</v>
      </c>
      <c r="S236" s="65">
        <v>70.0</v>
      </c>
      <c r="T236" s="65">
        <v>120.0</v>
      </c>
      <c r="U236" s="101" t="s">
        <v>80</v>
      </c>
      <c r="V236" s="45"/>
      <c r="W236" s="65"/>
      <c r="X236" s="101"/>
      <c r="Y236" s="45"/>
      <c r="Z236" s="65"/>
      <c r="AA236" s="101"/>
      <c r="AB236" s="45"/>
      <c r="AC236" s="65"/>
      <c r="AD236" s="101"/>
      <c r="AE236" s="45"/>
      <c r="AF236" s="102"/>
      <c r="AG236" s="101"/>
      <c r="AH236" s="101"/>
      <c r="AI236" s="102"/>
    </row>
    <row r="237" ht="15.75" customHeight="1">
      <c r="A237" s="101" t="s">
        <v>167</v>
      </c>
      <c r="B237" s="101" t="s">
        <v>62</v>
      </c>
      <c r="C237" s="101" t="s">
        <v>63</v>
      </c>
      <c r="D237" s="101">
        <v>2200253.0</v>
      </c>
      <c r="E237" s="102" t="s">
        <v>204</v>
      </c>
      <c r="F237" s="45">
        <v>45404.0</v>
      </c>
      <c r="G237" s="45">
        <v>45404.0</v>
      </c>
      <c r="H237" s="101" t="s">
        <v>83</v>
      </c>
      <c r="I237" s="101" t="s">
        <v>76</v>
      </c>
      <c r="J237" s="101">
        <v>9.0</v>
      </c>
      <c r="K237" s="65">
        <v>75.0</v>
      </c>
      <c r="L237" s="65">
        <v>675.0</v>
      </c>
      <c r="M237" s="103">
        <v>0.2</v>
      </c>
      <c r="N237" s="65">
        <v>135.0</v>
      </c>
      <c r="O237" s="65">
        <v>810.0</v>
      </c>
      <c r="P237" s="101" t="s">
        <v>84</v>
      </c>
      <c r="Q237" s="65">
        <v>67.5</v>
      </c>
      <c r="R237" s="65">
        <v>810.0</v>
      </c>
      <c r="S237" s="65">
        <v>472.5</v>
      </c>
      <c r="T237" s="65">
        <v>810.0</v>
      </c>
      <c r="U237" s="101" t="s">
        <v>85</v>
      </c>
      <c r="V237" s="45">
        <v>45428.0</v>
      </c>
      <c r="W237" s="65"/>
      <c r="X237" s="101"/>
      <c r="Y237" s="45"/>
      <c r="Z237" s="65"/>
      <c r="AA237" s="101"/>
      <c r="AB237" s="45"/>
      <c r="AC237" s="65"/>
      <c r="AD237" s="101"/>
      <c r="AE237" s="45"/>
      <c r="AF237" s="102"/>
      <c r="AG237" s="101"/>
      <c r="AH237" s="101"/>
      <c r="AI237" s="102"/>
    </row>
    <row r="238" ht="15.75" customHeight="1">
      <c r="A238" s="101" t="s">
        <v>61</v>
      </c>
      <c r="B238" s="101" t="s">
        <v>62</v>
      </c>
      <c r="C238" s="101" t="s">
        <v>63</v>
      </c>
      <c r="D238" s="101">
        <v>2200254.0</v>
      </c>
      <c r="E238" s="102" t="s">
        <v>260</v>
      </c>
      <c r="F238" s="45">
        <v>45421.0</v>
      </c>
      <c r="G238" s="45">
        <v>45405.0</v>
      </c>
      <c r="H238" s="101" t="s">
        <v>83</v>
      </c>
      <c r="I238" s="101" t="s">
        <v>76</v>
      </c>
      <c r="J238" s="101">
        <v>15.0</v>
      </c>
      <c r="K238" s="65">
        <v>140.4666667</v>
      </c>
      <c r="L238" s="65">
        <v>2107.0</v>
      </c>
      <c r="M238" s="103">
        <v>0.2</v>
      </c>
      <c r="N238" s="65">
        <v>421.4</v>
      </c>
      <c r="O238" s="65">
        <v>2528.4</v>
      </c>
      <c r="P238" s="101" t="s">
        <v>79</v>
      </c>
      <c r="Q238" s="65">
        <v>210.7</v>
      </c>
      <c r="R238" s="65">
        <v>2739.1</v>
      </c>
      <c r="S238" s="65">
        <v>1474.9</v>
      </c>
      <c r="T238" s="65">
        <v>2739.1</v>
      </c>
      <c r="U238" s="101" t="s">
        <v>80</v>
      </c>
      <c r="V238" s="45">
        <v>45414.0</v>
      </c>
      <c r="W238" s="65"/>
      <c r="X238" s="101"/>
      <c r="Y238" s="45"/>
      <c r="Z238" s="65"/>
      <c r="AA238" s="101"/>
      <c r="AB238" s="45"/>
      <c r="AC238" s="65">
        <v>210.7</v>
      </c>
      <c r="AD238" s="101" t="s">
        <v>80</v>
      </c>
      <c r="AE238" s="45"/>
      <c r="AF238" s="102"/>
      <c r="AG238" s="101"/>
      <c r="AH238" s="101"/>
      <c r="AI238" s="102"/>
    </row>
    <row r="239" ht="15.75" customHeight="1">
      <c r="A239" s="101" t="s">
        <v>61</v>
      </c>
      <c r="B239" s="101" t="s">
        <v>62</v>
      </c>
      <c r="C239" s="101" t="s">
        <v>63</v>
      </c>
      <c r="D239" s="101">
        <v>2200255.0</v>
      </c>
      <c r="E239" s="102" t="s">
        <v>517</v>
      </c>
      <c r="F239" s="45">
        <v>45419.0</v>
      </c>
      <c r="G239" s="45">
        <v>45411.0</v>
      </c>
      <c r="H239" s="101" t="s">
        <v>83</v>
      </c>
      <c r="I239" s="101" t="s">
        <v>76</v>
      </c>
      <c r="J239" s="101">
        <v>35.0</v>
      </c>
      <c r="K239" s="65">
        <v>33.03571429</v>
      </c>
      <c r="L239" s="65">
        <v>1156.25</v>
      </c>
      <c r="M239" s="103">
        <v>0.2</v>
      </c>
      <c r="N239" s="65">
        <v>231.25</v>
      </c>
      <c r="O239" s="65">
        <v>1387.5</v>
      </c>
      <c r="P239" s="101" t="s">
        <v>84</v>
      </c>
      <c r="Q239" s="65">
        <v>115.625</v>
      </c>
      <c r="R239" s="65">
        <v>1387.5</v>
      </c>
      <c r="S239" s="65">
        <v>809.375</v>
      </c>
      <c r="T239" s="65">
        <v>1387.5</v>
      </c>
      <c r="U239" s="101" t="s">
        <v>80</v>
      </c>
      <c r="V239" s="45">
        <v>45413.0</v>
      </c>
      <c r="W239" s="65"/>
      <c r="X239" s="101"/>
      <c r="Y239" s="45"/>
      <c r="Z239" s="65"/>
      <c r="AA239" s="101"/>
      <c r="AB239" s="45"/>
      <c r="AC239" s="65"/>
      <c r="AD239" s="101"/>
      <c r="AE239" s="45"/>
      <c r="AF239" s="102"/>
      <c r="AG239" s="101"/>
      <c r="AH239" s="101"/>
      <c r="AI239" s="102"/>
    </row>
    <row r="240" ht="15.75" customHeight="1">
      <c r="A240" s="101" t="s">
        <v>61</v>
      </c>
      <c r="B240" s="101" t="s">
        <v>62</v>
      </c>
      <c r="C240" s="101" t="s">
        <v>63</v>
      </c>
      <c r="D240" s="101">
        <v>2200256.0</v>
      </c>
      <c r="E240" s="102" t="s">
        <v>581</v>
      </c>
      <c r="F240" s="45">
        <v>45420.0</v>
      </c>
      <c r="G240" s="45">
        <v>45411.0</v>
      </c>
      <c r="H240" s="101" t="s">
        <v>83</v>
      </c>
      <c r="I240" s="101" t="s">
        <v>76</v>
      </c>
      <c r="J240" s="101">
        <v>35.0</v>
      </c>
      <c r="K240" s="65">
        <v>28.45714286</v>
      </c>
      <c r="L240" s="65">
        <v>996.0</v>
      </c>
      <c r="M240" s="103">
        <v>0.2</v>
      </c>
      <c r="N240" s="65">
        <v>199.2</v>
      </c>
      <c r="O240" s="65">
        <v>1195.2</v>
      </c>
      <c r="P240" s="101" t="s">
        <v>84</v>
      </c>
      <c r="Q240" s="65">
        <v>99.6</v>
      </c>
      <c r="R240" s="65">
        <v>1195.2</v>
      </c>
      <c r="S240" s="65">
        <v>697.2</v>
      </c>
      <c r="T240" s="65">
        <v>1195.2</v>
      </c>
      <c r="U240" s="101" t="s">
        <v>80</v>
      </c>
      <c r="V240" s="45">
        <v>45413.0</v>
      </c>
      <c r="W240" s="65"/>
      <c r="X240" s="101"/>
      <c r="Y240" s="45"/>
      <c r="Z240" s="65"/>
      <c r="AA240" s="101"/>
      <c r="AB240" s="45"/>
      <c r="AC240" s="65"/>
      <c r="AD240" s="101"/>
      <c r="AE240" s="45"/>
      <c r="AF240" s="102"/>
      <c r="AG240" s="101"/>
      <c r="AH240" s="101"/>
      <c r="AI240" s="102"/>
    </row>
    <row r="241" ht="15.75" customHeight="1">
      <c r="A241" s="101" t="s">
        <v>61</v>
      </c>
      <c r="B241" s="101" t="s">
        <v>62</v>
      </c>
      <c r="C241" s="101" t="s">
        <v>251</v>
      </c>
      <c r="D241" s="101">
        <v>2200257.0</v>
      </c>
      <c r="E241" s="102" t="s">
        <v>582</v>
      </c>
      <c r="F241" s="45">
        <v>45416.0</v>
      </c>
      <c r="G241" s="45">
        <v>45411.0</v>
      </c>
      <c r="H241" s="101" t="s">
        <v>73</v>
      </c>
      <c r="I241" s="101" t="s">
        <v>76</v>
      </c>
      <c r="J241" s="101">
        <v>15.0</v>
      </c>
      <c r="K241" s="65">
        <v>62.2</v>
      </c>
      <c r="L241" s="65">
        <v>933.0</v>
      </c>
      <c r="M241" s="103">
        <v>0.2</v>
      </c>
      <c r="N241" s="65">
        <v>186.6</v>
      </c>
      <c r="O241" s="65">
        <v>1119.6</v>
      </c>
      <c r="P241" s="101" t="s">
        <v>84</v>
      </c>
      <c r="Q241" s="65">
        <v>93.3</v>
      </c>
      <c r="R241" s="65">
        <v>1119.6</v>
      </c>
      <c r="S241" s="65">
        <v>653.1</v>
      </c>
      <c r="T241" s="65">
        <v>1119.6</v>
      </c>
      <c r="U241" s="101" t="s">
        <v>80</v>
      </c>
      <c r="V241" s="45">
        <v>45413.0</v>
      </c>
      <c r="W241" s="65"/>
      <c r="X241" s="101"/>
      <c r="Y241" s="45"/>
      <c r="Z241" s="65"/>
      <c r="AA241" s="101"/>
      <c r="AB241" s="45"/>
      <c r="AC241" s="65"/>
      <c r="AD241" s="101"/>
      <c r="AE241" s="45"/>
      <c r="AF241" s="102"/>
      <c r="AG241" s="101"/>
      <c r="AH241" s="101"/>
      <c r="AI241" s="102"/>
    </row>
    <row r="242" ht="15.75" customHeight="1">
      <c r="A242" s="101" t="s">
        <v>167</v>
      </c>
      <c r="B242" s="101" t="s">
        <v>62</v>
      </c>
      <c r="C242" s="101" t="s">
        <v>63</v>
      </c>
      <c r="D242" s="101">
        <v>2200258.0</v>
      </c>
      <c r="E242" s="102" t="s">
        <v>147</v>
      </c>
      <c r="F242" s="45">
        <v>45412.0</v>
      </c>
      <c r="G242" s="45">
        <v>45412.0</v>
      </c>
      <c r="H242" s="101" t="s">
        <v>83</v>
      </c>
      <c r="I242" s="101" t="s">
        <v>76</v>
      </c>
      <c r="J242" s="101">
        <v>15.0</v>
      </c>
      <c r="K242" s="65"/>
      <c r="L242" s="65">
        <v>315.0</v>
      </c>
      <c r="M242" s="103">
        <v>0.2</v>
      </c>
      <c r="N242" s="65">
        <v>63.0</v>
      </c>
      <c r="O242" s="65">
        <v>378.0</v>
      </c>
      <c r="P242" s="101" t="s">
        <v>84</v>
      </c>
      <c r="Q242" s="65">
        <v>31.5</v>
      </c>
      <c r="R242" s="65">
        <v>378.0</v>
      </c>
      <c r="S242" s="65">
        <v>220.5</v>
      </c>
      <c r="T242" s="65">
        <v>378.0</v>
      </c>
      <c r="U242" s="101" t="s">
        <v>85</v>
      </c>
      <c r="V242" s="45">
        <v>45449.0</v>
      </c>
      <c r="W242" s="65"/>
      <c r="X242" s="101"/>
      <c r="Y242" s="45"/>
      <c r="Z242" s="65"/>
      <c r="AA242" s="101"/>
      <c r="AB242" s="45"/>
      <c r="AC242" s="65"/>
      <c r="AD242" s="101"/>
      <c r="AE242" s="45"/>
      <c r="AF242" s="102"/>
      <c r="AG242" s="101"/>
      <c r="AH242" s="101"/>
      <c r="AI242" s="102"/>
    </row>
    <row r="243" ht="15.75" customHeight="1">
      <c r="A243" s="101" t="s">
        <v>61</v>
      </c>
      <c r="B243" s="101" t="s">
        <v>62</v>
      </c>
      <c r="C243" s="101" t="s">
        <v>63</v>
      </c>
      <c r="D243" s="101">
        <v>2200259.0</v>
      </c>
      <c r="E243" s="102" t="s">
        <v>583</v>
      </c>
      <c r="F243" s="45">
        <v>45426.0</v>
      </c>
      <c r="G243" s="45">
        <v>45413.0</v>
      </c>
      <c r="H243" s="101" t="s">
        <v>83</v>
      </c>
      <c r="I243" s="101" t="s">
        <v>76</v>
      </c>
      <c r="J243" s="101">
        <v>30.0</v>
      </c>
      <c r="K243" s="65"/>
      <c r="L243" s="65">
        <v>883.5</v>
      </c>
      <c r="M243" s="103">
        <v>0.2</v>
      </c>
      <c r="N243" s="65">
        <v>176.7</v>
      </c>
      <c r="O243" s="65">
        <v>1060.2</v>
      </c>
      <c r="P243" s="101" t="s">
        <v>84</v>
      </c>
      <c r="Q243" s="65">
        <v>88.35</v>
      </c>
      <c r="R243" s="65">
        <v>1060.2</v>
      </c>
      <c r="S243" s="65">
        <v>618.45</v>
      </c>
      <c r="T243" s="65">
        <v>1060.2</v>
      </c>
      <c r="U243" s="101" t="s">
        <v>85</v>
      </c>
      <c r="V243" s="45">
        <v>45420.0</v>
      </c>
      <c r="W243" s="65"/>
      <c r="X243" s="101"/>
      <c r="Y243" s="45"/>
      <c r="Z243" s="65"/>
      <c r="AA243" s="101"/>
      <c r="AB243" s="45"/>
      <c r="AC243" s="65">
        <v>465.1</v>
      </c>
      <c r="AD243" s="101"/>
      <c r="AE243" s="45"/>
      <c r="AF243" s="102" t="s">
        <v>584</v>
      </c>
      <c r="AG243" s="101" t="s">
        <v>379</v>
      </c>
      <c r="AH243" s="101">
        <v>8.1383779E7</v>
      </c>
      <c r="AI243" s="102" t="s">
        <v>585</v>
      </c>
    </row>
    <row r="244" ht="15.75" customHeight="1">
      <c r="A244" s="101" t="s">
        <v>167</v>
      </c>
      <c r="B244" s="101" t="s">
        <v>62</v>
      </c>
      <c r="C244" s="101" t="s">
        <v>251</v>
      </c>
      <c r="D244" s="101">
        <v>2200260.0</v>
      </c>
      <c r="E244" s="102" t="s">
        <v>441</v>
      </c>
      <c r="F244" s="45">
        <v>45422.0</v>
      </c>
      <c r="G244" s="45">
        <v>45418.0</v>
      </c>
      <c r="H244" s="101" t="s">
        <v>83</v>
      </c>
      <c r="I244" s="101" t="s">
        <v>76</v>
      </c>
      <c r="J244" s="101">
        <v>64.0</v>
      </c>
      <c r="K244" s="65">
        <v>85.809375</v>
      </c>
      <c r="L244" s="65">
        <v>5491.8</v>
      </c>
      <c r="M244" s="103">
        <v>0.2</v>
      </c>
      <c r="N244" s="65">
        <v>1098.36</v>
      </c>
      <c r="O244" s="65">
        <v>6590.16</v>
      </c>
      <c r="P244" s="101" t="s">
        <v>84</v>
      </c>
      <c r="Q244" s="65">
        <v>549.18</v>
      </c>
      <c r="R244" s="65">
        <v>6590.16</v>
      </c>
      <c r="S244" s="65">
        <v>3844.26</v>
      </c>
      <c r="T244" s="65">
        <v>6590.16</v>
      </c>
      <c r="U244" s="101" t="s">
        <v>80</v>
      </c>
      <c r="V244" s="45">
        <v>45420.0</v>
      </c>
      <c r="W244" s="65"/>
      <c r="X244" s="101"/>
      <c r="Y244" s="45"/>
      <c r="Z244" s="65"/>
      <c r="AA244" s="101"/>
      <c r="AB244" s="45"/>
      <c r="AC244" s="65"/>
      <c r="AD244" s="101"/>
      <c r="AE244" s="45"/>
      <c r="AF244" s="102"/>
      <c r="AG244" s="101"/>
      <c r="AH244" s="101"/>
      <c r="AI244" s="102"/>
    </row>
    <row r="245" ht="15.75" customHeight="1">
      <c r="A245" s="101" t="s">
        <v>61</v>
      </c>
      <c r="B245" s="101" t="s">
        <v>62</v>
      </c>
      <c r="C245" s="101" t="s">
        <v>63</v>
      </c>
      <c r="D245" s="101">
        <v>2200261.0</v>
      </c>
      <c r="E245" s="102" t="s">
        <v>563</v>
      </c>
      <c r="F245" s="45">
        <v>45434.0</v>
      </c>
      <c r="G245" s="45">
        <v>45420.0</v>
      </c>
      <c r="H245" s="101" t="s">
        <v>83</v>
      </c>
      <c r="I245" s="101" t="s">
        <v>76</v>
      </c>
      <c r="J245" s="101">
        <v>50.0</v>
      </c>
      <c r="K245" s="65">
        <v>88.31</v>
      </c>
      <c r="L245" s="65">
        <v>4415.5</v>
      </c>
      <c r="M245" s="103">
        <v>0.2</v>
      </c>
      <c r="N245" s="65">
        <v>883.1</v>
      </c>
      <c r="O245" s="65">
        <v>5298.6</v>
      </c>
      <c r="P245" s="101" t="s">
        <v>79</v>
      </c>
      <c r="Q245" s="65">
        <v>441.55</v>
      </c>
      <c r="R245" s="65">
        <v>5740.15</v>
      </c>
      <c r="S245" s="65">
        <v>3090.85</v>
      </c>
      <c r="T245" s="65">
        <v>5740.16</v>
      </c>
      <c r="U245" s="101" t="s">
        <v>85</v>
      </c>
      <c r="V245" s="45">
        <v>45428.0</v>
      </c>
      <c r="W245" s="65"/>
      <c r="X245" s="101"/>
      <c r="Y245" s="45"/>
      <c r="Z245" s="65"/>
      <c r="AA245" s="101"/>
      <c r="AB245" s="45"/>
      <c r="AC245" s="65">
        <v>441.55</v>
      </c>
      <c r="AD245" s="101" t="s">
        <v>85</v>
      </c>
      <c r="AE245" s="45">
        <v>45448.0</v>
      </c>
      <c r="AF245" s="102" t="s">
        <v>586</v>
      </c>
      <c r="AG245" s="101"/>
      <c r="AH245" s="101"/>
      <c r="AI245" s="102"/>
    </row>
    <row r="246" ht="15.75" customHeight="1">
      <c r="A246" s="101" t="s">
        <v>61</v>
      </c>
      <c r="B246" s="101" t="s">
        <v>62</v>
      </c>
      <c r="C246" s="101" t="s">
        <v>251</v>
      </c>
      <c r="D246" s="101">
        <v>2200262.0</v>
      </c>
      <c r="E246" s="102" t="s">
        <v>587</v>
      </c>
      <c r="F246" s="45">
        <v>45423.0</v>
      </c>
      <c r="G246" s="45">
        <v>45420.0</v>
      </c>
      <c r="H246" s="101" t="s">
        <v>83</v>
      </c>
      <c r="I246" s="101" t="s">
        <v>76</v>
      </c>
      <c r="J246" s="101">
        <v>18.0</v>
      </c>
      <c r="K246" s="65">
        <v>165.7888889</v>
      </c>
      <c r="L246" s="65">
        <v>2984.2</v>
      </c>
      <c r="M246" s="103">
        <v>0.2</v>
      </c>
      <c r="N246" s="65">
        <v>596.84</v>
      </c>
      <c r="O246" s="65">
        <v>3581.04</v>
      </c>
      <c r="P246" s="101" t="s">
        <v>79</v>
      </c>
      <c r="Q246" s="65">
        <v>298.42</v>
      </c>
      <c r="R246" s="65">
        <v>3879.46</v>
      </c>
      <c r="S246" s="65">
        <v>2088.94</v>
      </c>
      <c r="T246" s="65">
        <v>3879.46</v>
      </c>
      <c r="U246" s="101" t="s">
        <v>80</v>
      </c>
      <c r="V246" s="45">
        <v>45420.0</v>
      </c>
      <c r="W246" s="65"/>
      <c r="X246" s="101"/>
      <c r="Y246" s="45"/>
      <c r="Z246" s="65"/>
      <c r="AA246" s="101"/>
      <c r="AB246" s="45"/>
      <c r="AC246" s="65">
        <v>298.42</v>
      </c>
      <c r="AD246" s="101" t="s">
        <v>80</v>
      </c>
      <c r="AE246" s="45"/>
      <c r="AF246" s="102"/>
      <c r="AG246" s="101"/>
      <c r="AH246" s="101"/>
      <c r="AI246" s="102"/>
    </row>
    <row r="247" ht="15.75" customHeight="1">
      <c r="A247" s="101" t="s">
        <v>219</v>
      </c>
      <c r="B247" s="101" t="s">
        <v>62</v>
      </c>
      <c r="C247" s="101" t="s">
        <v>63</v>
      </c>
      <c r="D247" s="101">
        <v>2200263.0</v>
      </c>
      <c r="E247" s="102" t="s">
        <v>588</v>
      </c>
      <c r="F247" s="45">
        <v>45421.0</v>
      </c>
      <c r="G247" s="45">
        <v>45434.0</v>
      </c>
      <c r="H247" s="101" t="s">
        <v>73</v>
      </c>
      <c r="I247" s="101" t="s">
        <v>76</v>
      </c>
      <c r="J247" s="101">
        <v>23.0</v>
      </c>
      <c r="K247" s="65">
        <v>58.9173913</v>
      </c>
      <c r="L247" s="65">
        <v>1355.1</v>
      </c>
      <c r="M247" s="103">
        <v>0.2</v>
      </c>
      <c r="N247" s="65">
        <v>271.02</v>
      </c>
      <c r="O247" s="65">
        <v>1626.12</v>
      </c>
      <c r="P247" s="101" t="s">
        <v>79</v>
      </c>
      <c r="Q247" s="65">
        <v>135.51</v>
      </c>
      <c r="R247" s="65">
        <v>1761.63</v>
      </c>
      <c r="S247" s="65">
        <v>948.57</v>
      </c>
      <c r="T247" s="65">
        <v>1761.63</v>
      </c>
      <c r="U247" s="101" t="s">
        <v>85</v>
      </c>
      <c r="V247" s="45">
        <v>45425.0</v>
      </c>
      <c r="W247" s="65"/>
      <c r="X247" s="101"/>
      <c r="Y247" s="45"/>
      <c r="Z247" s="65"/>
      <c r="AA247" s="101"/>
      <c r="AB247" s="45"/>
      <c r="AC247" s="65">
        <v>95.91</v>
      </c>
      <c r="AD247" s="101"/>
      <c r="AE247" s="45">
        <v>45448.0</v>
      </c>
      <c r="AF247" s="102" t="s">
        <v>590</v>
      </c>
      <c r="AG247" s="128">
        <v>29364.0</v>
      </c>
      <c r="AH247" s="101">
        <v>4.0874844E7</v>
      </c>
      <c r="AI247" s="102"/>
    </row>
    <row r="248" ht="15.75" customHeight="1">
      <c r="A248" s="101" t="s">
        <v>219</v>
      </c>
      <c r="B248" s="101" t="s">
        <v>62</v>
      </c>
      <c r="C248" s="101" t="s">
        <v>278</v>
      </c>
      <c r="D248" s="101">
        <v>2200264.0</v>
      </c>
      <c r="E248" s="102" t="s">
        <v>591</v>
      </c>
      <c r="F248" s="45">
        <v>45515.0</v>
      </c>
      <c r="G248" s="45">
        <v>45422.0</v>
      </c>
      <c r="H248" s="101" t="s">
        <v>73</v>
      </c>
      <c r="I248" s="101" t="s">
        <v>76</v>
      </c>
      <c r="J248" s="101">
        <v>150.0</v>
      </c>
      <c r="K248" s="65">
        <v>151.9923333</v>
      </c>
      <c r="L248" s="65">
        <v>22798.85</v>
      </c>
      <c r="M248" s="103">
        <v>0.2</v>
      </c>
      <c r="N248" s="65">
        <v>4559.77</v>
      </c>
      <c r="O248" s="65">
        <v>27358.62</v>
      </c>
      <c r="P248" s="101" t="s">
        <v>79</v>
      </c>
      <c r="Q248" s="65">
        <v>2279.885</v>
      </c>
      <c r="R248" s="65">
        <v>29638.505</v>
      </c>
      <c r="S248" s="65">
        <v>15959.195</v>
      </c>
      <c r="T248" s="65">
        <v>216.0</v>
      </c>
      <c r="U248" s="101" t="s">
        <v>80</v>
      </c>
      <c r="V248" s="45">
        <v>45439.0</v>
      </c>
      <c r="W248" s="65">
        <v>13679.3</v>
      </c>
      <c r="X248" s="101" t="s">
        <v>80</v>
      </c>
      <c r="Y248" s="45">
        <v>45744.0</v>
      </c>
      <c r="Z248" s="65">
        <v>2719.84</v>
      </c>
      <c r="AA248" s="101" t="s">
        <v>80</v>
      </c>
      <c r="AB248" s="45">
        <v>45582.0</v>
      </c>
      <c r="AC248" s="65">
        <v>1819.04</v>
      </c>
      <c r="AD248" s="101" t="s">
        <v>80</v>
      </c>
      <c r="AE248" s="45">
        <v>45916.0</v>
      </c>
      <c r="AF248" s="102"/>
      <c r="AG248" s="101"/>
      <c r="AH248" s="101"/>
      <c r="AI248" s="102"/>
    </row>
    <row r="249" ht="15.75" customHeight="1">
      <c r="A249" s="101" t="s">
        <v>61</v>
      </c>
      <c r="B249" s="101" t="s">
        <v>62</v>
      </c>
      <c r="C249" s="101" t="s">
        <v>251</v>
      </c>
      <c r="D249" s="101">
        <v>2200265.0</v>
      </c>
      <c r="E249" s="102" t="s">
        <v>592</v>
      </c>
      <c r="F249" s="45">
        <v>45452.0</v>
      </c>
      <c r="G249" s="45">
        <v>45424.0</v>
      </c>
      <c r="H249" s="101" t="s">
        <v>83</v>
      </c>
      <c r="I249" s="101" t="s">
        <v>76</v>
      </c>
      <c r="J249" s="101">
        <v>21.0</v>
      </c>
      <c r="K249" s="65">
        <v>183.4904762</v>
      </c>
      <c r="L249" s="65">
        <v>3853.3</v>
      </c>
      <c r="M249" s="103">
        <v>0.2</v>
      </c>
      <c r="N249" s="65">
        <v>770.66</v>
      </c>
      <c r="O249" s="65">
        <v>4623.96</v>
      </c>
      <c r="P249" s="101" t="s">
        <v>79</v>
      </c>
      <c r="Q249" s="65">
        <v>385.33</v>
      </c>
      <c r="R249" s="65">
        <v>5009.29</v>
      </c>
      <c r="S249" s="65">
        <v>2697.31</v>
      </c>
      <c r="T249" s="65">
        <v>2571.59</v>
      </c>
      <c r="U249" s="101" t="s">
        <v>80</v>
      </c>
      <c r="V249" s="45">
        <v>45425.0</v>
      </c>
      <c r="W249" s="65">
        <v>19836.0</v>
      </c>
      <c r="X249" s="101" t="s">
        <v>80</v>
      </c>
      <c r="Y249" s="45">
        <v>45447.0</v>
      </c>
      <c r="Z249" s="65"/>
      <c r="AA249" s="101"/>
      <c r="AB249" s="45"/>
      <c r="AC249" s="65">
        <v>300.89</v>
      </c>
      <c r="AD249" s="101" t="s">
        <v>80</v>
      </c>
      <c r="AE249" s="45">
        <v>45460.0</v>
      </c>
      <c r="AF249" s="102"/>
      <c r="AG249" s="101"/>
      <c r="AH249" s="101"/>
      <c r="AI249" s="102"/>
    </row>
    <row r="250" ht="15.75" customHeight="1">
      <c r="A250" s="101" t="s">
        <v>61</v>
      </c>
      <c r="B250" s="101" t="s">
        <v>62</v>
      </c>
      <c r="C250" s="101" t="s">
        <v>251</v>
      </c>
      <c r="D250" s="101">
        <v>2200266.0</v>
      </c>
      <c r="E250" s="102" t="s">
        <v>450</v>
      </c>
      <c r="F250" s="45">
        <v>45435.0</v>
      </c>
      <c r="G250" s="45">
        <v>45426.0</v>
      </c>
      <c r="H250" s="101" t="s">
        <v>83</v>
      </c>
      <c r="I250" s="101" t="s">
        <v>76</v>
      </c>
      <c r="J250" s="101">
        <v>23.0</v>
      </c>
      <c r="K250" s="65">
        <v>146.8065217</v>
      </c>
      <c r="L250" s="65">
        <v>3376.55</v>
      </c>
      <c r="M250" s="103">
        <v>0.2</v>
      </c>
      <c r="N250" s="65">
        <v>675.31</v>
      </c>
      <c r="O250" s="65">
        <v>4051.86</v>
      </c>
      <c r="P250" s="101" t="s">
        <v>79</v>
      </c>
      <c r="Q250" s="65">
        <v>337.655</v>
      </c>
      <c r="R250" s="65">
        <v>4389.515</v>
      </c>
      <c r="S250" s="65">
        <v>2363.585</v>
      </c>
      <c r="T250" s="65">
        <v>4389.51</v>
      </c>
      <c r="U250" s="101" t="s">
        <v>80</v>
      </c>
      <c r="V250" s="45">
        <v>45427.0</v>
      </c>
      <c r="W250" s="65"/>
      <c r="X250" s="101"/>
      <c r="Y250" s="45"/>
      <c r="Z250" s="65"/>
      <c r="AA250" s="101"/>
      <c r="AB250" s="45"/>
      <c r="AC250" s="65">
        <v>72.51</v>
      </c>
      <c r="AD250" s="101" t="s">
        <v>80</v>
      </c>
      <c r="AE250" s="45">
        <v>45440.0</v>
      </c>
      <c r="AF250" s="102"/>
      <c r="AG250" s="101"/>
      <c r="AH250" s="101"/>
      <c r="AI250" s="102"/>
    </row>
    <row r="251" ht="15.75" customHeight="1">
      <c r="A251" s="101" t="s">
        <v>61</v>
      </c>
      <c r="B251" s="101" t="s">
        <v>62</v>
      </c>
      <c r="C251" s="101" t="s">
        <v>63</v>
      </c>
      <c r="D251" s="101">
        <v>2200267.0</v>
      </c>
      <c r="E251" s="102" t="s">
        <v>593</v>
      </c>
      <c r="F251" s="45">
        <v>45463.0</v>
      </c>
      <c r="G251" s="45">
        <v>45426.0</v>
      </c>
      <c r="H251" s="101" t="s">
        <v>73</v>
      </c>
      <c r="I251" s="101" t="s">
        <v>76</v>
      </c>
      <c r="J251" s="101">
        <v>85.0</v>
      </c>
      <c r="K251" s="65">
        <v>132.9323529</v>
      </c>
      <c r="L251" s="65">
        <v>11299.25</v>
      </c>
      <c r="M251" s="103">
        <v>0.2</v>
      </c>
      <c r="N251" s="65">
        <v>2259.85</v>
      </c>
      <c r="O251" s="65">
        <v>13559.1</v>
      </c>
      <c r="P251" s="101" t="s">
        <v>79</v>
      </c>
      <c r="Q251" s="65">
        <v>1129.925</v>
      </c>
      <c r="R251" s="65">
        <v>14689.025</v>
      </c>
      <c r="S251" s="65">
        <v>7909.475</v>
      </c>
      <c r="T251" s="65">
        <v>5440.05</v>
      </c>
      <c r="U251" s="101" t="s">
        <v>85</v>
      </c>
      <c r="V251" s="45">
        <v>45443.0</v>
      </c>
      <c r="W251" s="65">
        <v>8896.2</v>
      </c>
      <c r="X251" s="101" t="s">
        <v>85</v>
      </c>
      <c r="Y251" s="45">
        <v>45464.0</v>
      </c>
      <c r="Z251" s="65"/>
      <c r="AA251" s="101"/>
      <c r="AB251" s="45"/>
      <c r="AC251" s="65">
        <v>640.95</v>
      </c>
      <c r="AD251" s="101"/>
      <c r="AE251" s="45">
        <v>45474.0</v>
      </c>
      <c r="AF251" s="102" t="s">
        <v>594</v>
      </c>
      <c r="AG251" s="101" t="s">
        <v>595</v>
      </c>
      <c r="AH251" s="101">
        <v>1.9018093E7</v>
      </c>
      <c r="AI251" s="102"/>
    </row>
    <row r="252" ht="15.75" customHeight="1">
      <c r="A252" s="101" t="s">
        <v>61</v>
      </c>
      <c r="B252" s="101" t="s">
        <v>62</v>
      </c>
      <c r="C252" s="101" t="s">
        <v>63</v>
      </c>
      <c r="D252" s="101">
        <v>2200268.0</v>
      </c>
      <c r="E252" s="102" t="s">
        <v>596</v>
      </c>
      <c r="F252" s="45">
        <v>45442.0</v>
      </c>
      <c r="G252" s="45">
        <v>45426.0</v>
      </c>
      <c r="H252" s="101" t="s">
        <v>73</v>
      </c>
      <c r="I252" s="101" t="s">
        <v>76</v>
      </c>
      <c r="J252" s="101">
        <v>20.0</v>
      </c>
      <c r="K252" s="65">
        <v>102.75</v>
      </c>
      <c r="L252" s="65">
        <v>2055.0</v>
      </c>
      <c r="M252" s="103">
        <v>0.2</v>
      </c>
      <c r="N252" s="65">
        <v>411.0</v>
      </c>
      <c r="O252" s="65">
        <v>2466.0</v>
      </c>
      <c r="P252" s="101" t="s">
        <v>79</v>
      </c>
      <c r="Q252" s="65">
        <v>205.5</v>
      </c>
      <c r="R252" s="65">
        <v>2671.5</v>
      </c>
      <c r="S252" s="65">
        <v>1438.5</v>
      </c>
      <c r="T252" s="65">
        <v>2761.5</v>
      </c>
      <c r="U252" s="101" t="s">
        <v>80</v>
      </c>
      <c r="V252" s="45"/>
      <c r="W252" s="65"/>
      <c r="X252" s="101"/>
      <c r="Y252" s="45"/>
      <c r="Z252" s="65"/>
      <c r="AA252" s="101"/>
      <c r="AB252" s="45"/>
      <c r="AC252" s="65">
        <v>205.5</v>
      </c>
      <c r="AD252" s="101" t="s">
        <v>80</v>
      </c>
      <c r="AE252" s="45">
        <v>45445.0</v>
      </c>
      <c r="AF252" s="102"/>
      <c r="AG252" s="101"/>
      <c r="AH252" s="101"/>
      <c r="AI252" s="102"/>
    </row>
    <row r="253" ht="15.75" customHeight="1">
      <c r="A253" s="101" t="s">
        <v>223</v>
      </c>
      <c r="B253" s="101" t="s">
        <v>62</v>
      </c>
      <c r="C253" s="101" t="s">
        <v>251</v>
      </c>
      <c r="D253" s="101">
        <v>2200269.0</v>
      </c>
      <c r="E253" s="102" t="s">
        <v>597</v>
      </c>
      <c r="F253" s="45">
        <v>45429.0</v>
      </c>
      <c r="G253" s="45">
        <v>45427.0</v>
      </c>
      <c r="H253" s="101" t="s">
        <v>73</v>
      </c>
      <c r="I253" s="101" t="s">
        <v>76</v>
      </c>
      <c r="J253" s="101">
        <v>80.0</v>
      </c>
      <c r="K253" s="65">
        <v>30.375</v>
      </c>
      <c r="L253" s="65">
        <v>2430.0</v>
      </c>
      <c r="M253" s="103">
        <v>0.2</v>
      </c>
      <c r="N253" s="65">
        <v>486.0</v>
      </c>
      <c r="O253" s="65">
        <v>2916.0</v>
      </c>
      <c r="P253" s="101" t="s">
        <v>79</v>
      </c>
      <c r="Q253" s="65">
        <v>243.0</v>
      </c>
      <c r="R253" s="65">
        <v>3159.0</v>
      </c>
      <c r="S253" s="65">
        <v>1701.0</v>
      </c>
      <c r="T253" s="65">
        <v>386.21</v>
      </c>
      <c r="U253" s="101" t="s">
        <v>80</v>
      </c>
      <c r="V253" s="45">
        <v>45433.0</v>
      </c>
      <c r="W253" s="65"/>
      <c r="X253" s="101"/>
      <c r="Y253" s="45"/>
      <c r="Z253" s="65"/>
      <c r="AA253" s="101"/>
      <c r="AB253" s="45"/>
      <c r="AC253" s="65"/>
      <c r="AD253" s="101"/>
      <c r="AE253" s="45"/>
      <c r="AF253" s="102"/>
      <c r="AG253" s="101"/>
      <c r="AH253" s="101"/>
      <c r="AI253" s="102"/>
    </row>
    <row r="254" ht="15.75" customHeight="1">
      <c r="A254" s="101" t="s">
        <v>167</v>
      </c>
      <c r="B254" s="101" t="s">
        <v>62</v>
      </c>
      <c r="C254" s="101" t="s">
        <v>63</v>
      </c>
      <c r="D254" s="101"/>
      <c r="E254" s="102" t="s">
        <v>204</v>
      </c>
      <c r="F254" s="45">
        <v>45427.0</v>
      </c>
      <c r="G254" s="45">
        <v>45427.0</v>
      </c>
      <c r="H254" s="101" t="s">
        <v>83</v>
      </c>
      <c r="I254" s="101" t="s">
        <v>76</v>
      </c>
      <c r="J254" s="101"/>
      <c r="K254" s="65"/>
      <c r="L254" s="65">
        <v>2500.0</v>
      </c>
      <c r="M254" s="103">
        <v>0.2</v>
      </c>
      <c r="N254" s="65">
        <v>500.0</v>
      </c>
      <c r="O254" s="65">
        <v>3000.0</v>
      </c>
      <c r="P254" s="101" t="s">
        <v>259</v>
      </c>
      <c r="Q254" s="65">
        <v>250.0</v>
      </c>
      <c r="R254" s="65">
        <v>3000.0</v>
      </c>
      <c r="S254" s="65">
        <v>1750.0</v>
      </c>
      <c r="T254" s="65">
        <v>3000.0</v>
      </c>
      <c r="U254" s="101" t="s">
        <v>85</v>
      </c>
      <c r="V254" s="45">
        <v>45449.0</v>
      </c>
      <c r="W254" s="65"/>
      <c r="X254" s="101"/>
      <c r="Y254" s="45"/>
      <c r="Z254" s="65"/>
      <c r="AA254" s="101"/>
      <c r="AB254" s="45"/>
      <c r="AC254" s="65"/>
      <c r="AD254" s="101"/>
      <c r="AE254" s="45"/>
      <c r="AF254" s="102"/>
      <c r="AG254" s="101"/>
      <c r="AH254" s="101"/>
      <c r="AI254" s="102"/>
    </row>
    <row r="255" ht="15.75" customHeight="1">
      <c r="A255" s="101" t="s">
        <v>61</v>
      </c>
      <c r="B255" s="101" t="s">
        <v>62</v>
      </c>
      <c r="C255" s="101" t="s">
        <v>63</v>
      </c>
      <c r="D255" s="101">
        <v>2200271.0</v>
      </c>
      <c r="E255" s="102" t="s">
        <v>598</v>
      </c>
      <c r="F255" s="45">
        <v>45412.0</v>
      </c>
      <c r="G255" s="45">
        <v>45432.0</v>
      </c>
      <c r="H255" s="101" t="s">
        <v>73</v>
      </c>
      <c r="I255" s="101" t="s">
        <v>76</v>
      </c>
      <c r="J255" s="101">
        <v>2.0</v>
      </c>
      <c r="K255" s="65"/>
      <c r="L255" s="65">
        <v>100.0</v>
      </c>
      <c r="M255" s="103">
        <v>0.2</v>
      </c>
      <c r="N255" s="65">
        <v>20.0</v>
      </c>
      <c r="O255" s="65">
        <v>120.0</v>
      </c>
      <c r="P255" s="101" t="s">
        <v>84</v>
      </c>
      <c r="Q255" s="65">
        <v>10.0</v>
      </c>
      <c r="R255" s="65">
        <v>120.0</v>
      </c>
      <c r="S255" s="65">
        <v>70.0</v>
      </c>
      <c r="T255" s="65">
        <v>120.0</v>
      </c>
      <c r="U255" s="101" t="s">
        <v>80</v>
      </c>
      <c r="V255" s="45">
        <v>45432.0</v>
      </c>
      <c r="W255" s="65"/>
      <c r="X255" s="101"/>
      <c r="Y255" s="45"/>
      <c r="Z255" s="65"/>
      <c r="AA255" s="101"/>
      <c r="AB255" s="45"/>
      <c r="AC255" s="65"/>
      <c r="AD255" s="101"/>
      <c r="AE255" s="45"/>
      <c r="AF255" s="102"/>
      <c r="AG255" s="101"/>
      <c r="AH255" s="101"/>
      <c r="AI255" s="102"/>
    </row>
    <row r="256" ht="15.75" customHeight="1">
      <c r="A256" s="101" t="s">
        <v>61</v>
      </c>
      <c r="B256" s="101" t="s">
        <v>62</v>
      </c>
      <c r="C256" s="101" t="s">
        <v>63</v>
      </c>
      <c r="D256" s="101">
        <v>2200272.0</v>
      </c>
      <c r="E256" s="102" t="s">
        <v>601</v>
      </c>
      <c r="F256" s="45">
        <v>45463.0</v>
      </c>
      <c r="G256" s="45">
        <v>45432.0</v>
      </c>
      <c r="H256" s="101" t="s">
        <v>73</v>
      </c>
      <c r="I256" s="101" t="s">
        <v>76</v>
      </c>
      <c r="J256" s="101">
        <v>100.0</v>
      </c>
      <c r="K256" s="65">
        <v>97.565</v>
      </c>
      <c r="L256" s="65">
        <v>9756.5</v>
      </c>
      <c r="M256" s="103">
        <v>0.2</v>
      </c>
      <c r="N256" s="65">
        <v>1951.3</v>
      </c>
      <c r="O256" s="65">
        <v>11707.8</v>
      </c>
      <c r="P256" s="101" t="s">
        <v>79</v>
      </c>
      <c r="Q256" s="65">
        <v>975.65</v>
      </c>
      <c r="R256" s="65">
        <v>12683.45</v>
      </c>
      <c r="S256" s="65">
        <v>6829.55</v>
      </c>
      <c r="T256" s="65">
        <v>12683.45</v>
      </c>
      <c r="U256" s="101" t="s">
        <v>80</v>
      </c>
      <c r="V256" s="45">
        <v>45461.0</v>
      </c>
      <c r="W256" s="65"/>
      <c r="X256" s="101"/>
      <c r="Y256" s="45"/>
      <c r="Z256" s="65"/>
      <c r="AA256" s="101"/>
      <c r="AB256" s="45"/>
      <c r="AC256" s="65">
        <v>682.13</v>
      </c>
      <c r="AD256" s="101" t="s">
        <v>80</v>
      </c>
      <c r="AE256" s="45">
        <v>45468.0</v>
      </c>
      <c r="AF256" s="102"/>
      <c r="AG256" s="101"/>
      <c r="AH256" s="101"/>
      <c r="AI256" s="102"/>
    </row>
    <row r="257" ht="15.75" customHeight="1">
      <c r="A257" s="101" t="s">
        <v>61</v>
      </c>
      <c r="B257" s="101" t="s">
        <v>62</v>
      </c>
      <c r="C257" s="101" t="s">
        <v>63</v>
      </c>
      <c r="D257" s="101">
        <v>2200273.0</v>
      </c>
      <c r="E257" s="102" t="s">
        <v>602</v>
      </c>
      <c r="F257" s="45">
        <v>45456.0</v>
      </c>
      <c r="G257" s="45">
        <v>45434.0</v>
      </c>
      <c r="H257" s="101" t="s">
        <v>73</v>
      </c>
      <c r="I257" s="101" t="s">
        <v>76</v>
      </c>
      <c r="J257" s="101">
        <v>60.0</v>
      </c>
      <c r="K257" s="65">
        <v>72.89166667</v>
      </c>
      <c r="L257" s="65">
        <v>4373.5</v>
      </c>
      <c r="M257" s="103">
        <v>0.2</v>
      </c>
      <c r="N257" s="65">
        <v>874.7</v>
      </c>
      <c r="O257" s="65">
        <v>5248.2</v>
      </c>
      <c r="P257" s="101" t="s">
        <v>79</v>
      </c>
      <c r="Q257" s="65">
        <v>437.35</v>
      </c>
      <c r="R257" s="65">
        <v>5685.55</v>
      </c>
      <c r="S257" s="65">
        <v>3061.45</v>
      </c>
      <c r="T257" s="65">
        <v>2935.45</v>
      </c>
      <c r="U257" s="101" t="s">
        <v>85</v>
      </c>
      <c r="V257" s="45">
        <v>45441.0</v>
      </c>
      <c r="W257" s="65">
        <v>2516.1</v>
      </c>
      <c r="X257" s="101" t="s">
        <v>85</v>
      </c>
      <c r="Y257" s="45">
        <v>45453.0</v>
      </c>
      <c r="Z257" s="65"/>
      <c r="AA257" s="101"/>
      <c r="AB257" s="45"/>
      <c r="AC257" s="65">
        <v>645.91</v>
      </c>
      <c r="AD257" s="101" t="s">
        <v>85</v>
      </c>
      <c r="AE257" s="45">
        <v>45463.0</v>
      </c>
      <c r="AF257" s="102" t="s">
        <v>603</v>
      </c>
      <c r="AG257" s="101" t="s">
        <v>604</v>
      </c>
      <c r="AH257" s="101">
        <v>1.072573E7</v>
      </c>
      <c r="AI257" s="102"/>
    </row>
    <row r="258" ht="15.75" customHeight="1">
      <c r="A258" s="101" t="s">
        <v>61</v>
      </c>
      <c r="B258" s="101" t="s">
        <v>62</v>
      </c>
      <c r="C258" s="101" t="s">
        <v>63</v>
      </c>
      <c r="D258" s="101">
        <v>2200274.0</v>
      </c>
      <c r="E258" s="102" t="s">
        <v>605</v>
      </c>
      <c r="F258" s="45">
        <v>45442.0</v>
      </c>
      <c r="G258" s="45">
        <v>45434.0</v>
      </c>
      <c r="H258" s="101" t="s">
        <v>73</v>
      </c>
      <c r="I258" s="101" t="s">
        <v>76</v>
      </c>
      <c r="J258" s="101">
        <v>60.0</v>
      </c>
      <c r="K258" s="65">
        <v>29.52833333</v>
      </c>
      <c r="L258" s="65">
        <v>1771.7</v>
      </c>
      <c r="M258" s="103">
        <v>0.2</v>
      </c>
      <c r="N258" s="65">
        <v>354.34</v>
      </c>
      <c r="O258" s="65">
        <v>2126.04</v>
      </c>
      <c r="P258" s="101" t="s">
        <v>79</v>
      </c>
      <c r="Q258" s="65">
        <v>177.17</v>
      </c>
      <c r="R258" s="65">
        <v>2303.21</v>
      </c>
      <c r="S258" s="65">
        <v>1240.19</v>
      </c>
      <c r="T258" s="65">
        <v>2303.21</v>
      </c>
      <c r="U258" s="101" t="s">
        <v>80</v>
      </c>
      <c r="V258" s="45">
        <v>45435.0</v>
      </c>
      <c r="W258" s="65"/>
      <c r="X258" s="101"/>
      <c r="Y258" s="45"/>
      <c r="Z258" s="65"/>
      <c r="AA258" s="101"/>
      <c r="AB258" s="45"/>
      <c r="AC258" s="65">
        <v>535.13</v>
      </c>
      <c r="AD258" s="101" t="s">
        <v>80</v>
      </c>
      <c r="AE258" s="45">
        <v>45448.0</v>
      </c>
      <c r="AF258" s="102"/>
      <c r="AG258" s="101"/>
      <c r="AH258" s="101"/>
      <c r="AI258" s="102"/>
    </row>
    <row r="259" ht="15.75" customHeight="1">
      <c r="A259" s="101" t="s">
        <v>61</v>
      </c>
      <c r="B259" s="101" t="s">
        <v>62</v>
      </c>
      <c r="C259" s="101" t="s">
        <v>63</v>
      </c>
      <c r="D259" s="101">
        <v>2200275.0</v>
      </c>
      <c r="E259" s="102" t="s">
        <v>607</v>
      </c>
      <c r="F259" s="45">
        <v>45449.0</v>
      </c>
      <c r="G259" s="45">
        <v>45435.0</v>
      </c>
      <c r="H259" s="101" t="s">
        <v>83</v>
      </c>
      <c r="I259" s="101" t="s">
        <v>76</v>
      </c>
      <c r="J259" s="101">
        <v>36.0</v>
      </c>
      <c r="K259" s="65">
        <v>105.6472222</v>
      </c>
      <c r="L259" s="65">
        <v>3803.3</v>
      </c>
      <c r="M259" s="103">
        <v>0.2</v>
      </c>
      <c r="N259" s="65">
        <v>760.66</v>
      </c>
      <c r="O259" s="65">
        <v>4563.96</v>
      </c>
      <c r="P259" s="101" t="s">
        <v>79</v>
      </c>
      <c r="Q259" s="65">
        <v>380.33</v>
      </c>
      <c r="R259" s="65">
        <v>4944.29</v>
      </c>
      <c r="S259" s="65">
        <v>2662.31</v>
      </c>
      <c r="T259" s="65">
        <v>3216.72</v>
      </c>
      <c r="U259" s="101" t="s">
        <v>85</v>
      </c>
      <c r="V259" s="45">
        <v>45443.0</v>
      </c>
      <c r="W259" s="65">
        <v>1594.68</v>
      </c>
      <c r="X259" s="101" t="s">
        <v>80</v>
      </c>
      <c r="Y259" s="45">
        <v>45447.0</v>
      </c>
      <c r="Z259" s="65"/>
      <c r="AA259" s="101"/>
      <c r="AB259" s="45"/>
      <c r="AC259" s="65">
        <v>247.44</v>
      </c>
      <c r="AD259" s="101"/>
      <c r="AE259" s="45">
        <v>45455.0</v>
      </c>
      <c r="AF259" s="102" t="s">
        <v>318</v>
      </c>
      <c r="AG259" s="101">
        <v>185008.0</v>
      </c>
      <c r="AH259" s="101">
        <v>1.0793388E7</v>
      </c>
      <c r="AI259" s="102"/>
    </row>
    <row r="260" ht="15.75" customHeight="1">
      <c r="A260" s="101" t="s">
        <v>61</v>
      </c>
      <c r="B260" s="101" t="s">
        <v>62</v>
      </c>
      <c r="C260" s="101" t="s">
        <v>63</v>
      </c>
      <c r="D260" s="101">
        <v>2200276.0</v>
      </c>
      <c r="E260" s="102" t="s">
        <v>607</v>
      </c>
      <c r="F260" s="45">
        <v>45450.0</v>
      </c>
      <c r="G260" s="45">
        <v>45435.0</v>
      </c>
      <c r="H260" s="101" t="s">
        <v>83</v>
      </c>
      <c r="I260" s="101" t="s">
        <v>76</v>
      </c>
      <c r="J260" s="101">
        <v>18.0</v>
      </c>
      <c r="K260" s="65">
        <v>124.0833333</v>
      </c>
      <c r="L260" s="65">
        <v>2233.5</v>
      </c>
      <c r="M260" s="103">
        <v>0.2</v>
      </c>
      <c r="N260" s="65">
        <v>446.7</v>
      </c>
      <c r="O260" s="65">
        <v>2680.2</v>
      </c>
      <c r="P260" s="101" t="s">
        <v>79</v>
      </c>
      <c r="Q260" s="65">
        <v>223.35</v>
      </c>
      <c r="R260" s="65">
        <v>2903.55</v>
      </c>
      <c r="S260" s="65">
        <v>1563.45</v>
      </c>
      <c r="T260" s="65">
        <v>2728.7</v>
      </c>
      <c r="U260" s="101" t="s">
        <v>85</v>
      </c>
      <c r="V260" s="45">
        <v>45443.0</v>
      </c>
      <c r="W260" s="65"/>
      <c r="X260" s="101"/>
      <c r="Y260" s="45"/>
      <c r="Z260" s="65"/>
      <c r="AA260" s="101"/>
      <c r="AB260" s="45"/>
      <c r="AC260" s="65">
        <v>209.94</v>
      </c>
      <c r="AD260" s="101" t="s">
        <v>85</v>
      </c>
      <c r="AE260" s="45">
        <v>45455.0</v>
      </c>
      <c r="AF260" s="102" t="s">
        <v>318</v>
      </c>
      <c r="AG260" s="101">
        <v>185008.0</v>
      </c>
      <c r="AH260" s="101">
        <v>1.0793388E7</v>
      </c>
      <c r="AI260" s="102"/>
    </row>
    <row r="261" ht="15.75" customHeight="1">
      <c r="A261" s="101" t="s">
        <v>61</v>
      </c>
      <c r="B261" s="101" t="s">
        <v>62</v>
      </c>
      <c r="C261" s="101" t="s">
        <v>63</v>
      </c>
      <c r="D261" s="101">
        <v>2200277.0</v>
      </c>
      <c r="E261" s="102" t="s">
        <v>386</v>
      </c>
      <c r="F261" s="45">
        <v>45469.0</v>
      </c>
      <c r="G261" s="45">
        <v>45438.0</v>
      </c>
      <c r="H261" s="101" t="s">
        <v>83</v>
      </c>
      <c r="I261" s="101" t="s">
        <v>76</v>
      </c>
      <c r="J261" s="101">
        <v>30.0</v>
      </c>
      <c r="K261" s="65">
        <v>75.15</v>
      </c>
      <c r="L261" s="65">
        <v>2254.5</v>
      </c>
      <c r="M261" s="103">
        <v>0.2</v>
      </c>
      <c r="N261" s="65">
        <v>450.9</v>
      </c>
      <c r="O261" s="65">
        <v>2705.4</v>
      </c>
      <c r="P261" s="101" t="s">
        <v>79</v>
      </c>
      <c r="Q261" s="65">
        <v>225.45</v>
      </c>
      <c r="R261" s="65">
        <v>2930.85</v>
      </c>
      <c r="S261" s="65">
        <v>1578.15</v>
      </c>
      <c r="T261" s="65">
        <v>2672.48</v>
      </c>
      <c r="U261" s="101" t="s">
        <v>80</v>
      </c>
      <c r="V261" s="45">
        <v>45441.0</v>
      </c>
      <c r="W261" s="65">
        <v>198.75</v>
      </c>
      <c r="X261" s="101" t="s">
        <v>80</v>
      </c>
      <c r="Y261" s="45">
        <v>45461.0</v>
      </c>
      <c r="Z261" s="65"/>
      <c r="AA261" s="101"/>
      <c r="AB261" s="45"/>
      <c r="AC261" s="65">
        <v>421.57</v>
      </c>
      <c r="AD261" s="101" t="s">
        <v>80</v>
      </c>
      <c r="AE261" s="45">
        <v>45470.0</v>
      </c>
      <c r="AF261" s="102"/>
      <c r="AG261" s="101"/>
      <c r="AH261" s="101"/>
      <c r="AI261" s="102"/>
    </row>
    <row r="262" ht="15.75" customHeight="1">
      <c r="A262" s="101" t="s">
        <v>61</v>
      </c>
      <c r="B262" s="101" t="s">
        <v>62</v>
      </c>
      <c r="C262" s="101" t="s">
        <v>251</v>
      </c>
      <c r="D262" s="101">
        <v>2200278.0</v>
      </c>
      <c r="E262" s="102" t="s">
        <v>608</v>
      </c>
      <c r="F262" s="45">
        <v>45468.0</v>
      </c>
      <c r="G262" s="45">
        <v>45439.0</v>
      </c>
      <c r="H262" s="101" t="s">
        <v>83</v>
      </c>
      <c r="I262" s="101" t="s">
        <v>76</v>
      </c>
      <c r="J262" s="101">
        <v>10.0</v>
      </c>
      <c r="K262" s="65">
        <v>152.25</v>
      </c>
      <c r="L262" s="65">
        <v>1522.5</v>
      </c>
      <c r="M262" s="103">
        <v>0.2</v>
      </c>
      <c r="N262" s="65">
        <v>304.5</v>
      </c>
      <c r="O262" s="65">
        <v>1827.0</v>
      </c>
      <c r="P262" s="101" t="s">
        <v>79</v>
      </c>
      <c r="Q262" s="65">
        <v>152.25</v>
      </c>
      <c r="R262" s="65">
        <v>1979.25</v>
      </c>
      <c r="S262" s="65">
        <v>1065.75</v>
      </c>
      <c r="T262" s="65">
        <v>1979.25</v>
      </c>
      <c r="U262" s="101" t="s">
        <v>85</v>
      </c>
      <c r="V262" s="45">
        <v>45448.0</v>
      </c>
      <c r="W262" s="65"/>
      <c r="X262" s="101"/>
      <c r="Y262" s="45"/>
      <c r="Z262" s="65"/>
      <c r="AA262" s="101"/>
      <c r="AB262" s="45"/>
      <c r="AC262" s="65">
        <v>116.25</v>
      </c>
      <c r="AD262" s="101" t="s">
        <v>85</v>
      </c>
      <c r="AE262" s="45">
        <v>45447.0</v>
      </c>
      <c r="AF262" s="102" t="s">
        <v>609</v>
      </c>
      <c r="AG262" s="101" t="s">
        <v>610</v>
      </c>
      <c r="AH262" s="101">
        <v>5.3183882E7</v>
      </c>
      <c r="AI262" s="102"/>
    </row>
    <row r="263" ht="15.75" customHeight="1">
      <c r="A263" s="101" t="s">
        <v>61</v>
      </c>
      <c r="B263" s="101" t="s">
        <v>62</v>
      </c>
      <c r="C263" s="101" t="s">
        <v>63</v>
      </c>
      <c r="D263" s="101">
        <v>2200279.0</v>
      </c>
      <c r="E263" s="102" t="s">
        <v>611</v>
      </c>
      <c r="F263" s="45">
        <v>45447.0</v>
      </c>
      <c r="G263" s="45">
        <v>45439.0</v>
      </c>
      <c r="H263" s="101" t="s">
        <v>73</v>
      </c>
      <c r="I263" s="101" t="s">
        <v>76</v>
      </c>
      <c r="J263" s="101">
        <v>53.0</v>
      </c>
      <c r="K263" s="65">
        <v>81.21509434</v>
      </c>
      <c r="L263" s="65">
        <v>4304.4</v>
      </c>
      <c r="M263" s="103">
        <v>0.2</v>
      </c>
      <c r="N263" s="65">
        <v>860.88</v>
      </c>
      <c r="O263" s="65">
        <v>5165.28</v>
      </c>
      <c r="P263" s="101" t="s">
        <v>79</v>
      </c>
      <c r="Q263" s="65">
        <v>430.44</v>
      </c>
      <c r="R263" s="65">
        <v>5595.72</v>
      </c>
      <c r="S263" s="65">
        <v>3013.08</v>
      </c>
      <c r="T263" s="65">
        <v>5595.72</v>
      </c>
      <c r="U263" s="101" t="s">
        <v>85</v>
      </c>
      <c r="V263" s="45">
        <v>45440.0</v>
      </c>
      <c r="W263" s="65"/>
      <c r="X263" s="101"/>
      <c r="Y263" s="45"/>
      <c r="Z263" s="65"/>
      <c r="AA263" s="101"/>
      <c r="AB263" s="45"/>
      <c r="AC263" s="65">
        <v>430.44</v>
      </c>
      <c r="AD263" s="101" t="s">
        <v>85</v>
      </c>
      <c r="AE263" s="45">
        <v>45463.0</v>
      </c>
      <c r="AF263" s="102" t="s">
        <v>612</v>
      </c>
      <c r="AG263" s="101" t="s">
        <v>613</v>
      </c>
      <c r="AH263" s="101" t="s">
        <v>614</v>
      </c>
      <c r="AI263" s="102"/>
    </row>
    <row r="264" ht="15.75" customHeight="1">
      <c r="A264" s="101" t="s">
        <v>61</v>
      </c>
      <c r="B264" s="101" t="s">
        <v>62</v>
      </c>
      <c r="C264" s="101" t="s">
        <v>63</v>
      </c>
      <c r="D264" s="101">
        <v>2200280.0</v>
      </c>
      <c r="E264" s="102" t="s">
        <v>615</v>
      </c>
      <c r="F264" s="45">
        <v>45447.0</v>
      </c>
      <c r="G264" s="45">
        <v>45439.0</v>
      </c>
      <c r="H264" s="101" t="s">
        <v>73</v>
      </c>
      <c r="I264" s="101" t="s">
        <v>76</v>
      </c>
      <c r="J264" s="101">
        <v>53.0</v>
      </c>
      <c r="K264" s="65">
        <v>81.86415094</v>
      </c>
      <c r="L264" s="65">
        <v>4338.8</v>
      </c>
      <c r="M264" s="103">
        <v>0.2</v>
      </c>
      <c r="N264" s="65">
        <v>867.76</v>
      </c>
      <c r="O264" s="65">
        <v>5206.56</v>
      </c>
      <c r="P264" s="101" t="s">
        <v>79</v>
      </c>
      <c r="Q264" s="65">
        <v>433.88</v>
      </c>
      <c r="R264" s="65">
        <v>5640.44</v>
      </c>
      <c r="S264" s="65">
        <v>3037.16</v>
      </c>
      <c r="T264" s="65">
        <v>5640.44</v>
      </c>
      <c r="U264" s="101" t="s">
        <v>85</v>
      </c>
      <c r="V264" s="45">
        <v>45440.0</v>
      </c>
      <c r="W264" s="65"/>
      <c r="X264" s="101"/>
      <c r="Y264" s="45"/>
      <c r="Z264" s="65"/>
      <c r="AA264" s="101"/>
      <c r="AB264" s="45"/>
      <c r="AC264" s="65">
        <v>433.88</v>
      </c>
      <c r="AD264" s="101" t="s">
        <v>85</v>
      </c>
      <c r="AE264" s="45">
        <v>45463.0</v>
      </c>
      <c r="AF264" s="102" t="s">
        <v>612</v>
      </c>
      <c r="AG264" s="101" t="s">
        <v>613</v>
      </c>
      <c r="AH264" s="101" t="s">
        <v>614</v>
      </c>
      <c r="AI264" s="102"/>
    </row>
    <row r="265" ht="15.75" customHeight="1">
      <c r="A265" s="101" t="s">
        <v>61</v>
      </c>
      <c r="B265" s="101" t="s">
        <v>62</v>
      </c>
      <c r="C265" s="101" t="s">
        <v>63</v>
      </c>
      <c r="D265" s="101">
        <v>2200281.0</v>
      </c>
      <c r="E265" s="102" t="s">
        <v>616</v>
      </c>
      <c r="F265" s="45">
        <v>45447.0</v>
      </c>
      <c r="G265" s="45">
        <v>45439.0</v>
      </c>
      <c r="H265" s="101" t="s">
        <v>73</v>
      </c>
      <c r="I265" s="101" t="s">
        <v>76</v>
      </c>
      <c r="J265" s="101">
        <v>53.0</v>
      </c>
      <c r="K265" s="65">
        <v>84.33962264</v>
      </c>
      <c r="L265" s="65">
        <v>4470.0</v>
      </c>
      <c r="M265" s="103">
        <v>0.2</v>
      </c>
      <c r="N265" s="65">
        <v>894.0</v>
      </c>
      <c r="O265" s="65">
        <v>5364.0</v>
      </c>
      <c r="P265" s="101" t="s">
        <v>79</v>
      </c>
      <c r="Q265" s="65">
        <v>447.0</v>
      </c>
      <c r="R265" s="65">
        <v>5811.0</v>
      </c>
      <c r="S265" s="65">
        <v>3129.0</v>
      </c>
      <c r="T265" s="65">
        <v>5811.0</v>
      </c>
      <c r="U265" s="101" t="s">
        <v>85</v>
      </c>
      <c r="V265" s="45">
        <v>45440.0</v>
      </c>
      <c r="W265" s="65"/>
      <c r="X265" s="101"/>
      <c r="Y265" s="45"/>
      <c r="Z265" s="65"/>
      <c r="AA265" s="101"/>
      <c r="AB265" s="45"/>
      <c r="AC265" s="65">
        <v>447.0</v>
      </c>
      <c r="AD265" s="101" t="s">
        <v>85</v>
      </c>
      <c r="AE265" s="45">
        <v>45463.0</v>
      </c>
      <c r="AF265" s="102" t="s">
        <v>612</v>
      </c>
      <c r="AG265" s="101" t="s">
        <v>613</v>
      </c>
      <c r="AH265" s="101" t="s">
        <v>614</v>
      </c>
      <c r="AI265" s="102"/>
    </row>
    <row r="266" ht="15.75" customHeight="1">
      <c r="A266" s="101" t="s">
        <v>61</v>
      </c>
      <c r="B266" s="101" t="s">
        <v>62</v>
      </c>
      <c r="C266" s="101" t="s">
        <v>63</v>
      </c>
      <c r="D266" s="101">
        <v>2200282.0</v>
      </c>
      <c r="E266" s="102" t="s">
        <v>563</v>
      </c>
      <c r="F266" s="45">
        <v>45468.0</v>
      </c>
      <c r="G266" s="45"/>
      <c r="H266" s="101" t="s">
        <v>83</v>
      </c>
      <c r="I266" s="101" t="s">
        <v>76</v>
      </c>
      <c r="J266" s="101">
        <v>50.0</v>
      </c>
      <c r="K266" s="65">
        <v>38.47</v>
      </c>
      <c r="L266" s="65">
        <v>1923.5</v>
      </c>
      <c r="M266" s="103">
        <v>0.2</v>
      </c>
      <c r="N266" s="65">
        <v>384.7</v>
      </c>
      <c r="O266" s="65">
        <v>2308.2</v>
      </c>
      <c r="P266" s="101" t="s">
        <v>79</v>
      </c>
      <c r="Q266" s="65">
        <v>192.35</v>
      </c>
      <c r="R266" s="65">
        <v>2500.55</v>
      </c>
      <c r="S266" s="65">
        <v>1346.45</v>
      </c>
      <c r="T266" s="65">
        <v>2500.55</v>
      </c>
      <c r="U266" s="101" t="s">
        <v>85</v>
      </c>
      <c r="V266" s="45">
        <v>45464.0</v>
      </c>
      <c r="W266" s="65"/>
      <c r="X266" s="101"/>
      <c r="Y266" s="45"/>
      <c r="Z266" s="65"/>
      <c r="AA266" s="101"/>
      <c r="AB266" s="45"/>
      <c r="AC266" s="65">
        <v>192.35</v>
      </c>
      <c r="AD266" s="101" t="s">
        <v>85</v>
      </c>
      <c r="AE266" s="45">
        <v>45108.0</v>
      </c>
      <c r="AF266" s="102" t="s">
        <v>617</v>
      </c>
      <c r="AG266" s="101"/>
      <c r="AH266" s="101"/>
      <c r="AI266" s="102"/>
    </row>
    <row r="267" ht="15.75" customHeight="1">
      <c r="A267" s="101" t="s">
        <v>61</v>
      </c>
      <c r="B267" s="101" t="s">
        <v>62</v>
      </c>
      <c r="C267" s="101" t="s">
        <v>63</v>
      </c>
      <c r="D267" s="101">
        <v>2200283.0</v>
      </c>
      <c r="E267" s="102" t="s">
        <v>392</v>
      </c>
      <c r="F267" s="45">
        <v>45476.0</v>
      </c>
      <c r="G267" s="45">
        <v>45457.0</v>
      </c>
      <c r="H267" s="101" t="s">
        <v>83</v>
      </c>
      <c r="I267" s="101" t="s">
        <v>76</v>
      </c>
      <c r="J267" s="101">
        <v>75.0</v>
      </c>
      <c r="K267" s="65">
        <v>66.11333333</v>
      </c>
      <c r="L267" s="65">
        <v>4958.5</v>
      </c>
      <c r="M267" s="103">
        <v>0.2</v>
      </c>
      <c r="N267" s="65">
        <v>991.7</v>
      </c>
      <c r="O267" s="65">
        <v>5950.2</v>
      </c>
      <c r="P267" s="101" t="s">
        <v>79</v>
      </c>
      <c r="Q267" s="65">
        <v>495.85</v>
      </c>
      <c r="R267" s="65">
        <v>6446.05</v>
      </c>
      <c r="S267" s="65">
        <v>3470.95</v>
      </c>
      <c r="T267" s="65">
        <v>6446.05</v>
      </c>
      <c r="U267" s="101" t="s">
        <v>80</v>
      </c>
      <c r="V267" s="45">
        <v>45461.0</v>
      </c>
      <c r="W267" s="65"/>
      <c r="X267" s="101"/>
      <c r="Y267" s="45"/>
      <c r="Z267" s="65"/>
      <c r="AA267" s="101"/>
      <c r="AB267" s="45"/>
      <c r="AC267" s="65">
        <v>855.85</v>
      </c>
      <c r="AD267" s="101" t="s">
        <v>80</v>
      </c>
      <c r="AE267" s="45">
        <v>45477.0</v>
      </c>
      <c r="AF267" s="102"/>
      <c r="AG267" s="101"/>
      <c r="AH267" s="101"/>
      <c r="AI267" s="102"/>
    </row>
    <row r="268" ht="15.75" customHeight="1">
      <c r="A268" s="101" t="s">
        <v>61</v>
      </c>
      <c r="B268" s="101" t="s">
        <v>62</v>
      </c>
      <c r="C268" s="101" t="s">
        <v>251</v>
      </c>
      <c r="D268" s="101">
        <v>2200284.0</v>
      </c>
      <c r="E268" s="102" t="s">
        <v>618</v>
      </c>
      <c r="F268" s="45">
        <v>45451.0</v>
      </c>
      <c r="G268" s="45">
        <v>45445.0</v>
      </c>
      <c r="H268" s="101" t="s">
        <v>73</v>
      </c>
      <c r="I268" s="101" t="s">
        <v>76</v>
      </c>
      <c r="J268" s="101">
        <v>42.0</v>
      </c>
      <c r="K268" s="65">
        <v>36.53333333</v>
      </c>
      <c r="L268" s="65">
        <v>1534.4</v>
      </c>
      <c r="M268" s="103">
        <v>0.2</v>
      </c>
      <c r="N268" s="65">
        <v>306.88</v>
      </c>
      <c r="O268" s="65">
        <v>1841.28</v>
      </c>
      <c r="P268" s="101" t="s">
        <v>84</v>
      </c>
      <c r="Q268" s="65">
        <v>153.44</v>
      </c>
      <c r="R268" s="65">
        <v>1841.28</v>
      </c>
      <c r="S268" s="65">
        <v>1074.08</v>
      </c>
      <c r="T268" s="65">
        <v>1841.28</v>
      </c>
      <c r="U268" s="101" t="s">
        <v>85</v>
      </c>
      <c r="V268" s="45">
        <v>45446.0</v>
      </c>
      <c r="W268" s="65"/>
      <c r="X268" s="101"/>
      <c r="Y268" s="45"/>
      <c r="Z268" s="65"/>
      <c r="AA268" s="101"/>
      <c r="AB268" s="45"/>
      <c r="AC268" s="65"/>
      <c r="AD268" s="101"/>
      <c r="AE268" s="45"/>
      <c r="AF268" s="102"/>
      <c r="AG268" s="101"/>
      <c r="AH268" s="101"/>
      <c r="AI268" s="102"/>
    </row>
    <row r="269" ht="15.75" customHeight="1">
      <c r="A269" s="101" t="s">
        <v>61</v>
      </c>
      <c r="B269" s="101" t="s">
        <v>62</v>
      </c>
      <c r="C269" s="101" t="s">
        <v>63</v>
      </c>
      <c r="D269" s="101">
        <v>2200285.0</v>
      </c>
      <c r="E269" s="102" t="s">
        <v>619</v>
      </c>
      <c r="F269" s="45">
        <v>45462.0</v>
      </c>
      <c r="G269" s="45">
        <v>45447.0</v>
      </c>
      <c r="H269" s="101" t="s">
        <v>73</v>
      </c>
      <c r="I269" s="101" t="s">
        <v>76</v>
      </c>
      <c r="J269" s="101">
        <v>60.0</v>
      </c>
      <c r="K269" s="65">
        <v>43.95</v>
      </c>
      <c r="L269" s="65">
        <v>2637.0</v>
      </c>
      <c r="M269" s="103">
        <v>0.2</v>
      </c>
      <c r="N269" s="65">
        <v>527.4</v>
      </c>
      <c r="O269" s="65">
        <v>3164.4</v>
      </c>
      <c r="P269" s="101" t="s">
        <v>79</v>
      </c>
      <c r="Q269" s="65">
        <v>263.7</v>
      </c>
      <c r="R269" s="65">
        <v>3428.1</v>
      </c>
      <c r="S269" s="65">
        <v>1845.9</v>
      </c>
      <c r="T269" s="65">
        <v>3428.1</v>
      </c>
      <c r="U269" s="101" t="s">
        <v>80</v>
      </c>
      <c r="V269" s="45">
        <v>45456.0</v>
      </c>
      <c r="W269" s="65"/>
      <c r="X269" s="101"/>
      <c r="Y269" s="45"/>
      <c r="Z269" s="65"/>
      <c r="AA269" s="101"/>
      <c r="AB269" s="45"/>
      <c r="AC269" s="65">
        <v>263.7</v>
      </c>
      <c r="AD269" s="101" t="s">
        <v>80</v>
      </c>
      <c r="AE269" s="45">
        <v>45468.0</v>
      </c>
      <c r="AF269" s="102"/>
      <c r="AG269" s="101"/>
      <c r="AH269" s="101"/>
      <c r="AI269" s="102"/>
    </row>
    <row r="270" ht="15.75" customHeight="1">
      <c r="A270" s="101" t="s">
        <v>61</v>
      </c>
      <c r="B270" s="101" t="s">
        <v>62</v>
      </c>
      <c r="C270" s="101" t="s">
        <v>63</v>
      </c>
      <c r="D270" s="101">
        <v>2200286.0</v>
      </c>
      <c r="E270" s="102" t="s">
        <v>620</v>
      </c>
      <c r="F270" s="45">
        <v>45469.0</v>
      </c>
      <c r="G270" s="45">
        <v>45458.0</v>
      </c>
      <c r="H270" s="101" t="s">
        <v>73</v>
      </c>
      <c r="I270" s="101" t="s">
        <v>76</v>
      </c>
      <c r="J270" s="101">
        <v>60.0</v>
      </c>
      <c r="K270" s="65">
        <v>114.0583333</v>
      </c>
      <c r="L270" s="65">
        <v>6843.5</v>
      </c>
      <c r="M270" s="103">
        <v>0.2</v>
      </c>
      <c r="N270" s="65">
        <v>1368.7</v>
      </c>
      <c r="O270" s="65">
        <v>8212.2</v>
      </c>
      <c r="P270" s="101" t="s">
        <v>79</v>
      </c>
      <c r="Q270" s="65">
        <v>684.35</v>
      </c>
      <c r="R270" s="65">
        <v>8896.55</v>
      </c>
      <c r="S270" s="65">
        <v>4790.45</v>
      </c>
      <c r="T270" s="65">
        <v>8620.3</v>
      </c>
      <c r="U270" s="101" t="s">
        <v>85</v>
      </c>
      <c r="V270" s="45">
        <v>45462.0</v>
      </c>
      <c r="W270" s="65"/>
      <c r="X270" s="101"/>
      <c r="Y270" s="45"/>
      <c r="Z270" s="65"/>
      <c r="AA270" s="101"/>
      <c r="AB270" s="45"/>
      <c r="AC270" s="65">
        <v>336.7</v>
      </c>
      <c r="AD270" s="101" t="s">
        <v>85</v>
      </c>
      <c r="AE270" s="45">
        <v>45574.0</v>
      </c>
      <c r="AF270" s="102" t="s">
        <v>439</v>
      </c>
      <c r="AG270" s="101"/>
      <c r="AH270" s="101"/>
      <c r="AI270" s="102"/>
    </row>
    <row r="271" ht="15.75" customHeight="1">
      <c r="A271" s="101" t="s">
        <v>61</v>
      </c>
      <c r="B271" s="101" t="s">
        <v>62</v>
      </c>
      <c r="C271" s="101" t="s">
        <v>251</v>
      </c>
      <c r="D271" s="101">
        <v>2200287.0</v>
      </c>
      <c r="E271" s="102" t="s">
        <v>621</v>
      </c>
      <c r="F271" s="45">
        <v>45465.0</v>
      </c>
      <c r="G271" s="45">
        <v>45459.0</v>
      </c>
      <c r="H271" s="101" t="s">
        <v>73</v>
      </c>
      <c r="I271" s="101" t="s">
        <v>76</v>
      </c>
      <c r="J271" s="101">
        <v>22.0</v>
      </c>
      <c r="K271" s="65">
        <v>93.89545455</v>
      </c>
      <c r="L271" s="65">
        <v>2065.7</v>
      </c>
      <c r="M271" s="103">
        <v>0.2</v>
      </c>
      <c r="N271" s="65">
        <v>413.14</v>
      </c>
      <c r="O271" s="65">
        <v>2478.84</v>
      </c>
      <c r="P271" s="101" t="s">
        <v>79</v>
      </c>
      <c r="Q271" s="65">
        <v>206.57</v>
      </c>
      <c r="R271" s="65">
        <v>2685.41</v>
      </c>
      <c r="S271" s="65">
        <v>1445.99</v>
      </c>
      <c r="T271" s="65">
        <v>2685.41</v>
      </c>
      <c r="U271" s="101" t="s">
        <v>80</v>
      </c>
      <c r="V271" s="45">
        <v>45460.0</v>
      </c>
      <c r="W271" s="65"/>
      <c r="X271" s="101"/>
      <c r="Y271" s="45"/>
      <c r="Z271" s="65"/>
      <c r="AA271" s="101"/>
      <c r="AB271" s="45"/>
      <c r="AC271" s="65">
        <v>206.57</v>
      </c>
      <c r="AD271" s="101" t="s">
        <v>80</v>
      </c>
      <c r="AE271" s="45">
        <v>45471.0</v>
      </c>
      <c r="AF271" s="102"/>
      <c r="AG271" s="101"/>
      <c r="AH271" s="101"/>
      <c r="AI271" s="102"/>
    </row>
    <row r="272" ht="15.75" customHeight="1">
      <c r="A272" s="101" t="s">
        <v>61</v>
      </c>
      <c r="B272" s="101" t="s">
        <v>62</v>
      </c>
      <c r="C272" s="101" t="s">
        <v>63</v>
      </c>
      <c r="D272" s="101">
        <v>2200288.0</v>
      </c>
      <c r="E272" s="102" t="s">
        <v>155</v>
      </c>
      <c r="F272" s="45">
        <v>45469.0</v>
      </c>
      <c r="G272" s="45">
        <v>45461.0</v>
      </c>
      <c r="H272" s="101" t="s">
        <v>83</v>
      </c>
      <c r="I272" s="101" t="s">
        <v>76</v>
      </c>
      <c r="J272" s="101">
        <v>50.0</v>
      </c>
      <c r="K272" s="65">
        <v>56.002</v>
      </c>
      <c r="L272" s="65">
        <v>2800.1</v>
      </c>
      <c r="M272" s="103">
        <v>0.2</v>
      </c>
      <c r="N272" s="65">
        <v>560.02</v>
      </c>
      <c r="O272" s="65">
        <v>3360.12</v>
      </c>
      <c r="P272" s="101" t="s">
        <v>79</v>
      </c>
      <c r="Q272" s="65">
        <v>280.01</v>
      </c>
      <c r="R272" s="65">
        <v>3640.13</v>
      </c>
      <c r="S272" s="65">
        <v>1960.07</v>
      </c>
      <c r="T272" s="65">
        <v>3640.13</v>
      </c>
      <c r="U272" s="101" t="s">
        <v>85</v>
      </c>
      <c r="V272" s="45">
        <v>45466.0</v>
      </c>
      <c r="W272" s="65"/>
      <c r="X272" s="101"/>
      <c r="Y272" s="45"/>
      <c r="Z272" s="65"/>
      <c r="AA272" s="101"/>
      <c r="AB272" s="45"/>
      <c r="AC272" s="65">
        <v>389.99</v>
      </c>
      <c r="AD272" s="101" t="s">
        <v>85</v>
      </c>
      <c r="AE272" s="45">
        <v>45477.0</v>
      </c>
      <c r="AF272" s="102" t="s">
        <v>622</v>
      </c>
      <c r="AG272" s="101" t="s">
        <v>207</v>
      </c>
      <c r="AH272" s="101">
        <v>6.5005749E7</v>
      </c>
      <c r="AI272" s="102"/>
    </row>
    <row r="273" ht="15.75" customHeight="1">
      <c r="A273" s="101" t="s">
        <v>61</v>
      </c>
      <c r="B273" s="101" t="s">
        <v>62</v>
      </c>
      <c r="C273" s="101" t="s">
        <v>63</v>
      </c>
      <c r="D273" s="101">
        <v>2200289.0</v>
      </c>
      <c r="E273" s="102" t="s">
        <v>623</v>
      </c>
      <c r="F273" s="45">
        <v>45474.0</v>
      </c>
      <c r="G273" s="45">
        <v>45461.0</v>
      </c>
      <c r="H273" s="101" t="s">
        <v>73</v>
      </c>
      <c r="I273" s="101" t="s">
        <v>76</v>
      </c>
      <c r="J273" s="101">
        <v>100.0</v>
      </c>
      <c r="K273" s="65">
        <v>36.2701</v>
      </c>
      <c r="L273" s="65">
        <v>3627.01</v>
      </c>
      <c r="M273" s="103">
        <v>0.2</v>
      </c>
      <c r="N273" s="65">
        <v>725.402</v>
      </c>
      <c r="O273" s="65">
        <v>4352.412</v>
      </c>
      <c r="P273" s="101" t="s">
        <v>79</v>
      </c>
      <c r="Q273" s="65">
        <v>362.701</v>
      </c>
      <c r="R273" s="65">
        <v>4715.113</v>
      </c>
      <c r="S273" s="65">
        <v>2538.907</v>
      </c>
      <c r="T273" s="65">
        <v>4715.11</v>
      </c>
      <c r="U273" s="101" t="s">
        <v>80</v>
      </c>
      <c r="V273" s="45">
        <v>45469.0</v>
      </c>
      <c r="W273" s="65"/>
      <c r="X273" s="101"/>
      <c r="Y273" s="45"/>
      <c r="Z273" s="65"/>
      <c r="AA273" s="101"/>
      <c r="AB273" s="45"/>
      <c r="AC273" s="65">
        <v>601.29</v>
      </c>
      <c r="AD273" s="101" t="s">
        <v>80</v>
      </c>
      <c r="AE273" s="45">
        <v>45476.0</v>
      </c>
      <c r="AF273" s="102"/>
      <c r="AG273" s="101"/>
      <c r="AH273" s="101"/>
      <c r="AI273" s="102"/>
    </row>
    <row r="274" ht="15.75" customHeight="1">
      <c r="A274" s="101" t="s">
        <v>219</v>
      </c>
      <c r="B274" s="101" t="s">
        <v>62</v>
      </c>
      <c r="C274" s="101" t="s">
        <v>63</v>
      </c>
      <c r="D274" s="101">
        <v>2200290.0</v>
      </c>
      <c r="E274" s="102" t="s">
        <v>624</v>
      </c>
      <c r="F274" s="45">
        <v>45472.0</v>
      </c>
      <c r="G274" s="45">
        <v>45461.0</v>
      </c>
      <c r="H274" s="101" t="s">
        <v>83</v>
      </c>
      <c r="I274" s="101" t="s">
        <v>76</v>
      </c>
      <c r="J274" s="101">
        <v>80.0</v>
      </c>
      <c r="K274" s="65">
        <v>27.7625</v>
      </c>
      <c r="L274" s="65">
        <v>2221.0</v>
      </c>
      <c r="M274" s="103">
        <v>0.2</v>
      </c>
      <c r="N274" s="65">
        <v>444.2</v>
      </c>
      <c r="O274" s="65">
        <v>2665.2</v>
      </c>
      <c r="P274" s="101" t="s">
        <v>79</v>
      </c>
      <c r="Q274" s="65">
        <v>222.1</v>
      </c>
      <c r="R274" s="65">
        <v>2887.3</v>
      </c>
      <c r="S274" s="65">
        <v>1554.7</v>
      </c>
      <c r="T274" s="65">
        <v>2887.3</v>
      </c>
      <c r="U274" s="101" t="s">
        <v>85</v>
      </c>
      <c r="V274" s="45">
        <v>45464.0</v>
      </c>
      <c r="W274" s="65"/>
      <c r="X274" s="101"/>
      <c r="Y274" s="45"/>
      <c r="Z274" s="65"/>
      <c r="AA274" s="101"/>
      <c r="AB274" s="45"/>
      <c r="AC274" s="65">
        <v>222.1</v>
      </c>
      <c r="AD274" s="101" t="s">
        <v>85</v>
      </c>
      <c r="AE274" s="45">
        <v>45477.0</v>
      </c>
      <c r="AF274" s="102" t="s">
        <v>388</v>
      </c>
      <c r="AG274" s="101">
        <v>209296.0</v>
      </c>
      <c r="AH274" s="101">
        <v>3.0161756E7</v>
      </c>
      <c r="AI274" s="102"/>
    </row>
    <row r="275" ht="15.75" customHeight="1">
      <c r="A275" s="101" t="s">
        <v>167</v>
      </c>
      <c r="B275" s="101" t="s">
        <v>62</v>
      </c>
      <c r="C275" s="101" t="s">
        <v>63</v>
      </c>
      <c r="D275" s="101">
        <v>2200291.0</v>
      </c>
      <c r="E275" s="102" t="s">
        <v>204</v>
      </c>
      <c r="F275" s="45">
        <v>45401.0</v>
      </c>
      <c r="G275" s="45">
        <v>45401.0</v>
      </c>
      <c r="H275" s="101" t="s">
        <v>83</v>
      </c>
      <c r="I275" s="101" t="s">
        <v>76</v>
      </c>
      <c r="J275" s="101">
        <v>20.0</v>
      </c>
      <c r="K275" s="65">
        <v>21.0</v>
      </c>
      <c r="L275" s="65">
        <v>420.0</v>
      </c>
      <c r="M275" s="103">
        <v>0.2</v>
      </c>
      <c r="N275" s="65">
        <v>84.0</v>
      </c>
      <c r="O275" s="65">
        <v>504.0</v>
      </c>
      <c r="P275" s="101" t="s">
        <v>84</v>
      </c>
      <c r="Q275" s="65">
        <v>42.0</v>
      </c>
      <c r="R275" s="65">
        <v>504.0</v>
      </c>
      <c r="S275" s="65">
        <v>294.0</v>
      </c>
      <c r="T275" s="65"/>
      <c r="U275" s="101"/>
      <c r="V275" s="45"/>
      <c r="W275" s="65"/>
      <c r="X275" s="101"/>
      <c r="Y275" s="45"/>
      <c r="Z275" s="65"/>
      <c r="AA275" s="101"/>
      <c r="AB275" s="45"/>
      <c r="AC275" s="65"/>
      <c r="AD275" s="101"/>
      <c r="AE275" s="45"/>
      <c r="AF275" s="102"/>
      <c r="AG275" s="101"/>
      <c r="AH275" s="101"/>
      <c r="AI275" s="102"/>
    </row>
    <row r="276" ht="15.75" customHeight="1">
      <c r="A276" s="101" t="s">
        <v>61</v>
      </c>
      <c r="B276" s="101" t="s">
        <v>62</v>
      </c>
      <c r="C276" s="101" t="s">
        <v>63</v>
      </c>
      <c r="D276" s="101">
        <v>2200292.0</v>
      </c>
      <c r="E276" s="102" t="s">
        <v>625</v>
      </c>
      <c r="F276" s="45">
        <v>45470.0</v>
      </c>
      <c r="G276" s="45">
        <v>45463.0</v>
      </c>
      <c r="H276" s="101" t="s">
        <v>73</v>
      </c>
      <c r="I276" s="101" t="s">
        <v>76</v>
      </c>
      <c r="J276" s="101">
        <v>35.0</v>
      </c>
      <c r="K276" s="65">
        <v>97.72142857</v>
      </c>
      <c r="L276" s="65">
        <v>3420.25</v>
      </c>
      <c r="M276" s="103">
        <v>0.2</v>
      </c>
      <c r="N276" s="65">
        <v>684.05</v>
      </c>
      <c r="O276" s="65">
        <v>4104.3</v>
      </c>
      <c r="P276" s="101" t="s">
        <v>79</v>
      </c>
      <c r="Q276" s="65">
        <v>342.025</v>
      </c>
      <c r="R276" s="65">
        <v>4446.325</v>
      </c>
      <c r="S276" s="65">
        <v>2394.175</v>
      </c>
      <c r="T276" s="65">
        <v>4446.33</v>
      </c>
      <c r="U276" s="101" t="s">
        <v>80</v>
      </c>
      <c r="V276" s="45">
        <v>45464.0</v>
      </c>
      <c r="W276" s="65"/>
      <c r="X276" s="101"/>
      <c r="Y276" s="45"/>
      <c r="Z276" s="65"/>
      <c r="AA276" s="101"/>
      <c r="AB276" s="45"/>
      <c r="AC276" s="65">
        <v>542.42</v>
      </c>
      <c r="AD276" s="101" t="s">
        <v>80</v>
      </c>
      <c r="AE276" s="45">
        <v>45475.0</v>
      </c>
      <c r="AF276" s="102"/>
      <c r="AG276" s="101"/>
      <c r="AH276" s="101"/>
      <c r="AI276" s="102"/>
    </row>
    <row r="277" ht="15.75" customHeight="1">
      <c r="A277" s="101" t="s">
        <v>61</v>
      </c>
      <c r="B277" s="101" t="s">
        <v>62</v>
      </c>
      <c r="C277" s="101" t="s">
        <v>63</v>
      </c>
      <c r="D277" s="101">
        <v>2200293.0</v>
      </c>
      <c r="E277" s="102" t="s">
        <v>625</v>
      </c>
      <c r="F277" s="45">
        <v>45471.0</v>
      </c>
      <c r="G277" s="45">
        <v>45463.0</v>
      </c>
      <c r="H277" s="101" t="s">
        <v>73</v>
      </c>
      <c r="I277" s="101" t="s">
        <v>76</v>
      </c>
      <c r="J277" s="101">
        <v>35.0</v>
      </c>
      <c r="K277" s="65">
        <v>93.44285714</v>
      </c>
      <c r="L277" s="65">
        <v>3270.5</v>
      </c>
      <c r="M277" s="103">
        <v>0.2</v>
      </c>
      <c r="N277" s="65">
        <v>654.1</v>
      </c>
      <c r="O277" s="65">
        <v>3924.6</v>
      </c>
      <c r="P277" s="101" t="s">
        <v>79</v>
      </c>
      <c r="Q277" s="65">
        <v>327.05</v>
      </c>
      <c r="R277" s="65">
        <v>4251.65</v>
      </c>
      <c r="S277" s="65">
        <v>2289.35</v>
      </c>
      <c r="T277" s="65">
        <v>4251.65</v>
      </c>
      <c r="U277" s="101" t="s">
        <v>80</v>
      </c>
      <c r="V277" s="45">
        <v>45464.0</v>
      </c>
      <c r="W277" s="65"/>
      <c r="X277" s="101"/>
      <c r="Y277" s="45"/>
      <c r="Z277" s="65"/>
      <c r="AA277" s="101"/>
      <c r="AB277" s="45"/>
      <c r="AC277" s="65">
        <v>596.42</v>
      </c>
      <c r="AD277" s="101" t="s">
        <v>80</v>
      </c>
      <c r="AE277" s="45">
        <v>45475.0</v>
      </c>
      <c r="AF277" s="102"/>
      <c r="AG277" s="101"/>
      <c r="AH277" s="101"/>
      <c r="AI277" s="102"/>
    </row>
    <row r="278" ht="15.75" customHeight="1">
      <c r="A278" s="101" t="s">
        <v>167</v>
      </c>
      <c r="B278" s="101" t="s">
        <v>62</v>
      </c>
      <c r="C278" s="101" t="s">
        <v>251</v>
      </c>
      <c r="D278" s="101">
        <v>2200294.0</v>
      </c>
      <c r="E278" s="102" t="s">
        <v>626</v>
      </c>
      <c r="F278" s="45">
        <v>45470.0</v>
      </c>
      <c r="G278" s="45">
        <v>45466.0</v>
      </c>
      <c r="H278" s="101" t="s">
        <v>73</v>
      </c>
      <c r="I278" s="101" t="s">
        <v>76</v>
      </c>
      <c r="J278" s="101">
        <v>25.0</v>
      </c>
      <c r="K278" s="65">
        <v>89.552</v>
      </c>
      <c r="L278" s="65">
        <v>2238.8</v>
      </c>
      <c r="M278" s="103">
        <v>0.2</v>
      </c>
      <c r="N278" s="65">
        <v>447.76</v>
      </c>
      <c r="O278" s="65">
        <v>2686.56</v>
      </c>
      <c r="P278" s="101" t="s">
        <v>79</v>
      </c>
      <c r="Q278" s="65">
        <v>223.88</v>
      </c>
      <c r="R278" s="65">
        <v>2910.44</v>
      </c>
      <c r="S278" s="65">
        <v>1567.16</v>
      </c>
      <c r="T278" s="65">
        <v>2910.44</v>
      </c>
      <c r="U278" s="101" t="s">
        <v>85</v>
      </c>
      <c r="V278" s="45">
        <v>45468.0</v>
      </c>
      <c r="W278" s="65"/>
      <c r="X278" s="101"/>
      <c r="Y278" s="45"/>
      <c r="Z278" s="65"/>
      <c r="AA278" s="101"/>
      <c r="AB278" s="45"/>
      <c r="AC278" s="65">
        <v>223.88</v>
      </c>
      <c r="AD278" s="101" t="s">
        <v>85</v>
      </c>
      <c r="AE278" s="45">
        <v>45518.0</v>
      </c>
      <c r="AF278" s="102" t="s">
        <v>439</v>
      </c>
      <c r="AG278" s="101"/>
      <c r="AH278" s="101"/>
      <c r="AI278" s="102"/>
    </row>
    <row r="279" ht="15.75" customHeight="1">
      <c r="A279" s="101" t="s">
        <v>61</v>
      </c>
      <c r="B279" s="101" t="s">
        <v>62</v>
      </c>
      <c r="C279" s="101" t="s">
        <v>63</v>
      </c>
      <c r="D279" s="101">
        <v>2200295.0</v>
      </c>
      <c r="E279" s="102" t="s">
        <v>82</v>
      </c>
      <c r="F279" s="45">
        <v>45483.0</v>
      </c>
      <c r="G279" s="45">
        <v>45471.0</v>
      </c>
      <c r="H279" s="101" t="s">
        <v>83</v>
      </c>
      <c r="I279" s="101" t="s">
        <v>76</v>
      </c>
      <c r="J279" s="101">
        <v>30.0</v>
      </c>
      <c r="K279" s="65">
        <v>38.41666667</v>
      </c>
      <c r="L279" s="65">
        <v>1152.5</v>
      </c>
      <c r="M279" s="103">
        <v>0.2</v>
      </c>
      <c r="N279" s="65">
        <v>230.5</v>
      </c>
      <c r="O279" s="65">
        <v>1383.0</v>
      </c>
      <c r="P279" s="101" t="s">
        <v>79</v>
      </c>
      <c r="Q279" s="65">
        <v>115.25</v>
      </c>
      <c r="R279" s="65">
        <v>1498.25</v>
      </c>
      <c r="S279" s="65">
        <v>806.75</v>
      </c>
      <c r="T279" s="65"/>
      <c r="U279" s="101"/>
      <c r="V279" s="45"/>
      <c r="W279" s="65"/>
      <c r="X279" s="101"/>
      <c r="Y279" s="45"/>
      <c r="Z279" s="65"/>
      <c r="AA279" s="101"/>
      <c r="AB279" s="45"/>
      <c r="AC279" s="65">
        <v>115.25</v>
      </c>
      <c r="AD279" s="101" t="s">
        <v>85</v>
      </c>
      <c r="AE279" s="45">
        <v>45510.0</v>
      </c>
      <c r="AF279" s="102" t="s">
        <v>627</v>
      </c>
      <c r="AG279" s="101" t="s">
        <v>275</v>
      </c>
      <c r="AH279" s="101">
        <v>2.3605884E7</v>
      </c>
      <c r="AI279" s="102"/>
    </row>
    <row r="280" ht="15.75" customHeight="1">
      <c r="A280" s="101" t="s">
        <v>61</v>
      </c>
      <c r="B280" s="101" t="s">
        <v>62</v>
      </c>
      <c r="C280" s="101" t="s">
        <v>63</v>
      </c>
      <c r="D280" s="101">
        <v>2200296.0</v>
      </c>
      <c r="E280" s="102" t="s">
        <v>628</v>
      </c>
      <c r="F280" s="45">
        <v>45485.0</v>
      </c>
      <c r="G280" s="45">
        <v>45474.0</v>
      </c>
      <c r="H280" s="101" t="s">
        <v>73</v>
      </c>
      <c r="I280" s="101" t="s">
        <v>119</v>
      </c>
      <c r="J280" s="101">
        <v>35.0</v>
      </c>
      <c r="K280" s="65">
        <v>118.7785714</v>
      </c>
      <c r="L280" s="65">
        <v>4157.25</v>
      </c>
      <c r="M280" s="103">
        <v>0.2</v>
      </c>
      <c r="N280" s="65">
        <v>831.45</v>
      </c>
      <c r="O280" s="65">
        <v>4988.7</v>
      </c>
      <c r="P280" s="101" t="s">
        <v>79</v>
      </c>
      <c r="Q280" s="65">
        <v>415.725</v>
      </c>
      <c r="R280" s="65">
        <v>5404.425</v>
      </c>
      <c r="S280" s="65">
        <v>2910.075</v>
      </c>
      <c r="T280" s="65"/>
      <c r="U280" s="101"/>
      <c r="V280" s="45"/>
      <c r="W280" s="65"/>
      <c r="X280" s="101"/>
      <c r="Y280" s="45"/>
      <c r="Z280" s="65"/>
      <c r="AA280" s="101"/>
      <c r="AB280" s="45"/>
      <c r="AC280" s="65"/>
      <c r="AD280" s="101"/>
      <c r="AE280" s="45"/>
      <c r="AF280" s="102"/>
      <c r="AG280" s="101"/>
      <c r="AH280" s="101"/>
      <c r="AI280" s="102"/>
    </row>
    <row r="281" ht="15.75" customHeight="1">
      <c r="A281" s="101" t="s">
        <v>61</v>
      </c>
      <c r="B281" s="101" t="s">
        <v>62</v>
      </c>
      <c r="C281" s="101" t="s">
        <v>63</v>
      </c>
      <c r="D281" s="101">
        <v>2200297.0</v>
      </c>
      <c r="E281" s="102" t="s">
        <v>629</v>
      </c>
      <c r="F281" s="45">
        <v>45489.0</v>
      </c>
      <c r="G281" s="45">
        <v>45475.0</v>
      </c>
      <c r="H281" s="101" t="s">
        <v>73</v>
      </c>
      <c r="I281" s="101" t="s">
        <v>76</v>
      </c>
      <c r="J281" s="101">
        <v>15.0</v>
      </c>
      <c r="K281" s="65">
        <v>30.24</v>
      </c>
      <c r="L281" s="65">
        <v>453.6</v>
      </c>
      <c r="M281" s="103">
        <v>0.2</v>
      </c>
      <c r="N281" s="65">
        <v>90.72</v>
      </c>
      <c r="O281" s="65">
        <v>544.32</v>
      </c>
      <c r="P281" s="101" t="s">
        <v>84</v>
      </c>
      <c r="Q281" s="65">
        <v>45.36</v>
      </c>
      <c r="R281" s="65">
        <v>544.32</v>
      </c>
      <c r="S281" s="65">
        <v>317.52</v>
      </c>
      <c r="T281" s="65">
        <v>544.32</v>
      </c>
      <c r="U281" s="101" t="s">
        <v>80</v>
      </c>
      <c r="V281" s="45">
        <v>45476.0</v>
      </c>
      <c r="W281" s="65"/>
      <c r="X281" s="101"/>
      <c r="Y281" s="45"/>
      <c r="Z281" s="65"/>
      <c r="AA281" s="101"/>
      <c r="AB281" s="45"/>
      <c r="AC281" s="65"/>
      <c r="AD281" s="101"/>
      <c r="AE281" s="45"/>
      <c r="AF281" s="102"/>
      <c r="AG281" s="101"/>
      <c r="AH281" s="101"/>
      <c r="AI281" s="102"/>
    </row>
    <row r="282" ht="15.75" customHeight="1">
      <c r="A282" s="101" t="s">
        <v>61</v>
      </c>
      <c r="B282" s="101" t="s">
        <v>62</v>
      </c>
      <c r="C282" s="101" t="s">
        <v>63</v>
      </c>
      <c r="D282" s="101">
        <v>2200298.0</v>
      </c>
      <c r="E282" s="102" t="s">
        <v>563</v>
      </c>
      <c r="F282" s="45">
        <v>45490.0</v>
      </c>
      <c r="G282" s="45">
        <v>45476.0</v>
      </c>
      <c r="H282" s="101" t="s">
        <v>83</v>
      </c>
      <c r="I282" s="101" t="s">
        <v>76</v>
      </c>
      <c r="J282" s="101">
        <v>40.0</v>
      </c>
      <c r="K282" s="65">
        <v>43.5125</v>
      </c>
      <c r="L282" s="65">
        <v>1740.5</v>
      </c>
      <c r="M282" s="103">
        <v>0.2</v>
      </c>
      <c r="N282" s="65">
        <v>348.1</v>
      </c>
      <c r="O282" s="65">
        <v>2088.6</v>
      </c>
      <c r="P282" s="101" t="s">
        <v>79</v>
      </c>
      <c r="Q282" s="65">
        <v>174.05</v>
      </c>
      <c r="R282" s="65">
        <v>2262.65</v>
      </c>
      <c r="S282" s="65">
        <v>1218.35</v>
      </c>
      <c r="T282" s="65">
        <v>2262.65</v>
      </c>
      <c r="U282" s="101" t="s">
        <v>85</v>
      </c>
      <c r="V282" s="45">
        <v>45485.0</v>
      </c>
      <c r="W282" s="65"/>
      <c r="X282" s="101"/>
      <c r="Y282" s="45"/>
      <c r="Z282" s="65"/>
      <c r="AA282" s="101"/>
      <c r="AB282" s="45"/>
      <c r="AC282" s="65">
        <v>174.05</v>
      </c>
      <c r="AD282" s="101" t="s">
        <v>85</v>
      </c>
      <c r="AE282" s="45">
        <v>45520.0</v>
      </c>
      <c r="AF282" s="102" t="s">
        <v>571</v>
      </c>
      <c r="AG282" s="101" t="s">
        <v>379</v>
      </c>
      <c r="AH282" s="101">
        <v>1.1368346E7</v>
      </c>
      <c r="AI282" s="102"/>
    </row>
    <row r="283" ht="15.75" customHeight="1">
      <c r="A283" s="101" t="s">
        <v>61</v>
      </c>
      <c r="B283" s="101" t="s">
        <v>62</v>
      </c>
      <c r="C283" s="101" t="s">
        <v>63</v>
      </c>
      <c r="D283" s="101">
        <v>2200299.0</v>
      </c>
      <c r="E283" s="102" t="s">
        <v>630</v>
      </c>
      <c r="F283" s="45">
        <v>45490.0</v>
      </c>
      <c r="G283" s="45">
        <v>45476.0</v>
      </c>
      <c r="H283" s="101" t="s">
        <v>83</v>
      </c>
      <c r="I283" s="101" t="s">
        <v>76</v>
      </c>
      <c r="J283" s="101">
        <v>15.0</v>
      </c>
      <c r="K283" s="65">
        <v>86.61666667</v>
      </c>
      <c r="L283" s="65">
        <v>1299.25</v>
      </c>
      <c r="M283" s="103">
        <v>0.2</v>
      </c>
      <c r="N283" s="65">
        <v>259.85</v>
      </c>
      <c r="O283" s="65">
        <v>1559.1</v>
      </c>
      <c r="P283" s="101" t="s">
        <v>84</v>
      </c>
      <c r="Q283" s="65">
        <v>129.925</v>
      </c>
      <c r="R283" s="65">
        <v>1559.1</v>
      </c>
      <c r="S283" s="65">
        <v>909.475</v>
      </c>
      <c r="T283" s="65">
        <v>1559.1</v>
      </c>
      <c r="U283" s="101" t="s">
        <v>80</v>
      </c>
      <c r="V283" s="45">
        <v>45481.0</v>
      </c>
      <c r="W283" s="65"/>
      <c r="X283" s="101"/>
      <c r="Y283" s="45"/>
      <c r="Z283" s="65"/>
      <c r="AA283" s="101"/>
      <c r="AB283" s="45"/>
      <c r="AC283" s="65"/>
      <c r="AD283" s="101"/>
      <c r="AE283" s="45"/>
      <c r="AF283" s="102"/>
      <c r="AG283" s="101"/>
      <c r="AH283" s="101"/>
      <c r="AI283" s="102"/>
    </row>
    <row r="284" ht="15.75" customHeight="1">
      <c r="A284" s="101" t="s">
        <v>61</v>
      </c>
      <c r="B284" s="101" t="s">
        <v>62</v>
      </c>
      <c r="C284" s="101" t="s">
        <v>63</v>
      </c>
      <c r="D284" s="101">
        <v>2200300.0</v>
      </c>
      <c r="E284" s="102" t="s">
        <v>631</v>
      </c>
      <c r="F284" s="45">
        <v>45491.0</v>
      </c>
      <c r="G284" s="45">
        <v>45476.0</v>
      </c>
      <c r="H284" s="101" t="s">
        <v>83</v>
      </c>
      <c r="I284" s="101" t="s">
        <v>76</v>
      </c>
      <c r="J284" s="101">
        <v>15.0</v>
      </c>
      <c r="K284" s="65">
        <v>105.0033333</v>
      </c>
      <c r="L284" s="65">
        <v>1575.05</v>
      </c>
      <c r="M284" s="103">
        <v>0.2</v>
      </c>
      <c r="N284" s="65">
        <v>315.01</v>
      </c>
      <c r="O284" s="65">
        <v>1890.06</v>
      </c>
      <c r="P284" s="101" t="s">
        <v>84</v>
      </c>
      <c r="Q284" s="65">
        <v>157.505</v>
      </c>
      <c r="R284" s="65">
        <v>1890.06</v>
      </c>
      <c r="S284" s="65">
        <v>1102.535</v>
      </c>
      <c r="T284" s="65">
        <v>1890.06</v>
      </c>
      <c r="U284" s="101" t="s">
        <v>80</v>
      </c>
      <c r="V284" s="45">
        <v>45481.0</v>
      </c>
      <c r="W284" s="65"/>
      <c r="X284" s="101"/>
      <c r="Y284" s="45"/>
      <c r="Z284" s="65"/>
      <c r="AA284" s="101"/>
      <c r="AB284" s="45"/>
      <c r="AC284" s="65"/>
      <c r="AD284" s="101"/>
      <c r="AE284" s="45"/>
      <c r="AF284" s="102"/>
      <c r="AG284" s="101"/>
      <c r="AH284" s="101"/>
      <c r="AI284" s="102"/>
    </row>
    <row r="285" ht="15.75" customHeight="1">
      <c r="A285" s="101" t="s">
        <v>61</v>
      </c>
      <c r="B285" s="101" t="s">
        <v>62</v>
      </c>
      <c r="C285" s="101" t="s">
        <v>63</v>
      </c>
      <c r="D285" s="101">
        <v>2200301.0</v>
      </c>
      <c r="E285" s="102" t="s">
        <v>632</v>
      </c>
      <c r="F285" s="45">
        <v>45492.0</v>
      </c>
      <c r="G285" s="45">
        <v>45476.0</v>
      </c>
      <c r="H285" s="101" t="s">
        <v>83</v>
      </c>
      <c r="I285" s="101" t="s">
        <v>76</v>
      </c>
      <c r="J285" s="101">
        <v>15.0</v>
      </c>
      <c r="K285" s="65">
        <v>48.22</v>
      </c>
      <c r="L285" s="65">
        <v>723.3</v>
      </c>
      <c r="M285" s="103">
        <v>0.2</v>
      </c>
      <c r="N285" s="65">
        <v>144.66</v>
      </c>
      <c r="O285" s="65">
        <v>867.96</v>
      </c>
      <c r="P285" s="101" t="s">
        <v>84</v>
      </c>
      <c r="Q285" s="65">
        <v>72.33</v>
      </c>
      <c r="R285" s="65">
        <v>867.96</v>
      </c>
      <c r="S285" s="65">
        <v>506.31</v>
      </c>
      <c r="T285" s="65">
        <v>867.96</v>
      </c>
      <c r="U285" s="101" t="s">
        <v>80</v>
      </c>
      <c r="V285" s="45">
        <v>45476.0</v>
      </c>
      <c r="W285" s="65"/>
      <c r="X285" s="101"/>
      <c r="Y285" s="45"/>
      <c r="Z285" s="65"/>
      <c r="AA285" s="101"/>
      <c r="AB285" s="45"/>
      <c r="AC285" s="65"/>
      <c r="AD285" s="101"/>
      <c r="AE285" s="45"/>
      <c r="AF285" s="102"/>
      <c r="AG285" s="101"/>
      <c r="AH285" s="101"/>
      <c r="AI285" s="102"/>
    </row>
    <row r="286" ht="15.75" customHeight="1">
      <c r="A286" s="101" t="s">
        <v>219</v>
      </c>
      <c r="B286" s="101" t="s">
        <v>62</v>
      </c>
      <c r="C286" s="101" t="s">
        <v>251</v>
      </c>
      <c r="D286" s="101">
        <v>2200302.0</v>
      </c>
      <c r="E286" s="102" t="s">
        <v>633</v>
      </c>
      <c r="F286" s="45">
        <v>45557.0</v>
      </c>
      <c r="G286" s="45">
        <v>45481.0</v>
      </c>
      <c r="H286" s="101" t="s">
        <v>73</v>
      </c>
      <c r="I286" s="101" t="s">
        <v>76</v>
      </c>
      <c r="J286" s="101">
        <v>30.0</v>
      </c>
      <c r="K286" s="65">
        <v>197.21</v>
      </c>
      <c r="L286" s="65">
        <v>5916.3</v>
      </c>
      <c r="M286" s="103">
        <v>0.2</v>
      </c>
      <c r="N286" s="65">
        <v>1183.26</v>
      </c>
      <c r="O286" s="65">
        <v>7099.56</v>
      </c>
      <c r="P286" s="101" t="s">
        <v>79</v>
      </c>
      <c r="Q286" s="65">
        <v>591.63</v>
      </c>
      <c r="R286" s="65">
        <v>7691.19</v>
      </c>
      <c r="S286" s="65">
        <v>4141.41</v>
      </c>
      <c r="T286" s="65">
        <v>2928.52</v>
      </c>
      <c r="U286" s="101" t="s">
        <v>80</v>
      </c>
      <c r="V286" s="45">
        <v>45481.0</v>
      </c>
      <c r="W286" s="65"/>
      <c r="X286" s="101"/>
      <c r="Y286" s="45"/>
      <c r="Z286" s="65"/>
      <c r="AA286" s="101"/>
      <c r="AB286" s="45"/>
      <c r="AC286" s="65">
        <v>736.36</v>
      </c>
      <c r="AD286" s="101" t="s">
        <v>80</v>
      </c>
      <c r="AE286" s="45">
        <v>45560.0</v>
      </c>
      <c r="AF286" s="102"/>
      <c r="AG286" s="101"/>
      <c r="AH286" s="101"/>
      <c r="AI286" s="102"/>
    </row>
    <row r="287" ht="15.75" customHeight="1">
      <c r="A287" s="101" t="s">
        <v>61</v>
      </c>
      <c r="B287" s="101" t="s">
        <v>62</v>
      </c>
      <c r="C287" s="101" t="s">
        <v>251</v>
      </c>
      <c r="D287" s="101">
        <v>2200303.0</v>
      </c>
      <c r="E287" s="102" t="s">
        <v>634</v>
      </c>
      <c r="F287" s="45">
        <v>45486.0</v>
      </c>
      <c r="G287" s="45">
        <v>45482.0</v>
      </c>
      <c r="H287" s="101" t="s">
        <v>73</v>
      </c>
      <c r="I287" s="101" t="s">
        <v>76</v>
      </c>
      <c r="J287" s="101">
        <v>40.0</v>
      </c>
      <c r="K287" s="65">
        <v>193.508</v>
      </c>
      <c r="L287" s="65">
        <v>7740.32</v>
      </c>
      <c r="M287" s="103">
        <v>0.2</v>
      </c>
      <c r="N287" s="65">
        <v>1548.064</v>
      </c>
      <c r="O287" s="65">
        <v>9288.384</v>
      </c>
      <c r="P287" s="101" t="s">
        <v>79</v>
      </c>
      <c r="Q287" s="65">
        <v>774.032</v>
      </c>
      <c r="R287" s="65">
        <v>10062.416</v>
      </c>
      <c r="S287" s="65">
        <v>5418.224</v>
      </c>
      <c r="T287" s="65">
        <v>10062.41</v>
      </c>
      <c r="U287" s="101" t="s">
        <v>85</v>
      </c>
      <c r="V287" s="45">
        <v>45482.0</v>
      </c>
      <c r="W287" s="65"/>
      <c r="X287" s="101"/>
      <c r="Y287" s="45"/>
      <c r="Z287" s="65"/>
      <c r="AA287" s="101"/>
      <c r="AB287" s="45"/>
      <c r="AC287" s="65">
        <v>774.03</v>
      </c>
      <c r="AD287" s="101" t="s">
        <v>85</v>
      </c>
      <c r="AE287" s="45">
        <v>45498.0</v>
      </c>
      <c r="AF287" s="102" t="s">
        <v>635</v>
      </c>
      <c r="AG287" s="101" t="s">
        <v>636</v>
      </c>
      <c r="AH287" s="101" t="s">
        <v>637</v>
      </c>
      <c r="AI287" s="102"/>
    </row>
    <row r="288" ht="15.75" customHeight="1">
      <c r="A288" s="101" t="s">
        <v>219</v>
      </c>
      <c r="B288" s="101" t="s">
        <v>62</v>
      </c>
      <c r="C288" s="101" t="s">
        <v>278</v>
      </c>
      <c r="D288" s="101">
        <v>2200304.0</v>
      </c>
      <c r="E288" s="102" t="s">
        <v>638</v>
      </c>
      <c r="F288" s="45">
        <v>45878.0</v>
      </c>
      <c r="G288" s="45">
        <v>45482.0</v>
      </c>
      <c r="H288" s="101" t="s">
        <v>73</v>
      </c>
      <c r="I288" s="101" t="s">
        <v>76</v>
      </c>
      <c r="J288" s="101">
        <v>100.0</v>
      </c>
      <c r="K288" s="65">
        <v>154.3995</v>
      </c>
      <c r="L288" s="65">
        <v>15439.95</v>
      </c>
      <c r="M288" s="103">
        <v>0.2</v>
      </c>
      <c r="N288" s="65">
        <v>3087.99</v>
      </c>
      <c r="O288" s="65">
        <v>18527.94</v>
      </c>
      <c r="P288" s="101" t="s">
        <v>79</v>
      </c>
      <c r="Q288" s="65">
        <v>1543.995</v>
      </c>
      <c r="R288" s="65">
        <v>20071.935</v>
      </c>
      <c r="S288" s="65">
        <v>10807.965</v>
      </c>
      <c r="T288" s="65">
        <v>1511.89</v>
      </c>
      <c r="U288" s="101" t="s">
        <v>80</v>
      </c>
      <c r="V288" s="45">
        <v>38177.0</v>
      </c>
      <c r="W288" s="65">
        <v>9263.98</v>
      </c>
      <c r="X288" s="101" t="s">
        <v>80</v>
      </c>
      <c r="Y288" s="45">
        <v>45737.0</v>
      </c>
      <c r="Z288" s="65">
        <v>9907.74</v>
      </c>
      <c r="AA288" s="101" t="s">
        <v>80</v>
      </c>
      <c r="AB288" s="45">
        <v>45873.0</v>
      </c>
      <c r="AC288" s="65">
        <v>1001.89</v>
      </c>
      <c r="AD288" s="101" t="s">
        <v>80</v>
      </c>
      <c r="AE288" s="45">
        <v>45886.0</v>
      </c>
      <c r="AF288" s="102"/>
      <c r="AG288" s="101"/>
      <c r="AH288" s="101"/>
      <c r="AI288" s="102"/>
    </row>
    <row r="289" ht="15.75" customHeight="1">
      <c r="A289" s="101" t="s">
        <v>61</v>
      </c>
      <c r="B289" s="101" t="s">
        <v>62</v>
      </c>
      <c r="C289" s="101" t="s">
        <v>63</v>
      </c>
      <c r="D289" s="101">
        <v>2200305.0</v>
      </c>
      <c r="E289" s="102" t="s">
        <v>639</v>
      </c>
      <c r="F289" s="45">
        <v>45493.0</v>
      </c>
      <c r="G289" s="45">
        <v>45489.0</v>
      </c>
      <c r="H289" s="101" t="s">
        <v>73</v>
      </c>
      <c r="I289" s="101" t="s">
        <v>76</v>
      </c>
      <c r="J289" s="101">
        <v>55.0</v>
      </c>
      <c r="K289" s="65">
        <v>45.18</v>
      </c>
      <c r="L289" s="65">
        <v>2484.9</v>
      </c>
      <c r="M289" s="103">
        <v>0.2</v>
      </c>
      <c r="N289" s="65">
        <v>496.98</v>
      </c>
      <c r="O289" s="65">
        <v>2981.88</v>
      </c>
      <c r="P289" s="101" t="s">
        <v>79</v>
      </c>
      <c r="Q289" s="65">
        <v>248.49</v>
      </c>
      <c r="R289" s="65">
        <v>3230.37</v>
      </c>
      <c r="S289" s="65">
        <v>1739.43</v>
      </c>
      <c r="T289" s="65">
        <v>2849.4</v>
      </c>
      <c r="U289" s="101" t="s">
        <v>80</v>
      </c>
      <c r="V289" s="45">
        <v>45490.0</v>
      </c>
      <c r="W289" s="65">
        <v>132.48</v>
      </c>
      <c r="X289" s="101" t="s">
        <v>80</v>
      </c>
      <c r="Y289" s="45">
        <v>45495.0</v>
      </c>
      <c r="Z289" s="65"/>
      <c r="AA289" s="101"/>
      <c r="AB289" s="45"/>
      <c r="AC289" s="65"/>
      <c r="AD289" s="101"/>
      <c r="AE289" s="45"/>
      <c r="AF289" s="102" t="s">
        <v>640</v>
      </c>
      <c r="AG289" s="101"/>
      <c r="AH289" s="101"/>
      <c r="AI289" s="102"/>
    </row>
    <row r="290" ht="15.75" customHeight="1">
      <c r="A290" s="101" t="s">
        <v>61</v>
      </c>
      <c r="B290" s="101" t="s">
        <v>62</v>
      </c>
      <c r="C290" s="101" t="s">
        <v>63</v>
      </c>
      <c r="D290" s="101">
        <v>2200306.0</v>
      </c>
      <c r="E290" s="102" t="s">
        <v>641</v>
      </c>
      <c r="F290" s="45">
        <v>45518.0</v>
      </c>
      <c r="G290" s="45">
        <v>45492.0</v>
      </c>
      <c r="H290" s="101" t="s">
        <v>83</v>
      </c>
      <c r="I290" s="101" t="s">
        <v>76</v>
      </c>
      <c r="J290" s="101">
        <v>50.0</v>
      </c>
      <c r="K290" s="65">
        <v>29.2</v>
      </c>
      <c r="L290" s="65">
        <v>1460.0</v>
      </c>
      <c r="M290" s="103">
        <v>0.2</v>
      </c>
      <c r="N290" s="65">
        <v>292.0</v>
      </c>
      <c r="O290" s="65">
        <v>1752.0</v>
      </c>
      <c r="P290" s="101" t="s">
        <v>84</v>
      </c>
      <c r="Q290" s="65">
        <v>146.0</v>
      </c>
      <c r="R290" s="65">
        <v>1752.0</v>
      </c>
      <c r="S290" s="65">
        <v>1022.0</v>
      </c>
      <c r="T290" s="65">
        <v>1752.0</v>
      </c>
      <c r="U290" s="101" t="s">
        <v>85</v>
      </c>
      <c r="V290" s="45">
        <v>45504.0</v>
      </c>
      <c r="W290" s="65"/>
      <c r="X290" s="101"/>
      <c r="Y290" s="45"/>
      <c r="Z290" s="65"/>
      <c r="AA290" s="101"/>
      <c r="AB290" s="45"/>
      <c r="AC290" s="65"/>
      <c r="AD290" s="101"/>
      <c r="AE290" s="45"/>
      <c r="AF290" s="102"/>
      <c r="AG290" s="101"/>
      <c r="AH290" s="101"/>
      <c r="AI290" s="102"/>
    </row>
    <row r="291" ht="15.75" customHeight="1">
      <c r="A291" s="101" t="s">
        <v>61</v>
      </c>
      <c r="B291" s="101" t="s">
        <v>62</v>
      </c>
      <c r="C291" s="101" t="s">
        <v>63</v>
      </c>
      <c r="D291" s="101">
        <v>2200307.0</v>
      </c>
      <c r="E291" s="102" t="s">
        <v>517</v>
      </c>
      <c r="F291" s="45">
        <v>45504.0</v>
      </c>
      <c r="G291" s="45">
        <v>45495.0</v>
      </c>
      <c r="H291" s="101" t="s">
        <v>83</v>
      </c>
      <c r="I291" s="101" t="s">
        <v>76</v>
      </c>
      <c r="J291" s="101">
        <v>65.0</v>
      </c>
      <c r="K291" s="65">
        <v>34.69615385</v>
      </c>
      <c r="L291" s="65">
        <v>2255.25</v>
      </c>
      <c r="M291" s="103">
        <v>0.2</v>
      </c>
      <c r="N291" s="65">
        <v>451.05</v>
      </c>
      <c r="O291" s="65">
        <v>2706.3</v>
      </c>
      <c r="P291" s="101" t="s">
        <v>84</v>
      </c>
      <c r="Q291" s="65">
        <v>225.525</v>
      </c>
      <c r="R291" s="65">
        <v>2706.3</v>
      </c>
      <c r="S291" s="65">
        <v>1578.675</v>
      </c>
      <c r="T291" s="65">
        <v>2706.3</v>
      </c>
      <c r="U291" s="101" t="s">
        <v>80</v>
      </c>
      <c r="V291" s="45">
        <v>45496.0</v>
      </c>
      <c r="W291" s="65"/>
      <c r="X291" s="101"/>
      <c r="Y291" s="45"/>
      <c r="Z291" s="65"/>
      <c r="AA291" s="101"/>
      <c r="AB291" s="45"/>
      <c r="AC291" s="65"/>
      <c r="AD291" s="101"/>
      <c r="AE291" s="45"/>
      <c r="AF291" s="102"/>
      <c r="AG291" s="101"/>
      <c r="AH291" s="101"/>
      <c r="AI291" s="102"/>
    </row>
    <row r="292" ht="15.75" customHeight="1">
      <c r="A292" s="101" t="s">
        <v>61</v>
      </c>
      <c r="B292" s="101" t="s">
        <v>62</v>
      </c>
      <c r="C292" s="101" t="s">
        <v>63</v>
      </c>
      <c r="D292" s="101">
        <v>2200308.0</v>
      </c>
      <c r="E292" s="102" t="s">
        <v>260</v>
      </c>
      <c r="F292" s="45">
        <v>45512.0</v>
      </c>
      <c r="G292" s="45">
        <v>45497.0</v>
      </c>
      <c r="H292" s="101" t="s">
        <v>83</v>
      </c>
      <c r="I292" s="101" t="s">
        <v>76</v>
      </c>
      <c r="J292" s="101">
        <v>15.0</v>
      </c>
      <c r="K292" s="65">
        <v>124.6666667</v>
      </c>
      <c r="L292" s="65">
        <v>1870.0</v>
      </c>
      <c r="M292" s="103">
        <v>0.2</v>
      </c>
      <c r="N292" s="65">
        <v>374.0</v>
      </c>
      <c r="O292" s="65">
        <v>2244.0</v>
      </c>
      <c r="P292" s="101" t="s">
        <v>79</v>
      </c>
      <c r="Q292" s="65">
        <v>187.0</v>
      </c>
      <c r="R292" s="65">
        <v>2431.0</v>
      </c>
      <c r="S292" s="65">
        <v>1309.0</v>
      </c>
      <c r="T292" s="65">
        <v>2431.0</v>
      </c>
      <c r="U292" s="101" t="s">
        <v>80</v>
      </c>
      <c r="V292" s="45">
        <v>45498.0</v>
      </c>
      <c r="W292" s="65"/>
      <c r="X292" s="101"/>
      <c r="Y292" s="45"/>
      <c r="Z292" s="65"/>
      <c r="AA292" s="101"/>
      <c r="AB292" s="45"/>
      <c r="AC292" s="65">
        <v>187.0</v>
      </c>
      <c r="AD292" s="101" t="s">
        <v>80</v>
      </c>
      <c r="AE292" s="45">
        <v>45520.0</v>
      </c>
      <c r="AF292" s="102"/>
      <c r="AG292" s="101"/>
      <c r="AH292" s="101"/>
      <c r="AI292" s="102"/>
    </row>
    <row r="293" ht="15.75" customHeight="1">
      <c r="A293" s="101" t="s">
        <v>61</v>
      </c>
      <c r="B293" s="101" t="s">
        <v>62</v>
      </c>
      <c r="C293" s="101" t="s">
        <v>63</v>
      </c>
      <c r="D293" s="101">
        <v>2200309.0</v>
      </c>
      <c r="E293" s="102" t="s">
        <v>642</v>
      </c>
      <c r="F293" s="45">
        <v>45513.0</v>
      </c>
      <c r="G293" s="45"/>
      <c r="H293" s="101" t="s">
        <v>73</v>
      </c>
      <c r="I293" s="101" t="s">
        <v>76</v>
      </c>
      <c r="J293" s="101">
        <v>50.0</v>
      </c>
      <c r="K293" s="65">
        <v>106.14</v>
      </c>
      <c r="L293" s="65">
        <v>5307.0</v>
      </c>
      <c r="M293" s="103">
        <v>0.2</v>
      </c>
      <c r="N293" s="65">
        <v>1061.4</v>
      </c>
      <c r="O293" s="65">
        <v>6368.4</v>
      </c>
      <c r="P293" s="101" t="s">
        <v>79</v>
      </c>
      <c r="Q293" s="65">
        <v>530.7</v>
      </c>
      <c r="R293" s="65">
        <v>6899.1</v>
      </c>
      <c r="S293" s="65">
        <v>3714.9</v>
      </c>
      <c r="T293" s="65">
        <v>6899.1</v>
      </c>
      <c r="U293" s="101" t="s">
        <v>85</v>
      </c>
      <c r="V293" s="45">
        <v>45506.0</v>
      </c>
      <c r="W293" s="65"/>
      <c r="X293" s="101"/>
      <c r="Y293" s="45"/>
      <c r="Z293" s="65"/>
      <c r="AA293" s="101"/>
      <c r="AB293" s="45"/>
      <c r="AC293" s="65">
        <v>530.7</v>
      </c>
      <c r="AD293" s="101" t="s">
        <v>85</v>
      </c>
      <c r="AE293" s="45">
        <v>45520.0</v>
      </c>
      <c r="AF293" s="102" t="s">
        <v>643</v>
      </c>
      <c r="AG293" s="101" t="s">
        <v>644</v>
      </c>
      <c r="AH293" s="101">
        <v>7.2014105E7</v>
      </c>
      <c r="AI293" s="102"/>
    </row>
    <row r="294" ht="15.75" customHeight="1">
      <c r="A294" s="101" t="s">
        <v>219</v>
      </c>
      <c r="B294" s="101" t="s">
        <v>62</v>
      </c>
      <c r="C294" s="101" t="s">
        <v>63</v>
      </c>
      <c r="D294" s="101">
        <v>2200310.0</v>
      </c>
      <c r="E294" s="102" t="s">
        <v>645</v>
      </c>
      <c r="F294" s="45">
        <v>45554.0</v>
      </c>
      <c r="G294" s="45">
        <v>45496.0</v>
      </c>
      <c r="H294" s="101" t="s">
        <v>83</v>
      </c>
      <c r="I294" s="101" t="s">
        <v>76</v>
      </c>
      <c r="J294" s="101">
        <v>100.0</v>
      </c>
      <c r="K294" s="65">
        <v>50.52</v>
      </c>
      <c r="L294" s="65">
        <v>5052.0</v>
      </c>
      <c r="M294" s="103">
        <v>0.2</v>
      </c>
      <c r="N294" s="65">
        <v>1010.4</v>
      </c>
      <c r="O294" s="65">
        <v>6062.4</v>
      </c>
      <c r="P294" s="101" t="s">
        <v>79</v>
      </c>
      <c r="Q294" s="65">
        <v>505.2</v>
      </c>
      <c r="R294" s="65">
        <v>6567.6</v>
      </c>
      <c r="S294" s="65">
        <v>3536.4</v>
      </c>
      <c r="T294" s="65">
        <v>2790.6</v>
      </c>
      <c r="U294" s="101" t="s">
        <v>85</v>
      </c>
      <c r="V294" s="45">
        <v>45519.0</v>
      </c>
      <c r="W294" s="65">
        <v>3255.7</v>
      </c>
      <c r="X294" s="101" t="s">
        <v>85</v>
      </c>
      <c r="Y294" s="45"/>
      <c r="Z294" s="65"/>
      <c r="AA294" s="101"/>
      <c r="AB294" s="45"/>
      <c r="AC294" s="65">
        <v>465.1</v>
      </c>
      <c r="AD294" s="101"/>
      <c r="AE294" s="45">
        <v>45558.0</v>
      </c>
      <c r="AF294" s="102" t="s">
        <v>584</v>
      </c>
      <c r="AG294" s="101" t="s">
        <v>379</v>
      </c>
      <c r="AH294" s="101">
        <v>8.1383779E7</v>
      </c>
      <c r="AI294" s="102" t="s">
        <v>585</v>
      </c>
    </row>
    <row r="295" ht="15.75" customHeight="1">
      <c r="A295" s="101" t="s">
        <v>61</v>
      </c>
      <c r="B295" s="101" t="s">
        <v>62</v>
      </c>
      <c r="C295" s="101" t="s">
        <v>63</v>
      </c>
      <c r="D295" s="101">
        <v>2200311.0</v>
      </c>
      <c r="E295" s="102" t="s">
        <v>646</v>
      </c>
      <c r="F295" s="45">
        <v>45510.0</v>
      </c>
      <c r="G295" s="45">
        <v>45498.0</v>
      </c>
      <c r="H295" s="101" t="s">
        <v>83</v>
      </c>
      <c r="I295" s="101" t="s">
        <v>76</v>
      </c>
      <c r="J295" s="101">
        <v>50.0</v>
      </c>
      <c r="K295" s="65">
        <v>29.0</v>
      </c>
      <c r="L295" s="65">
        <v>1450.0</v>
      </c>
      <c r="M295" s="103">
        <v>0.2</v>
      </c>
      <c r="N295" s="65">
        <v>290.0</v>
      </c>
      <c r="O295" s="65">
        <v>1740.0</v>
      </c>
      <c r="P295" s="101" t="s">
        <v>84</v>
      </c>
      <c r="Q295" s="65">
        <v>145.0</v>
      </c>
      <c r="R295" s="65">
        <v>1740.0</v>
      </c>
      <c r="S295" s="65">
        <v>1015.0</v>
      </c>
      <c r="T295" s="65">
        <v>1740.0</v>
      </c>
      <c r="U295" s="101" t="s">
        <v>85</v>
      </c>
      <c r="V295" s="45">
        <v>45572.0</v>
      </c>
      <c r="W295" s="65"/>
      <c r="X295" s="101"/>
      <c r="Y295" s="45"/>
      <c r="Z295" s="65"/>
      <c r="AA295" s="101"/>
      <c r="AB295" s="45"/>
      <c r="AC295" s="65"/>
      <c r="AD295" s="101"/>
      <c r="AE295" s="45"/>
      <c r="AF295" s="102"/>
      <c r="AG295" s="101"/>
      <c r="AH295" s="101"/>
      <c r="AI295" s="102"/>
    </row>
    <row r="296" ht="15.75" customHeight="1">
      <c r="A296" s="101" t="s">
        <v>61</v>
      </c>
      <c r="B296" s="101" t="s">
        <v>62</v>
      </c>
      <c r="C296" s="101" t="s">
        <v>251</v>
      </c>
      <c r="D296" s="101">
        <v>2200312.0</v>
      </c>
      <c r="E296" s="102" t="s">
        <v>647</v>
      </c>
      <c r="F296" s="45">
        <v>45511.0</v>
      </c>
      <c r="G296" s="45">
        <v>45498.0</v>
      </c>
      <c r="H296" s="101" t="s">
        <v>73</v>
      </c>
      <c r="I296" s="101" t="s">
        <v>76</v>
      </c>
      <c r="J296" s="101">
        <v>70.0</v>
      </c>
      <c r="K296" s="65">
        <v>37.75428571</v>
      </c>
      <c r="L296" s="65">
        <v>2642.8</v>
      </c>
      <c r="M296" s="103">
        <v>0.2</v>
      </c>
      <c r="N296" s="65">
        <v>528.56</v>
      </c>
      <c r="O296" s="65">
        <v>3171.36</v>
      </c>
      <c r="P296" s="101" t="s">
        <v>79</v>
      </c>
      <c r="Q296" s="65">
        <v>264.28</v>
      </c>
      <c r="R296" s="65">
        <v>3435.64</v>
      </c>
      <c r="S296" s="65">
        <v>1849.96</v>
      </c>
      <c r="T296" s="65">
        <v>1701.6</v>
      </c>
      <c r="U296" s="101" t="s">
        <v>80</v>
      </c>
      <c r="V296" s="45">
        <v>45498.0</v>
      </c>
      <c r="W296" s="65">
        <v>1734.04</v>
      </c>
      <c r="X296" s="101" t="s">
        <v>80</v>
      </c>
      <c r="Y296" s="45">
        <v>45506.0</v>
      </c>
      <c r="Z296" s="65"/>
      <c r="AA296" s="101"/>
      <c r="AB296" s="45"/>
      <c r="AC296" s="65">
        <v>264.28</v>
      </c>
      <c r="AD296" s="101" t="s">
        <v>80</v>
      </c>
      <c r="AE296" s="45">
        <v>45520.0</v>
      </c>
      <c r="AF296" s="102"/>
      <c r="AG296" s="101"/>
      <c r="AH296" s="101"/>
      <c r="AI296" s="102"/>
    </row>
    <row r="297" ht="15.75" customHeight="1">
      <c r="A297" s="101" t="s">
        <v>61</v>
      </c>
      <c r="B297" s="101" t="s">
        <v>62</v>
      </c>
      <c r="C297" s="101" t="s">
        <v>63</v>
      </c>
      <c r="D297" s="101">
        <v>2200313.0</v>
      </c>
      <c r="E297" s="102" t="s">
        <v>648</v>
      </c>
      <c r="F297" s="45">
        <v>45559.0</v>
      </c>
      <c r="G297" s="45">
        <v>45498.0</v>
      </c>
      <c r="H297" s="101" t="s">
        <v>83</v>
      </c>
      <c r="I297" s="101" t="s">
        <v>76</v>
      </c>
      <c r="J297" s="101">
        <v>50.0</v>
      </c>
      <c r="K297" s="65">
        <v>30.78</v>
      </c>
      <c r="L297" s="65">
        <v>1539.0</v>
      </c>
      <c r="M297" s="103">
        <v>0.2</v>
      </c>
      <c r="N297" s="65">
        <v>307.8</v>
      </c>
      <c r="O297" s="65">
        <v>1846.8</v>
      </c>
      <c r="P297" s="101" t="s">
        <v>79</v>
      </c>
      <c r="Q297" s="65">
        <v>153.9</v>
      </c>
      <c r="R297" s="65">
        <v>2000.7</v>
      </c>
      <c r="S297" s="65">
        <v>1077.3</v>
      </c>
      <c r="T297" s="65">
        <v>2000.7</v>
      </c>
      <c r="U297" s="101" t="s">
        <v>85</v>
      </c>
      <c r="V297" s="45">
        <v>45513.0</v>
      </c>
      <c r="W297" s="65"/>
      <c r="X297" s="101"/>
      <c r="Y297" s="45"/>
      <c r="Z297" s="65"/>
      <c r="AA297" s="101"/>
      <c r="AB297" s="45"/>
      <c r="AC297" s="65">
        <v>153.9</v>
      </c>
      <c r="AD297" s="101" t="s">
        <v>85</v>
      </c>
      <c r="AE297" s="45">
        <v>45580.0</v>
      </c>
      <c r="AF297" s="102" t="s">
        <v>649</v>
      </c>
      <c r="AG297" s="101" t="s">
        <v>650</v>
      </c>
      <c r="AH297" s="101" t="s">
        <v>651</v>
      </c>
      <c r="AI297" s="102"/>
    </row>
    <row r="298" ht="15.75" customHeight="1">
      <c r="A298" s="101" t="s">
        <v>61</v>
      </c>
      <c r="B298" s="101" t="s">
        <v>62</v>
      </c>
      <c r="C298" s="101" t="s">
        <v>251</v>
      </c>
      <c r="D298" s="101">
        <v>2200314.0</v>
      </c>
      <c r="E298" s="102" t="s">
        <v>652</v>
      </c>
      <c r="F298" s="45">
        <v>45535.0</v>
      </c>
      <c r="G298" s="45">
        <v>45503.0</v>
      </c>
      <c r="H298" s="101" t="s">
        <v>73</v>
      </c>
      <c r="I298" s="101" t="s">
        <v>76</v>
      </c>
      <c r="J298" s="101">
        <v>40.0</v>
      </c>
      <c r="K298" s="65">
        <v>18.4625</v>
      </c>
      <c r="L298" s="65">
        <v>738.5</v>
      </c>
      <c r="M298" s="103">
        <v>0.2</v>
      </c>
      <c r="N298" s="65">
        <v>147.7</v>
      </c>
      <c r="O298" s="65">
        <v>886.2</v>
      </c>
      <c r="P298" s="101" t="s">
        <v>84</v>
      </c>
      <c r="Q298" s="65">
        <v>73.85</v>
      </c>
      <c r="R298" s="65">
        <v>886.2</v>
      </c>
      <c r="S298" s="65">
        <v>516.95</v>
      </c>
      <c r="T298" s="65">
        <v>843.0</v>
      </c>
      <c r="U298" s="101" t="s">
        <v>80</v>
      </c>
      <c r="V298" s="45">
        <v>45509.0</v>
      </c>
      <c r="W298" s="65">
        <v>43.2</v>
      </c>
      <c r="X298" s="101" t="s">
        <v>80</v>
      </c>
      <c r="Y298" s="45">
        <v>45533.0</v>
      </c>
      <c r="Z298" s="65"/>
      <c r="AA298" s="101"/>
      <c r="AB298" s="45"/>
      <c r="AC298" s="65"/>
      <c r="AD298" s="101"/>
      <c r="AE298" s="45"/>
      <c r="AF298" s="102"/>
      <c r="AG298" s="101"/>
      <c r="AH298" s="101"/>
      <c r="AI298" s="102"/>
    </row>
    <row r="299" ht="15.75" customHeight="1">
      <c r="A299" s="101" t="s">
        <v>219</v>
      </c>
      <c r="B299" s="101" t="s">
        <v>62</v>
      </c>
      <c r="C299" s="101" t="s">
        <v>63</v>
      </c>
      <c r="D299" s="101">
        <v>2200315.0</v>
      </c>
      <c r="E299" s="102" t="s">
        <v>653</v>
      </c>
      <c r="F299" s="45">
        <v>45610.0</v>
      </c>
      <c r="G299" s="45">
        <v>45505.0</v>
      </c>
      <c r="H299" s="101" t="s">
        <v>73</v>
      </c>
      <c r="I299" s="101" t="s">
        <v>76</v>
      </c>
      <c r="J299" s="101">
        <v>40.0</v>
      </c>
      <c r="K299" s="65">
        <v>63.765</v>
      </c>
      <c r="L299" s="65">
        <v>2550.6</v>
      </c>
      <c r="M299" s="103">
        <v>0.2</v>
      </c>
      <c r="N299" s="65">
        <v>510.12</v>
      </c>
      <c r="O299" s="65">
        <v>3060.72</v>
      </c>
      <c r="P299" s="101" t="s">
        <v>79</v>
      </c>
      <c r="Q299" s="65">
        <v>255.06</v>
      </c>
      <c r="R299" s="65">
        <v>3315.78</v>
      </c>
      <c r="S299" s="65">
        <v>1785.42</v>
      </c>
      <c r="T299" s="65">
        <v>1928.25</v>
      </c>
      <c r="U299" s="101" t="s">
        <v>80</v>
      </c>
      <c r="V299" s="45">
        <v>45516.0</v>
      </c>
      <c r="W299" s="65">
        <v>2190.73</v>
      </c>
      <c r="X299" s="101" t="s">
        <v>80</v>
      </c>
      <c r="Y299" s="45">
        <v>45602.0</v>
      </c>
      <c r="Z299" s="65"/>
      <c r="AA299" s="101"/>
      <c r="AB299" s="45"/>
      <c r="AC299" s="65">
        <v>457.25</v>
      </c>
      <c r="AD299" s="101" t="s">
        <v>80</v>
      </c>
      <c r="AE299" s="45">
        <v>45612.0</v>
      </c>
      <c r="AF299" s="102"/>
      <c r="AG299" s="101"/>
      <c r="AH299" s="101"/>
      <c r="AI299" s="102"/>
    </row>
    <row r="300" ht="15.75" customHeight="1">
      <c r="A300" s="101" t="s">
        <v>61</v>
      </c>
      <c r="B300" s="101" t="s">
        <v>62</v>
      </c>
      <c r="C300" s="101" t="s">
        <v>251</v>
      </c>
      <c r="D300" s="101">
        <v>2200316.0</v>
      </c>
      <c r="E300" s="102" t="s">
        <v>596</v>
      </c>
      <c r="F300" s="45">
        <v>45538.0</v>
      </c>
      <c r="G300" s="45">
        <v>45509.0</v>
      </c>
      <c r="H300" s="101" t="s">
        <v>83</v>
      </c>
      <c r="I300" s="101" t="s">
        <v>76</v>
      </c>
      <c r="J300" s="101">
        <v>130.0</v>
      </c>
      <c r="K300" s="65">
        <v>51.32846154</v>
      </c>
      <c r="L300" s="65">
        <v>6672.7</v>
      </c>
      <c r="M300" s="103">
        <v>0.2</v>
      </c>
      <c r="N300" s="65">
        <v>1334.54</v>
      </c>
      <c r="O300" s="65">
        <v>8007.24</v>
      </c>
      <c r="P300" s="101" t="s">
        <v>79</v>
      </c>
      <c r="Q300" s="65">
        <v>667.27</v>
      </c>
      <c r="R300" s="65">
        <v>8674.51</v>
      </c>
      <c r="S300" s="65">
        <v>4670.89</v>
      </c>
      <c r="T300" s="65">
        <v>8807.96</v>
      </c>
      <c r="U300" s="101" t="s">
        <v>85</v>
      </c>
      <c r="V300" s="45">
        <v>45523.0</v>
      </c>
      <c r="W300" s="65"/>
      <c r="X300" s="101"/>
      <c r="Y300" s="45"/>
      <c r="Z300" s="65"/>
      <c r="AA300" s="101"/>
      <c r="AB300" s="45"/>
      <c r="AC300" s="65">
        <v>800.72</v>
      </c>
      <c r="AD300" s="101" t="s">
        <v>85</v>
      </c>
      <c r="AE300" s="45">
        <v>45549.0</v>
      </c>
      <c r="AF300" s="102" t="s">
        <v>654</v>
      </c>
      <c r="AG300" s="101" t="s">
        <v>655</v>
      </c>
      <c r="AH300" s="101" t="s">
        <v>656</v>
      </c>
      <c r="AI300" s="102"/>
    </row>
    <row r="301" ht="15.75" customHeight="1">
      <c r="A301" s="101" t="s">
        <v>61</v>
      </c>
      <c r="B301" s="101" t="s">
        <v>62</v>
      </c>
      <c r="C301" s="101" t="s">
        <v>63</v>
      </c>
      <c r="D301" s="101">
        <v>2200317.0</v>
      </c>
      <c r="E301" s="102" t="s">
        <v>657</v>
      </c>
      <c r="F301" s="45">
        <v>45533.0</v>
      </c>
      <c r="G301" s="45">
        <v>45511.0</v>
      </c>
      <c r="H301" s="101" t="s">
        <v>73</v>
      </c>
      <c r="I301" s="101" t="s">
        <v>76</v>
      </c>
      <c r="J301" s="101">
        <v>14.0</v>
      </c>
      <c r="K301" s="65">
        <v>117.1785714</v>
      </c>
      <c r="L301" s="65">
        <v>1640.5</v>
      </c>
      <c r="M301" s="103">
        <v>0.2</v>
      </c>
      <c r="N301" s="65">
        <v>328.1</v>
      </c>
      <c r="O301" s="65">
        <v>1968.6</v>
      </c>
      <c r="P301" s="101" t="s">
        <v>79</v>
      </c>
      <c r="Q301" s="65">
        <v>164.05</v>
      </c>
      <c r="R301" s="65">
        <v>2132.65</v>
      </c>
      <c r="S301" s="65">
        <v>1148.35</v>
      </c>
      <c r="T301" s="65">
        <v>2132.65</v>
      </c>
      <c r="U301" s="101" t="s">
        <v>80</v>
      </c>
      <c r="V301" s="45">
        <v>45516.0</v>
      </c>
      <c r="W301" s="65"/>
      <c r="X301" s="101"/>
      <c r="Y301" s="45"/>
      <c r="Z301" s="65"/>
      <c r="AA301" s="101"/>
      <c r="AB301" s="45"/>
      <c r="AC301" s="65">
        <v>164.05</v>
      </c>
      <c r="AD301" s="101" t="s">
        <v>80</v>
      </c>
      <c r="AE301" s="45">
        <v>45538.0</v>
      </c>
      <c r="AF301" s="102"/>
      <c r="AG301" s="101"/>
      <c r="AH301" s="101"/>
      <c r="AI301" s="102"/>
    </row>
    <row r="302" ht="15.75" customHeight="1">
      <c r="A302" s="101" t="s">
        <v>61</v>
      </c>
      <c r="B302" s="101" t="s">
        <v>62</v>
      </c>
      <c r="C302" s="101" t="s">
        <v>251</v>
      </c>
      <c r="D302" s="101">
        <v>2200318.0</v>
      </c>
      <c r="E302" s="102" t="s">
        <v>658</v>
      </c>
      <c r="F302" s="45">
        <v>45578.0</v>
      </c>
      <c r="G302" s="45">
        <v>45511.0</v>
      </c>
      <c r="H302" s="101" t="s">
        <v>83</v>
      </c>
      <c r="I302" s="101" t="s">
        <v>76</v>
      </c>
      <c r="J302" s="101">
        <v>30.0</v>
      </c>
      <c r="K302" s="65">
        <v>80.55</v>
      </c>
      <c r="L302" s="65">
        <v>2416.5</v>
      </c>
      <c r="M302" s="103">
        <v>0.2</v>
      </c>
      <c r="N302" s="65">
        <v>483.3</v>
      </c>
      <c r="O302" s="65">
        <v>2899.8</v>
      </c>
      <c r="P302" s="101" t="s">
        <v>79</v>
      </c>
      <c r="Q302" s="65">
        <v>241.65</v>
      </c>
      <c r="R302" s="65">
        <v>3141.45</v>
      </c>
      <c r="S302" s="65">
        <v>1691.55</v>
      </c>
      <c r="T302" s="65">
        <v>1449.9</v>
      </c>
      <c r="U302" s="101" t="s">
        <v>85</v>
      </c>
      <c r="V302" s="45">
        <v>45511.0</v>
      </c>
      <c r="W302" s="65">
        <v>1691.55</v>
      </c>
      <c r="X302" s="101" t="s">
        <v>85</v>
      </c>
      <c r="Y302" s="45"/>
      <c r="Z302" s="65"/>
      <c r="AA302" s="101"/>
      <c r="AB302" s="45"/>
      <c r="AC302" s="65">
        <v>146.58</v>
      </c>
      <c r="AD302" s="101" t="s">
        <v>85</v>
      </c>
      <c r="AE302" s="45">
        <v>45580.0</v>
      </c>
      <c r="AF302" s="102" t="s">
        <v>659</v>
      </c>
      <c r="AG302" s="101" t="s">
        <v>660</v>
      </c>
      <c r="AH302" s="101" t="s">
        <v>661</v>
      </c>
      <c r="AI302" s="102" t="s">
        <v>662</v>
      </c>
    </row>
    <row r="303" ht="15.75" customHeight="1">
      <c r="A303" s="101" t="s">
        <v>61</v>
      </c>
      <c r="B303" s="101" t="s">
        <v>62</v>
      </c>
      <c r="C303" s="101" t="s">
        <v>63</v>
      </c>
      <c r="D303" s="101">
        <v>2200319.0</v>
      </c>
      <c r="E303" s="102" t="s">
        <v>663</v>
      </c>
      <c r="F303" s="45">
        <v>45533.0</v>
      </c>
      <c r="G303" s="45">
        <v>45523.0</v>
      </c>
      <c r="H303" s="101" t="s">
        <v>73</v>
      </c>
      <c r="I303" s="101" t="s">
        <v>76</v>
      </c>
      <c r="J303" s="101">
        <v>50.0</v>
      </c>
      <c r="K303" s="65">
        <v>78.935</v>
      </c>
      <c r="L303" s="65">
        <v>3946.75</v>
      </c>
      <c r="M303" s="103">
        <v>0.2</v>
      </c>
      <c r="N303" s="65">
        <v>789.35</v>
      </c>
      <c r="O303" s="65">
        <v>4736.1</v>
      </c>
      <c r="P303" s="101" t="s">
        <v>79</v>
      </c>
      <c r="Q303" s="65">
        <v>394.675</v>
      </c>
      <c r="R303" s="65">
        <v>5130.775</v>
      </c>
      <c r="S303" s="65">
        <v>2762.725</v>
      </c>
      <c r="T303" s="65">
        <v>5130.77</v>
      </c>
      <c r="U303" s="101" t="s">
        <v>80</v>
      </c>
      <c r="V303" s="45">
        <v>45523.0</v>
      </c>
      <c r="W303" s="65"/>
      <c r="X303" s="101"/>
      <c r="Y303" s="45"/>
      <c r="Z303" s="65"/>
      <c r="AA303" s="101"/>
      <c r="AB303" s="45"/>
      <c r="AC303" s="65">
        <v>257.87</v>
      </c>
      <c r="AD303" s="101" t="s">
        <v>80</v>
      </c>
      <c r="AE303" s="45">
        <v>45538.0</v>
      </c>
      <c r="AF303" s="102"/>
      <c r="AG303" s="101"/>
      <c r="AH303" s="101"/>
      <c r="AI303" s="102"/>
    </row>
    <row r="304" ht="15.75" customHeight="1">
      <c r="A304" s="101" t="s">
        <v>61</v>
      </c>
      <c r="B304" s="101" t="s">
        <v>62</v>
      </c>
      <c r="C304" s="101" t="s">
        <v>63</v>
      </c>
      <c r="D304" s="101">
        <v>2200320.0</v>
      </c>
      <c r="E304" s="102" t="s">
        <v>664</v>
      </c>
      <c r="F304" s="45">
        <v>45537.0</v>
      </c>
      <c r="G304" s="45">
        <v>45520.0</v>
      </c>
      <c r="H304" s="101" t="s">
        <v>73</v>
      </c>
      <c r="I304" s="101" t="s">
        <v>76</v>
      </c>
      <c r="J304" s="101">
        <v>32.0</v>
      </c>
      <c r="K304" s="65">
        <v>94.45</v>
      </c>
      <c r="L304" s="65">
        <v>3022.4</v>
      </c>
      <c r="M304" s="103">
        <v>0.2</v>
      </c>
      <c r="N304" s="65">
        <v>604.48</v>
      </c>
      <c r="O304" s="65">
        <v>3626.88</v>
      </c>
      <c r="P304" s="101" t="s">
        <v>79</v>
      </c>
      <c r="Q304" s="65">
        <v>302.24</v>
      </c>
      <c r="R304" s="65">
        <v>3929.12</v>
      </c>
      <c r="S304" s="65">
        <v>2115.68</v>
      </c>
      <c r="T304" s="65">
        <v>3929.12</v>
      </c>
      <c r="U304" s="101" t="s">
        <v>80</v>
      </c>
      <c r="V304" s="45">
        <v>45520.0</v>
      </c>
      <c r="W304" s="65"/>
      <c r="X304" s="101"/>
      <c r="Y304" s="45"/>
      <c r="Z304" s="65"/>
      <c r="AA304" s="101"/>
      <c r="AB304" s="45"/>
      <c r="AC304" s="65">
        <v>303.89</v>
      </c>
      <c r="AD304" s="101" t="s">
        <v>80</v>
      </c>
      <c r="AE304" s="45">
        <v>45545.0</v>
      </c>
      <c r="AF304" s="102"/>
      <c r="AG304" s="101"/>
      <c r="AH304" s="101"/>
      <c r="AI304" s="102"/>
    </row>
    <row r="305" ht="15.75" customHeight="1">
      <c r="A305" s="101" t="s">
        <v>219</v>
      </c>
      <c r="B305" s="101" t="s">
        <v>62</v>
      </c>
      <c r="C305" s="101" t="s">
        <v>63</v>
      </c>
      <c r="D305" s="101">
        <v>2200321.0</v>
      </c>
      <c r="E305" s="102" t="s">
        <v>387</v>
      </c>
      <c r="F305" s="45">
        <v>45540.0</v>
      </c>
      <c r="G305" s="45">
        <v>45520.0</v>
      </c>
      <c r="H305" s="101" t="s">
        <v>83</v>
      </c>
      <c r="I305" s="101" t="s">
        <v>76</v>
      </c>
      <c r="J305" s="101">
        <v>50.0</v>
      </c>
      <c r="K305" s="65">
        <v>33.03</v>
      </c>
      <c r="L305" s="65">
        <v>1651.5</v>
      </c>
      <c r="M305" s="103">
        <v>0.2</v>
      </c>
      <c r="N305" s="65">
        <v>330.3</v>
      </c>
      <c r="O305" s="65">
        <v>1981.8</v>
      </c>
      <c r="P305" s="101" t="s">
        <v>79</v>
      </c>
      <c r="Q305" s="65">
        <v>165.15</v>
      </c>
      <c r="R305" s="65">
        <v>2146.95</v>
      </c>
      <c r="S305" s="65">
        <v>1156.05</v>
      </c>
      <c r="T305" s="65">
        <v>2146.95</v>
      </c>
      <c r="U305" s="101" t="s">
        <v>85</v>
      </c>
      <c r="V305" s="45">
        <v>45534.0</v>
      </c>
      <c r="W305" s="65"/>
      <c r="X305" s="101"/>
      <c r="Y305" s="45"/>
      <c r="Z305" s="65"/>
      <c r="AA305" s="101"/>
      <c r="AB305" s="45"/>
      <c r="AC305" s="65">
        <v>165.15</v>
      </c>
      <c r="AD305" s="101"/>
      <c r="AE305" s="45">
        <v>45572.0</v>
      </c>
      <c r="AF305" s="102" t="s">
        <v>665</v>
      </c>
      <c r="AG305" s="101" t="s">
        <v>275</v>
      </c>
      <c r="AH305" s="101">
        <v>2.3605884E7</v>
      </c>
      <c r="AI305" s="102" t="s">
        <v>666</v>
      </c>
    </row>
    <row r="306" ht="15.75" customHeight="1">
      <c r="A306" s="101" t="s">
        <v>61</v>
      </c>
      <c r="B306" s="101" t="s">
        <v>62</v>
      </c>
      <c r="C306" s="101" t="s">
        <v>63</v>
      </c>
      <c r="D306" s="101">
        <v>2200322.0</v>
      </c>
      <c r="E306" s="102" t="s">
        <v>639</v>
      </c>
      <c r="F306" s="45">
        <v>45525.0</v>
      </c>
      <c r="G306" s="45">
        <v>45522.0</v>
      </c>
      <c r="H306" s="101" t="s">
        <v>83</v>
      </c>
      <c r="I306" s="101" t="s">
        <v>76</v>
      </c>
      <c r="J306" s="101">
        <v>55.0</v>
      </c>
      <c r="K306" s="65">
        <v>54.84</v>
      </c>
      <c r="L306" s="65">
        <v>3016.2</v>
      </c>
      <c r="M306" s="103">
        <v>0.2</v>
      </c>
      <c r="N306" s="65">
        <v>603.24</v>
      </c>
      <c r="O306" s="65">
        <v>3619.44</v>
      </c>
      <c r="P306" s="101" t="s">
        <v>79</v>
      </c>
      <c r="Q306" s="65">
        <v>301.62</v>
      </c>
      <c r="R306" s="65">
        <v>3921.06</v>
      </c>
      <c r="S306" s="65">
        <v>2111.34</v>
      </c>
      <c r="T306" s="65">
        <v>2547.93</v>
      </c>
      <c r="U306" s="101" t="s">
        <v>85</v>
      </c>
      <c r="V306" s="45">
        <v>45523.0</v>
      </c>
      <c r="W306" s="65">
        <v>1267.5</v>
      </c>
      <c r="X306" s="101" t="s">
        <v>85</v>
      </c>
      <c r="Y306" s="45"/>
      <c r="Z306" s="65"/>
      <c r="AA306" s="101"/>
      <c r="AB306" s="45"/>
      <c r="AC306" s="65">
        <v>195.99</v>
      </c>
      <c r="AD306" s="101"/>
      <c r="AE306" s="45"/>
      <c r="AF306" s="102" t="s">
        <v>667</v>
      </c>
      <c r="AG306" s="101"/>
      <c r="AH306" s="101"/>
      <c r="AI306" s="102"/>
    </row>
    <row r="307" ht="15.75" customHeight="1">
      <c r="A307" s="101" t="s">
        <v>61</v>
      </c>
      <c r="B307" s="101" t="s">
        <v>62</v>
      </c>
      <c r="C307" s="101" t="s">
        <v>63</v>
      </c>
      <c r="D307" s="101">
        <v>2200323.0</v>
      </c>
      <c r="E307" s="102" t="s">
        <v>155</v>
      </c>
      <c r="F307" s="45">
        <v>45545.0</v>
      </c>
      <c r="G307" s="45">
        <v>45523.0</v>
      </c>
      <c r="H307" s="101" t="s">
        <v>83</v>
      </c>
      <c r="I307" s="101" t="s">
        <v>76</v>
      </c>
      <c r="J307" s="101">
        <v>60.0</v>
      </c>
      <c r="K307" s="65">
        <v>51.91833333</v>
      </c>
      <c r="L307" s="65">
        <v>3115.1</v>
      </c>
      <c r="M307" s="103">
        <v>0.2</v>
      </c>
      <c r="N307" s="65">
        <v>623.02</v>
      </c>
      <c r="O307" s="65">
        <v>3738.12</v>
      </c>
      <c r="P307" s="101" t="s">
        <v>79</v>
      </c>
      <c r="Q307" s="65">
        <v>311.51</v>
      </c>
      <c r="R307" s="65">
        <v>4049.63</v>
      </c>
      <c r="S307" s="65">
        <v>2180.57</v>
      </c>
      <c r="T307" s="65">
        <v>4049.63</v>
      </c>
      <c r="U307" s="101" t="s">
        <v>85</v>
      </c>
      <c r="V307" s="45">
        <v>45527.0</v>
      </c>
      <c r="W307" s="65"/>
      <c r="X307" s="101"/>
      <c r="Y307" s="45"/>
      <c r="Z307" s="65"/>
      <c r="AA307" s="101"/>
      <c r="AB307" s="45"/>
      <c r="AC307" s="65">
        <v>899.39</v>
      </c>
      <c r="AD307" s="101"/>
      <c r="AE307" s="45">
        <v>45549.0</v>
      </c>
      <c r="AF307" s="102" t="s">
        <v>206</v>
      </c>
      <c r="AG307" s="101" t="s">
        <v>207</v>
      </c>
      <c r="AH307" s="101">
        <v>6.5005749E7</v>
      </c>
      <c r="AI307" s="102"/>
    </row>
    <row r="308" ht="15.75" customHeight="1">
      <c r="A308" s="101" t="s">
        <v>61</v>
      </c>
      <c r="B308" s="101" t="s">
        <v>62</v>
      </c>
      <c r="C308" s="101" t="s">
        <v>63</v>
      </c>
      <c r="D308" s="101">
        <v>2200324.0</v>
      </c>
      <c r="E308" s="102" t="s">
        <v>668</v>
      </c>
      <c r="F308" s="45">
        <v>45553.0</v>
      </c>
      <c r="G308" s="45">
        <v>45524.0</v>
      </c>
      <c r="H308" s="101" t="s">
        <v>73</v>
      </c>
      <c r="I308" s="101" t="s">
        <v>76</v>
      </c>
      <c r="J308" s="101">
        <v>100.0</v>
      </c>
      <c r="K308" s="65">
        <v>72.579</v>
      </c>
      <c r="L308" s="65">
        <v>7257.9</v>
      </c>
      <c r="M308" s="103">
        <v>0.2</v>
      </c>
      <c r="N308" s="65">
        <v>1451.58</v>
      </c>
      <c r="O308" s="65">
        <v>8709.48</v>
      </c>
      <c r="P308" s="101" t="s">
        <v>79</v>
      </c>
      <c r="Q308" s="65">
        <v>725.79</v>
      </c>
      <c r="R308" s="65">
        <v>9435.27</v>
      </c>
      <c r="S308" s="65">
        <v>5080.53</v>
      </c>
      <c r="T308" s="65">
        <v>3725.34</v>
      </c>
      <c r="U308" s="101" t="s">
        <v>80</v>
      </c>
      <c r="V308" s="45">
        <v>45524.0</v>
      </c>
      <c r="W308" s="65">
        <v>5315.86</v>
      </c>
      <c r="X308" s="101" t="s">
        <v>80</v>
      </c>
      <c r="Y308" s="45">
        <v>45544.0</v>
      </c>
      <c r="Z308" s="65"/>
      <c r="AA308" s="101"/>
      <c r="AB308" s="45"/>
      <c r="AC308" s="65">
        <v>866.19</v>
      </c>
      <c r="AD308" s="101" t="s">
        <v>80</v>
      </c>
      <c r="AE308" s="45"/>
      <c r="AF308" s="102"/>
      <c r="AG308" s="101"/>
      <c r="AH308" s="101"/>
      <c r="AI308" s="102"/>
    </row>
    <row r="309" ht="15.75" customHeight="1">
      <c r="A309" s="101" t="s">
        <v>61</v>
      </c>
      <c r="B309" s="101" t="s">
        <v>62</v>
      </c>
      <c r="C309" s="101" t="s">
        <v>251</v>
      </c>
      <c r="D309" s="101">
        <v>2200325.0</v>
      </c>
      <c r="E309" s="102" t="s">
        <v>440</v>
      </c>
      <c r="F309" s="45">
        <v>45535.0</v>
      </c>
      <c r="G309" s="45">
        <v>45524.0</v>
      </c>
      <c r="H309" s="101" t="s">
        <v>83</v>
      </c>
      <c r="I309" s="101" t="s">
        <v>76</v>
      </c>
      <c r="J309" s="101">
        <v>25.0</v>
      </c>
      <c r="K309" s="65">
        <v>33.16</v>
      </c>
      <c r="L309" s="65">
        <v>829.0</v>
      </c>
      <c r="M309" s="103">
        <v>0.2</v>
      </c>
      <c r="N309" s="65">
        <v>165.8</v>
      </c>
      <c r="O309" s="65">
        <v>994.8</v>
      </c>
      <c r="P309" s="101" t="s">
        <v>84</v>
      </c>
      <c r="Q309" s="65">
        <v>82.9</v>
      </c>
      <c r="R309" s="65">
        <v>994.8</v>
      </c>
      <c r="S309" s="65">
        <v>580.3</v>
      </c>
      <c r="T309" s="65">
        <v>994.8</v>
      </c>
      <c r="U309" s="101" t="s">
        <v>80</v>
      </c>
      <c r="V309" s="45">
        <v>45524.0</v>
      </c>
      <c r="W309" s="65"/>
      <c r="X309" s="101"/>
      <c r="Y309" s="45"/>
      <c r="Z309" s="65"/>
      <c r="AA309" s="101"/>
      <c r="AB309" s="45"/>
      <c r="AC309" s="65"/>
      <c r="AD309" s="101"/>
      <c r="AE309" s="45"/>
      <c r="AF309" s="102"/>
      <c r="AG309" s="101"/>
      <c r="AH309" s="101"/>
      <c r="AI309" s="102"/>
    </row>
    <row r="310" ht="15.75" customHeight="1">
      <c r="A310" s="101" t="s">
        <v>61</v>
      </c>
      <c r="B310" s="101" t="s">
        <v>62</v>
      </c>
      <c r="C310" s="101" t="s">
        <v>251</v>
      </c>
      <c r="D310" s="101">
        <v>2200326.0</v>
      </c>
      <c r="E310" s="102" t="s">
        <v>670</v>
      </c>
      <c r="F310" s="45">
        <v>45532.0</v>
      </c>
      <c r="G310" s="45">
        <v>45525.0</v>
      </c>
      <c r="H310" s="101" t="s">
        <v>73</v>
      </c>
      <c r="I310" s="101" t="s">
        <v>76</v>
      </c>
      <c r="J310" s="101">
        <v>70.0</v>
      </c>
      <c r="K310" s="65">
        <v>75.15357143</v>
      </c>
      <c r="L310" s="65">
        <v>5260.75</v>
      </c>
      <c r="M310" s="103">
        <v>0.2</v>
      </c>
      <c r="N310" s="65">
        <v>1052.15</v>
      </c>
      <c r="O310" s="65">
        <v>6312.9</v>
      </c>
      <c r="P310" s="101" t="s">
        <v>79</v>
      </c>
      <c r="Q310" s="65">
        <v>526.075</v>
      </c>
      <c r="R310" s="65">
        <v>6838.975</v>
      </c>
      <c r="S310" s="65">
        <v>3682.525</v>
      </c>
      <c r="T310" s="65">
        <v>6838.97</v>
      </c>
      <c r="U310" s="101" t="s">
        <v>80</v>
      </c>
      <c r="V310" s="45">
        <v>45525.0</v>
      </c>
      <c r="W310" s="65"/>
      <c r="X310" s="101"/>
      <c r="Y310" s="45"/>
      <c r="Z310" s="65"/>
      <c r="AA310" s="101"/>
      <c r="AB310" s="45"/>
      <c r="AC310" s="65">
        <v>526.07</v>
      </c>
      <c r="AD310" s="101" t="s">
        <v>80</v>
      </c>
      <c r="AE310" s="45">
        <v>45538.0</v>
      </c>
      <c r="AF310" s="102"/>
      <c r="AG310" s="101"/>
      <c r="AH310" s="101"/>
      <c r="AI310" s="102"/>
    </row>
    <row r="311" ht="15.75" customHeight="1">
      <c r="A311" s="101" t="s">
        <v>61</v>
      </c>
      <c r="B311" s="101" t="s">
        <v>62</v>
      </c>
      <c r="C311" s="101" t="s">
        <v>63</v>
      </c>
      <c r="D311" s="101">
        <v>2200327.0</v>
      </c>
      <c r="E311" s="102" t="s">
        <v>432</v>
      </c>
      <c r="F311" s="45">
        <v>45608.0</v>
      </c>
      <c r="G311" s="45">
        <v>45526.0</v>
      </c>
      <c r="H311" s="101" t="s">
        <v>83</v>
      </c>
      <c r="I311" s="101" t="s">
        <v>76</v>
      </c>
      <c r="J311" s="101">
        <v>50.0</v>
      </c>
      <c r="K311" s="65">
        <v>41.577</v>
      </c>
      <c r="L311" s="65">
        <v>2078.85</v>
      </c>
      <c r="M311" s="103">
        <v>0.2</v>
      </c>
      <c r="N311" s="65">
        <v>415.77</v>
      </c>
      <c r="O311" s="65">
        <v>2494.62</v>
      </c>
      <c r="P311" s="101" t="s">
        <v>79</v>
      </c>
      <c r="Q311" s="65">
        <v>207.885</v>
      </c>
      <c r="R311" s="65">
        <v>2702.505</v>
      </c>
      <c r="S311" s="65">
        <v>1455.195</v>
      </c>
      <c r="T311" s="65">
        <v>1077.9</v>
      </c>
      <c r="U311" s="101" t="s">
        <v>80</v>
      </c>
      <c r="V311" s="45">
        <v>45526.0</v>
      </c>
      <c r="W311" s="65">
        <v>1624.6</v>
      </c>
      <c r="X311" s="101" t="s">
        <v>85</v>
      </c>
      <c r="Y311" s="45">
        <v>45596.0</v>
      </c>
      <c r="Z311" s="65"/>
      <c r="AA311" s="101"/>
      <c r="AB311" s="45"/>
      <c r="AC311" s="65">
        <v>481.84</v>
      </c>
      <c r="AD311" s="101" t="s">
        <v>80</v>
      </c>
      <c r="AE311" s="45">
        <v>45609.0</v>
      </c>
      <c r="AF311" s="102"/>
      <c r="AG311" s="101"/>
      <c r="AH311" s="101"/>
      <c r="AI311" s="102"/>
    </row>
    <row r="312" ht="15.75" customHeight="1">
      <c r="A312" s="101" t="s">
        <v>61</v>
      </c>
      <c r="B312" s="101" t="s">
        <v>62</v>
      </c>
      <c r="C312" s="101" t="s">
        <v>63</v>
      </c>
      <c r="D312" s="101">
        <v>2200328.0</v>
      </c>
      <c r="E312" s="102" t="s">
        <v>639</v>
      </c>
      <c r="F312" s="45">
        <v>45559.0</v>
      </c>
      <c r="G312" s="45">
        <v>45557.0</v>
      </c>
      <c r="H312" s="101" t="s">
        <v>83</v>
      </c>
      <c r="I312" s="101" t="s">
        <v>76</v>
      </c>
      <c r="J312" s="101">
        <v>15.0</v>
      </c>
      <c r="K312" s="65">
        <v>98.94666667</v>
      </c>
      <c r="L312" s="65">
        <v>1484.2</v>
      </c>
      <c r="M312" s="103">
        <v>0.2</v>
      </c>
      <c r="N312" s="65">
        <v>296.84</v>
      </c>
      <c r="O312" s="65">
        <v>1781.04</v>
      </c>
      <c r="P312" s="101" t="s">
        <v>79</v>
      </c>
      <c r="Q312" s="65">
        <v>148.42</v>
      </c>
      <c r="R312" s="65">
        <v>1929.46</v>
      </c>
      <c r="S312" s="65">
        <v>1038.94</v>
      </c>
      <c r="T312" s="65">
        <v>890.52</v>
      </c>
      <c r="U312" s="101" t="s">
        <v>80</v>
      </c>
      <c r="V312" s="45">
        <v>45526.0</v>
      </c>
      <c r="W312" s="65">
        <v>860.84</v>
      </c>
      <c r="X312" s="101" t="s">
        <v>85</v>
      </c>
      <c r="Y312" s="45">
        <v>45551.0</v>
      </c>
      <c r="Z312" s="65"/>
      <c r="AA312" s="101"/>
      <c r="AB312" s="45"/>
      <c r="AC312" s="65">
        <v>148.42</v>
      </c>
      <c r="AD312" s="101"/>
      <c r="AE312" s="45"/>
      <c r="AF312" s="102" t="s">
        <v>671</v>
      </c>
      <c r="AG312" s="101"/>
      <c r="AH312" s="101"/>
      <c r="AI312" s="102"/>
    </row>
    <row r="313" ht="15.75" customHeight="1">
      <c r="A313" s="101" t="s">
        <v>61</v>
      </c>
      <c r="B313" s="101" t="s">
        <v>62</v>
      </c>
      <c r="C313" s="101" t="s">
        <v>63</v>
      </c>
      <c r="D313" s="101">
        <v>2200329.0</v>
      </c>
      <c r="E313" s="102" t="s">
        <v>672</v>
      </c>
      <c r="F313" s="45">
        <v>45559.0</v>
      </c>
      <c r="G313" s="45">
        <v>45557.0</v>
      </c>
      <c r="H313" s="101" t="s">
        <v>73</v>
      </c>
      <c r="I313" s="101" t="s">
        <v>76</v>
      </c>
      <c r="J313" s="101">
        <v>65.0</v>
      </c>
      <c r="K313" s="65">
        <v>150.9741538</v>
      </c>
      <c r="L313" s="65">
        <v>9813.32</v>
      </c>
      <c r="M313" s="103">
        <v>0.2</v>
      </c>
      <c r="N313" s="65">
        <v>1962.664</v>
      </c>
      <c r="O313" s="65">
        <v>11775.984</v>
      </c>
      <c r="P313" s="101" t="s">
        <v>79</v>
      </c>
      <c r="Q313" s="65">
        <v>981.332</v>
      </c>
      <c r="R313" s="65">
        <v>12757.316</v>
      </c>
      <c r="S313" s="65">
        <v>6869.324</v>
      </c>
      <c r="T313" s="65">
        <v>12291.92</v>
      </c>
      <c r="U313" s="101" t="s">
        <v>80</v>
      </c>
      <c r="V313" s="45"/>
      <c r="W313" s="65"/>
      <c r="X313" s="101"/>
      <c r="Y313" s="45"/>
      <c r="Z313" s="65"/>
      <c r="AA313" s="101"/>
      <c r="AB313" s="45"/>
      <c r="AC313" s="65">
        <v>1804.98</v>
      </c>
      <c r="AD313" s="101"/>
      <c r="AE313" s="45"/>
      <c r="AF313" s="102"/>
      <c r="AG313" s="101"/>
      <c r="AH313" s="101"/>
      <c r="AI313" s="102"/>
    </row>
    <row r="314" ht="15.75" customHeight="1">
      <c r="A314" s="101" t="s">
        <v>61</v>
      </c>
      <c r="B314" s="101" t="s">
        <v>62</v>
      </c>
      <c r="C314" s="101" t="s">
        <v>63</v>
      </c>
      <c r="D314" s="101">
        <v>2200330.0</v>
      </c>
      <c r="E314" s="102" t="s">
        <v>413</v>
      </c>
      <c r="F314" s="45">
        <v>45545.0</v>
      </c>
      <c r="G314" s="45">
        <v>45527.0</v>
      </c>
      <c r="H314" s="101" t="s">
        <v>73</v>
      </c>
      <c r="I314" s="101" t="s">
        <v>76</v>
      </c>
      <c r="J314" s="101">
        <v>12.0</v>
      </c>
      <c r="K314" s="65">
        <v>159.1916667</v>
      </c>
      <c r="L314" s="65">
        <v>1910.3</v>
      </c>
      <c r="M314" s="103">
        <v>0.2</v>
      </c>
      <c r="N314" s="65">
        <v>382.06</v>
      </c>
      <c r="O314" s="65">
        <v>2292.36</v>
      </c>
      <c r="P314" s="101" t="s">
        <v>79</v>
      </c>
      <c r="Q314" s="65">
        <v>191.03</v>
      </c>
      <c r="R314" s="65">
        <v>2483.39</v>
      </c>
      <c r="S314" s="65">
        <v>1337.21</v>
      </c>
      <c r="T314" s="65">
        <v>2483.39</v>
      </c>
      <c r="U314" s="101" t="s">
        <v>80</v>
      </c>
      <c r="V314" s="45">
        <v>45540.0</v>
      </c>
      <c r="W314" s="65"/>
      <c r="X314" s="101"/>
      <c r="Y314" s="45"/>
      <c r="Z314" s="65"/>
      <c r="AA314" s="101"/>
      <c r="AB314" s="45"/>
      <c r="AC314" s="65">
        <v>191.03</v>
      </c>
      <c r="AD314" s="101" t="s">
        <v>80</v>
      </c>
      <c r="AE314" s="45">
        <v>45546.0</v>
      </c>
      <c r="AF314" s="102"/>
      <c r="AG314" s="101"/>
      <c r="AH314" s="101"/>
      <c r="AI314" s="102"/>
    </row>
    <row r="315" ht="15.75" customHeight="1">
      <c r="A315" s="101" t="s">
        <v>61</v>
      </c>
      <c r="B315" s="101" t="s">
        <v>62</v>
      </c>
      <c r="C315" s="101" t="s">
        <v>63</v>
      </c>
      <c r="D315" s="101">
        <v>2200331.0</v>
      </c>
      <c r="E315" s="102" t="s">
        <v>241</v>
      </c>
      <c r="F315" s="45">
        <v>45617.0</v>
      </c>
      <c r="G315" s="45">
        <v>45527.0</v>
      </c>
      <c r="H315" s="101" t="s">
        <v>83</v>
      </c>
      <c r="I315" s="101" t="s">
        <v>76</v>
      </c>
      <c r="J315" s="101">
        <v>30.0</v>
      </c>
      <c r="K315" s="65">
        <v>50.78333333</v>
      </c>
      <c r="L315" s="65">
        <v>1523.5</v>
      </c>
      <c r="M315" s="103">
        <v>0.2</v>
      </c>
      <c r="N315" s="65">
        <v>304.7</v>
      </c>
      <c r="O315" s="65">
        <v>1828.2</v>
      </c>
      <c r="P315" s="101" t="s">
        <v>79</v>
      </c>
      <c r="Q315" s="65">
        <v>152.35</v>
      </c>
      <c r="R315" s="65">
        <v>1980.55</v>
      </c>
      <c r="S315" s="65">
        <v>1066.45</v>
      </c>
      <c r="T315" s="65">
        <v>914.1</v>
      </c>
      <c r="U315" s="101" t="s">
        <v>85</v>
      </c>
      <c r="V315" s="45">
        <v>45538.0</v>
      </c>
      <c r="W315" s="65">
        <v>1066.45</v>
      </c>
      <c r="X315" s="101" t="s">
        <v>85</v>
      </c>
      <c r="Y315" s="45">
        <v>45604.0</v>
      </c>
      <c r="Z315" s="65"/>
      <c r="AA315" s="101"/>
      <c r="AB315" s="45"/>
      <c r="AC315" s="65">
        <v>280.65</v>
      </c>
      <c r="AD315" s="101" t="s">
        <v>85</v>
      </c>
      <c r="AE315" s="45">
        <v>45656.0</v>
      </c>
      <c r="AF315" s="102" t="s">
        <v>673</v>
      </c>
      <c r="AG315" s="101" t="s">
        <v>674</v>
      </c>
      <c r="AH315" s="101">
        <v>2.4610526E7</v>
      </c>
      <c r="AI315" s="102"/>
    </row>
    <row r="316" ht="15.75" customHeight="1">
      <c r="A316" s="101" t="s">
        <v>61</v>
      </c>
      <c r="B316" s="101" t="s">
        <v>62</v>
      </c>
      <c r="C316" s="101" t="s">
        <v>63</v>
      </c>
      <c r="D316" s="101">
        <v>2200332.0</v>
      </c>
      <c r="E316" s="102" t="s">
        <v>675</v>
      </c>
      <c r="F316" s="45">
        <v>45540.0</v>
      </c>
      <c r="G316" s="45">
        <v>45532.0</v>
      </c>
      <c r="H316" s="101" t="s">
        <v>73</v>
      </c>
      <c r="I316" s="101" t="s">
        <v>76</v>
      </c>
      <c r="J316" s="101">
        <v>65.0</v>
      </c>
      <c r="K316" s="65">
        <v>44.15384615</v>
      </c>
      <c r="L316" s="65">
        <v>2870.0</v>
      </c>
      <c r="M316" s="103">
        <v>0.2</v>
      </c>
      <c r="N316" s="65">
        <v>574.0</v>
      </c>
      <c r="O316" s="65">
        <v>3444.0</v>
      </c>
      <c r="P316" s="101" t="s">
        <v>79</v>
      </c>
      <c r="Q316" s="65">
        <v>287.0</v>
      </c>
      <c r="R316" s="65">
        <v>3731.0</v>
      </c>
      <c r="S316" s="65">
        <v>2009.0</v>
      </c>
      <c r="T316" s="65">
        <v>3731.0</v>
      </c>
      <c r="U316" s="101" t="s">
        <v>85</v>
      </c>
      <c r="V316" s="45">
        <v>45538.0</v>
      </c>
      <c r="W316" s="65"/>
      <c r="X316" s="101"/>
      <c r="Y316" s="45"/>
      <c r="Z316" s="65"/>
      <c r="AA316" s="101"/>
      <c r="AB316" s="45"/>
      <c r="AC316" s="65">
        <v>287.0</v>
      </c>
      <c r="AD316" s="101"/>
      <c r="AE316" s="45">
        <v>45549.0</v>
      </c>
      <c r="AF316" s="102" t="s">
        <v>676</v>
      </c>
      <c r="AG316" s="101">
        <v>236391.0</v>
      </c>
      <c r="AH316" s="101">
        <v>1.9039643E7</v>
      </c>
      <c r="AI316" s="102"/>
    </row>
    <row r="317" ht="15.75" customHeight="1">
      <c r="A317" s="101" t="s">
        <v>61</v>
      </c>
      <c r="B317" s="101" t="s">
        <v>62</v>
      </c>
      <c r="C317" s="101" t="s">
        <v>63</v>
      </c>
      <c r="D317" s="101">
        <v>2200333.0</v>
      </c>
      <c r="E317" s="102" t="s">
        <v>646</v>
      </c>
      <c r="F317" s="45">
        <v>45553.0</v>
      </c>
      <c r="G317" s="45">
        <v>45532.0</v>
      </c>
      <c r="H317" s="101" t="s">
        <v>83</v>
      </c>
      <c r="I317" s="101" t="s">
        <v>76</v>
      </c>
      <c r="J317" s="101">
        <v>55.0</v>
      </c>
      <c r="K317" s="65">
        <v>26.36363636</v>
      </c>
      <c r="L317" s="65">
        <v>1450.0</v>
      </c>
      <c r="M317" s="103">
        <v>0.2</v>
      </c>
      <c r="N317" s="65">
        <v>290.0</v>
      </c>
      <c r="O317" s="65">
        <v>1740.0</v>
      </c>
      <c r="P317" s="101" t="s">
        <v>84</v>
      </c>
      <c r="Q317" s="65">
        <v>145.0</v>
      </c>
      <c r="R317" s="65">
        <v>1740.0</v>
      </c>
      <c r="S317" s="65">
        <v>1015.0</v>
      </c>
      <c r="T317" s="65">
        <v>1740.0</v>
      </c>
      <c r="U317" s="101" t="s">
        <v>85</v>
      </c>
      <c r="V317" s="45">
        <v>45645.0</v>
      </c>
      <c r="W317" s="65"/>
      <c r="X317" s="101"/>
      <c r="Y317" s="45"/>
      <c r="Z317" s="65"/>
      <c r="AA317" s="101"/>
      <c r="AB317" s="45"/>
      <c r="AC317" s="65"/>
      <c r="AD317" s="101"/>
      <c r="AE317" s="45"/>
      <c r="AF317" s="102"/>
      <c r="AG317" s="101"/>
      <c r="AH317" s="101"/>
      <c r="AI317" s="102"/>
    </row>
    <row r="318" ht="15.75" customHeight="1">
      <c r="A318" s="101" t="s">
        <v>61</v>
      </c>
      <c r="B318" s="101" t="s">
        <v>62</v>
      </c>
      <c r="C318" s="101" t="s">
        <v>63</v>
      </c>
      <c r="D318" s="101">
        <v>2200334.0</v>
      </c>
      <c r="E318" s="102" t="s">
        <v>677</v>
      </c>
      <c r="F318" s="45">
        <v>45542.0</v>
      </c>
      <c r="G318" s="45">
        <v>45537.0</v>
      </c>
      <c r="H318" s="101" t="s">
        <v>73</v>
      </c>
      <c r="I318" s="101" t="s">
        <v>76</v>
      </c>
      <c r="J318" s="101">
        <v>30.0</v>
      </c>
      <c r="K318" s="65">
        <v>24.75</v>
      </c>
      <c r="L318" s="65">
        <v>742.5</v>
      </c>
      <c r="M318" s="103">
        <v>0.2</v>
      </c>
      <c r="N318" s="65">
        <v>148.5</v>
      </c>
      <c r="O318" s="65">
        <v>891.0</v>
      </c>
      <c r="P318" s="101" t="s">
        <v>84</v>
      </c>
      <c r="Q318" s="65">
        <v>74.25</v>
      </c>
      <c r="R318" s="65">
        <v>891.0</v>
      </c>
      <c r="S318" s="65">
        <v>519.75</v>
      </c>
      <c r="T318" s="65">
        <v>891.0</v>
      </c>
      <c r="U318" s="101" t="s">
        <v>80</v>
      </c>
      <c r="V318" s="45">
        <v>45538.0</v>
      </c>
      <c r="W318" s="65"/>
      <c r="X318" s="101"/>
      <c r="Y318" s="45"/>
      <c r="Z318" s="65"/>
      <c r="AA318" s="101"/>
      <c r="AB318" s="45"/>
      <c r="AC318" s="65"/>
      <c r="AD318" s="101"/>
      <c r="AE318" s="45"/>
      <c r="AF318" s="102"/>
      <c r="AG318" s="101"/>
      <c r="AH318" s="101"/>
      <c r="AI318" s="102"/>
    </row>
    <row r="319" ht="15.75" customHeight="1">
      <c r="A319" s="101" t="s">
        <v>61</v>
      </c>
      <c r="B319" s="101" t="s">
        <v>62</v>
      </c>
      <c r="C319" s="101" t="s">
        <v>63</v>
      </c>
      <c r="D319" s="101">
        <v>2200335.0</v>
      </c>
      <c r="E319" s="102" t="s">
        <v>574</v>
      </c>
      <c r="F319" s="45">
        <v>45561.0</v>
      </c>
      <c r="G319" s="45">
        <v>45538.0</v>
      </c>
      <c r="H319" s="101" t="s">
        <v>83</v>
      </c>
      <c r="I319" s="101" t="s">
        <v>76</v>
      </c>
      <c r="J319" s="101">
        <v>120.0</v>
      </c>
      <c r="K319" s="65">
        <v>118.79</v>
      </c>
      <c r="L319" s="65">
        <v>14254.8</v>
      </c>
      <c r="M319" s="103">
        <v>0.2</v>
      </c>
      <c r="N319" s="65">
        <v>2850.96</v>
      </c>
      <c r="O319" s="65">
        <v>17105.76</v>
      </c>
      <c r="P319" s="101" t="s">
        <v>79</v>
      </c>
      <c r="Q319" s="65">
        <v>1425.48</v>
      </c>
      <c r="R319" s="65">
        <v>18531.24</v>
      </c>
      <c r="S319" s="65">
        <v>9978.36</v>
      </c>
      <c r="T319" s="65">
        <v>18531.24</v>
      </c>
      <c r="U319" s="101" t="s">
        <v>85</v>
      </c>
      <c r="V319" s="45"/>
      <c r="W319" s="65"/>
      <c r="X319" s="101"/>
      <c r="Y319" s="45"/>
      <c r="Z319" s="65"/>
      <c r="AA319" s="101"/>
      <c r="AB319" s="45"/>
      <c r="AC319" s="65">
        <v>1700.52</v>
      </c>
      <c r="AD319" s="101" t="s">
        <v>85</v>
      </c>
      <c r="AE319" s="45">
        <v>45580.0</v>
      </c>
      <c r="AF319" s="102" t="s">
        <v>678</v>
      </c>
      <c r="AG319" s="101" t="s">
        <v>679</v>
      </c>
      <c r="AH319" s="101">
        <v>2.4314107E7</v>
      </c>
      <c r="AI319" s="102"/>
    </row>
    <row r="320" ht="15.75" customHeight="1">
      <c r="A320" s="101" t="s">
        <v>61</v>
      </c>
      <c r="B320" s="101" t="s">
        <v>62</v>
      </c>
      <c r="C320" s="101" t="s">
        <v>63</v>
      </c>
      <c r="D320" s="101">
        <v>2200336.0</v>
      </c>
      <c r="E320" s="102" t="s">
        <v>601</v>
      </c>
      <c r="F320" s="45">
        <v>45573.0</v>
      </c>
      <c r="G320" s="45">
        <v>45539.0</v>
      </c>
      <c r="H320" s="101" t="s">
        <v>83</v>
      </c>
      <c r="I320" s="101" t="s">
        <v>76</v>
      </c>
      <c r="J320" s="101">
        <v>30.0</v>
      </c>
      <c r="K320" s="65">
        <v>75.7</v>
      </c>
      <c r="L320" s="65">
        <v>2271.0</v>
      </c>
      <c r="M320" s="103">
        <v>0.2</v>
      </c>
      <c r="N320" s="65">
        <v>454.2</v>
      </c>
      <c r="O320" s="65">
        <v>2725.2</v>
      </c>
      <c r="P320" s="101" t="s">
        <v>79</v>
      </c>
      <c r="Q320" s="65">
        <v>227.1</v>
      </c>
      <c r="R320" s="65">
        <v>2952.3</v>
      </c>
      <c r="S320" s="65">
        <v>1589.7</v>
      </c>
      <c r="T320" s="65">
        <v>1362.6</v>
      </c>
      <c r="U320" s="101" t="s">
        <v>85</v>
      </c>
      <c r="V320" s="45">
        <v>45565.0</v>
      </c>
      <c r="W320" s="65"/>
      <c r="X320" s="101"/>
      <c r="Y320" s="45"/>
      <c r="Z320" s="65"/>
      <c r="AA320" s="101"/>
      <c r="AB320" s="45"/>
      <c r="AC320" s="65"/>
      <c r="AD320" s="101"/>
      <c r="AE320" s="45"/>
      <c r="AF320" s="102"/>
      <c r="AG320" s="101"/>
      <c r="AH320" s="101"/>
      <c r="AI320" s="102"/>
    </row>
    <row r="321" ht="15.75" customHeight="1">
      <c r="A321" s="101" t="s">
        <v>61</v>
      </c>
      <c r="B321" s="101" t="s">
        <v>62</v>
      </c>
      <c r="C321" s="101" t="s">
        <v>63</v>
      </c>
      <c r="D321" s="101">
        <v>2200337.0</v>
      </c>
      <c r="E321" s="102" t="s">
        <v>681</v>
      </c>
      <c r="F321" s="45">
        <v>45560.0</v>
      </c>
      <c r="G321" s="45">
        <v>45539.0</v>
      </c>
      <c r="H321" s="101" t="s">
        <v>83</v>
      </c>
      <c r="I321" s="101" t="s">
        <v>76</v>
      </c>
      <c r="J321" s="101">
        <v>50.0</v>
      </c>
      <c r="K321" s="65">
        <v>73.79</v>
      </c>
      <c r="L321" s="65">
        <v>3689.5</v>
      </c>
      <c r="M321" s="103">
        <v>0.2</v>
      </c>
      <c r="N321" s="65">
        <v>737.9</v>
      </c>
      <c r="O321" s="65">
        <v>4427.4</v>
      </c>
      <c r="P321" s="101" t="s">
        <v>79</v>
      </c>
      <c r="Q321" s="65">
        <v>368.95</v>
      </c>
      <c r="R321" s="65">
        <v>4796.35</v>
      </c>
      <c r="S321" s="65">
        <v>2582.65</v>
      </c>
      <c r="T321" s="65">
        <v>4796.35</v>
      </c>
      <c r="U321" s="101" t="s">
        <v>85</v>
      </c>
      <c r="V321" s="45">
        <v>45551.0</v>
      </c>
      <c r="W321" s="65"/>
      <c r="X321" s="101"/>
      <c r="Y321" s="45"/>
      <c r="Z321" s="65"/>
      <c r="AA321" s="101"/>
      <c r="AB321" s="45"/>
      <c r="AC321" s="65">
        <v>368.95</v>
      </c>
      <c r="AD321" s="101" t="s">
        <v>85</v>
      </c>
      <c r="AE321" s="45">
        <v>45580.0</v>
      </c>
      <c r="AF321" s="102" t="s">
        <v>603</v>
      </c>
      <c r="AG321" s="101" t="s">
        <v>604</v>
      </c>
      <c r="AH321" s="101">
        <v>1.072573E7</v>
      </c>
      <c r="AI321" s="102"/>
    </row>
    <row r="322" ht="15.75" customHeight="1">
      <c r="A322" s="101" t="s">
        <v>61</v>
      </c>
      <c r="B322" s="101" t="s">
        <v>62</v>
      </c>
      <c r="C322" s="101" t="s">
        <v>63</v>
      </c>
      <c r="D322" s="101">
        <v>2200338.0</v>
      </c>
      <c r="E322" s="102" t="s">
        <v>682</v>
      </c>
      <c r="F322" s="45">
        <v>45547.0</v>
      </c>
      <c r="G322" s="45">
        <v>45544.0</v>
      </c>
      <c r="H322" s="101" t="s">
        <v>83</v>
      </c>
      <c r="I322" s="101" t="s">
        <v>76</v>
      </c>
      <c r="J322" s="101">
        <v>1.0</v>
      </c>
      <c r="K322" s="65">
        <v>85.0</v>
      </c>
      <c r="L322" s="65">
        <v>85.0</v>
      </c>
      <c r="M322" s="103">
        <v>0.2</v>
      </c>
      <c r="N322" s="65">
        <v>17.0</v>
      </c>
      <c r="O322" s="65">
        <v>102.0</v>
      </c>
      <c r="P322" s="101" t="s">
        <v>84</v>
      </c>
      <c r="Q322" s="65">
        <v>8.5</v>
      </c>
      <c r="R322" s="65">
        <v>102.0</v>
      </c>
      <c r="S322" s="65">
        <v>59.5</v>
      </c>
      <c r="T322" s="65">
        <v>102.0</v>
      </c>
      <c r="U322" s="101" t="s">
        <v>80</v>
      </c>
      <c r="V322" s="45">
        <v>45546.0</v>
      </c>
      <c r="W322" s="65"/>
      <c r="X322" s="101"/>
      <c r="Y322" s="45"/>
      <c r="Z322" s="65"/>
      <c r="AA322" s="101"/>
      <c r="AB322" s="45"/>
      <c r="AC322" s="65"/>
      <c r="AD322" s="101"/>
      <c r="AE322" s="45"/>
      <c r="AF322" s="102"/>
      <c r="AG322" s="101"/>
      <c r="AH322" s="101"/>
      <c r="AI322" s="102"/>
    </row>
    <row r="323" ht="15.75" customHeight="1">
      <c r="A323" s="101" t="s">
        <v>61</v>
      </c>
      <c r="B323" s="101" t="s">
        <v>62</v>
      </c>
      <c r="C323" s="101" t="s">
        <v>63</v>
      </c>
      <c r="D323" s="101">
        <v>2200339.0</v>
      </c>
      <c r="E323" s="102" t="s">
        <v>128</v>
      </c>
      <c r="F323" s="45">
        <v>45637.0</v>
      </c>
      <c r="G323" s="45">
        <v>45568.0</v>
      </c>
      <c r="H323" s="101" t="s">
        <v>73</v>
      </c>
      <c r="I323" s="101" t="s">
        <v>76</v>
      </c>
      <c r="J323" s="101">
        <v>28.0</v>
      </c>
      <c r="K323" s="65">
        <v>106.8089286</v>
      </c>
      <c r="L323" s="65">
        <v>2990.65</v>
      </c>
      <c r="M323" s="103">
        <v>0.2</v>
      </c>
      <c r="N323" s="65">
        <v>598.13</v>
      </c>
      <c r="O323" s="65">
        <v>3588.78</v>
      </c>
      <c r="P323" s="101" t="s">
        <v>79</v>
      </c>
      <c r="Q323" s="65">
        <v>299.065</v>
      </c>
      <c r="R323" s="65">
        <v>3887.845</v>
      </c>
      <c r="S323" s="65">
        <v>2093.455</v>
      </c>
      <c r="T323" s="65">
        <v>1794.38</v>
      </c>
      <c r="U323" s="101" t="s">
        <v>85</v>
      </c>
      <c r="V323" s="45">
        <v>45568.0</v>
      </c>
      <c r="W323" s="65">
        <v>2093.44</v>
      </c>
      <c r="X323" s="101" t="s">
        <v>85</v>
      </c>
      <c r="Y323" s="45">
        <v>45600.0</v>
      </c>
      <c r="Z323" s="65"/>
      <c r="AA323" s="101"/>
      <c r="AB323" s="45"/>
      <c r="AC323" s="65">
        <v>299.06</v>
      </c>
      <c r="AD323" s="101" t="s">
        <v>85</v>
      </c>
      <c r="AE323" s="45">
        <v>45722.0</v>
      </c>
      <c r="AF323" s="102" t="s">
        <v>683</v>
      </c>
      <c r="AG323" s="101" t="s">
        <v>684</v>
      </c>
      <c r="AH323" s="101">
        <v>1.0967476E7</v>
      </c>
      <c r="AI323" s="102"/>
    </row>
    <row r="324" ht="15.75" customHeight="1">
      <c r="A324" s="101" t="s">
        <v>61</v>
      </c>
      <c r="B324" s="101" t="s">
        <v>62</v>
      </c>
      <c r="C324" s="101" t="s">
        <v>251</v>
      </c>
      <c r="D324" s="101">
        <v>2200340.0</v>
      </c>
      <c r="E324" s="102" t="s">
        <v>412</v>
      </c>
      <c r="F324" s="45">
        <v>45675.0</v>
      </c>
      <c r="G324" s="45">
        <v>45547.0</v>
      </c>
      <c r="H324" s="101" t="s">
        <v>83</v>
      </c>
      <c r="I324" s="101" t="s">
        <v>76</v>
      </c>
      <c r="J324" s="101">
        <v>70.0</v>
      </c>
      <c r="K324" s="65">
        <v>106.1135714</v>
      </c>
      <c r="L324" s="65">
        <v>7427.95</v>
      </c>
      <c r="M324" s="103">
        <v>0.2</v>
      </c>
      <c r="N324" s="65">
        <v>1485.59</v>
      </c>
      <c r="O324" s="65">
        <v>8913.54</v>
      </c>
      <c r="P324" s="101" t="s">
        <v>79</v>
      </c>
      <c r="Q324" s="65">
        <v>742.795</v>
      </c>
      <c r="R324" s="65">
        <v>9656.335</v>
      </c>
      <c r="S324" s="65">
        <v>5199.565</v>
      </c>
      <c r="T324" s="65">
        <v>4516.74</v>
      </c>
      <c r="U324" s="101" t="s">
        <v>85</v>
      </c>
      <c r="V324" s="45">
        <v>45565.0</v>
      </c>
      <c r="W324" s="65"/>
      <c r="X324" s="101"/>
      <c r="Y324" s="45"/>
      <c r="Z324" s="65"/>
      <c r="AA324" s="101"/>
      <c r="AB324" s="45"/>
      <c r="AC324" s="65">
        <v>866.13</v>
      </c>
      <c r="AD324" s="101" t="s">
        <v>85</v>
      </c>
      <c r="AE324" s="45">
        <v>46779.0</v>
      </c>
      <c r="AF324" s="102" t="s">
        <v>439</v>
      </c>
      <c r="AG324" s="101"/>
      <c r="AH324" s="101"/>
      <c r="AI324" s="102"/>
    </row>
    <row r="325" ht="15.75" customHeight="1">
      <c r="A325" s="101" t="s">
        <v>167</v>
      </c>
      <c r="B325" s="101" t="s">
        <v>62</v>
      </c>
      <c r="C325" s="101"/>
      <c r="D325" s="101">
        <v>2200341.0</v>
      </c>
      <c r="E325" s="102" t="s">
        <v>685</v>
      </c>
      <c r="F325" s="45">
        <v>45554.0</v>
      </c>
      <c r="G325" s="45">
        <v>45548.0</v>
      </c>
      <c r="H325" s="101" t="s">
        <v>83</v>
      </c>
      <c r="I325" s="101" t="s">
        <v>76</v>
      </c>
      <c r="J325" s="101">
        <v>50.0</v>
      </c>
      <c r="K325" s="65">
        <v>21.0</v>
      </c>
      <c r="L325" s="65">
        <v>1050.0</v>
      </c>
      <c r="M325" s="103">
        <v>0.2</v>
      </c>
      <c r="N325" s="65">
        <v>210.0</v>
      </c>
      <c r="O325" s="65">
        <v>1260.0</v>
      </c>
      <c r="P325" s="101" t="s">
        <v>84</v>
      </c>
      <c r="Q325" s="65">
        <v>105.0</v>
      </c>
      <c r="R325" s="65">
        <v>1260.0</v>
      </c>
      <c r="S325" s="65">
        <v>735.0</v>
      </c>
      <c r="T325" s="65">
        <v>1260.0</v>
      </c>
      <c r="U325" s="101" t="s">
        <v>85</v>
      </c>
      <c r="V325" s="45">
        <v>45551.0</v>
      </c>
      <c r="W325" s="65"/>
      <c r="X325" s="101"/>
      <c r="Y325" s="45"/>
      <c r="Z325" s="65"/>
      <c r="AA325" s="101"/>
      <c r="AB325" s="45"/>
      <c r="AC325" s="65"/>
      <c r="AD325" s="101"/>
      <c r="AE325" s="45"/>
      <c r="AF325" s="102"/>
      <c r="AG325" s="101"/>
      <c r="AH325" s="101"/>
      <c r="AI325" s="102"/>
    </row>
    <row r="326" ht="15.75" customHeight="1">
      <c r="A326" s="101" t="s">
        <v>61</v>
      </c>
      <c r="B326" s="101" t="s">
        <v>62</v>
      </c>
      <c r="C326" s="101" t="s">
        <v>63</v>
      </c>
      <c r="D326" s="101">
        <v>2200342.0</v>
      </c>
      <c r="E326" s="102" t="s">
        <v>686</v>
      </c>
      <c r="F326" s="45">
        <v>45565.0</v>
      </c>
      <c r="G326" s="45">
        <v>45553.0</v>
      </c>
      <c r="H326" s="101" t="s">
        <v>73</v>
      </c>
      <c r="I326" s="101" t="s">
        <v>119</v>
      </c>
      <c r="J326" s="101">
        <v>25.0</v>
      </c>
      <c r="K326" s="65">
        <v>105.49</v>
      </c>
      <c r="L326" s="65">
        <v>2637.25</v>
      </c>
      <c r="M326" s="103">
        <v>0.2</v>
      </c>
      <c r="N326" s="65">
        <v>527.45</v>
      </c>
      <c r="O326" s="65">
        <v>3164.7</v>
      </c>
      <c r="P326" s="101" t="s">
        <v>79</v>
      </c>
      <c r="Q326" s="65">
        <v>263.725</v>
      </c>
      <c r="R326" s="65">
        <v>3428.425</v>
      </c>
      <c r="S326" s="65">
        <v>1846.075</v>
      </c>
      <c r="T326" s="65"/>
      <c r="U326" s="101"/>
      <c r="V326" s="45"/>
      <c r="W326" s="65"/>
      <c r="X326" s="101"/>
      <c r="Y326" s="45"/>
      <c r="Z326" s="65"/>
      <c r="AA326" s="101"/>
      <c r="AB326" s="45"/>
      <c r="AC326" s="65"/>
      <c r="AD326" s="101"/>
      <c r="AE326" s="45"/>
      <c r="AF326" s="102"/>
      <c r="AG326" s="101"/>
      <c r="AH326" s="101"/>
      <c r="AI326" s="102"/>
    </row>
    <row r="327" ht="15.75" customHeight="1">
      <c r="A327" s="101" t="s">
        <v>61</v>
      </c>
      <c r="B327" s="101" t="s">
        <v>62</v>
      </c>
      <c r="C327" s="101" t="s">
        <v>63</v>
      </c>
      <c r="D327" s="101">
        <v>2200343.0</v>
      </c>
      <c r="E327" s="102" t="s">
        <v>687</v>
      </c>
      <c r="F327" s="45">
        <v>45575.0</v>
      </c>
      <c r="G327" s="45">
        <v>45553.0</v>
      </c>
      <c r="H327" s="101" t="s">
        <v>83</v>
      </c>
      <c r="I327" s="101" t="s">
        <v>76</v>
      </c>
      <c r="J327" s="101">
        <v>25.0</v>
      </c>
      <c r="K327" s="65">
        <v>185.78</v>
      </c>
      <c r="L327" s="65">
        <v>4644.5</v>
      </c>
      <c r="M327" s="103">
        <v>0.2</v>
      </c>
      <c r="N327" s="65">
        <v>928.9</v>
      </c>
      <c r="O327" s="65">
        <v>5573.4</v>
      </c>
      <c r="P327" s="101" t="s">
        <v>79</v>
      </c>
      <c r="Q327" s="65">
        <v>464.45</v>
      </c>
      <c r="R327" s="65">
        <v>6037.85</v>
      </c>
      <c r="S327" s="65">
        <v>3251.15</v>
      </c>
      <c r="T327" s="65">
        <v>6037.85</v>
      </c>
      <c r="U327" s="101" t="s">
        <v>80</v>
      </c>
      <c r="V327" s="45">
        <v>45565.0</v>
      </c>
      <c r="W327" s="65"/>
      <c r="X327" s="101"/>
      <c r="Y327" s="45"/>
      <c r="Z327" s="65"/>
      <c r="AA327" s="101"/>
      <c r="AB327" s="45"/>
      <c r="AC327" s="65">
        <v>799.25</v>
      </c>
      <c r="AD327" s="101" t="s">
        <v>80</v>
      </c>
      <c r="AE327" s="45">
        <v>45579.0</v>
      </c>
      <c r="AF327" s="102"/>
      <c r="AG327" s="101"/>
      <c r="AH327" s="101"/>
      <c r="AI327" s="102"/>
    </row>
    <row r="328" ht="15.75" customHeight="1">
      <c r="A328" s="101" t="s">
        <v>219</v>
      </c>
      <c r="B328" s="101" t="s">
        <v>62</v>
      </c>
      <c r="C328" s="101" t="s">
        <v>251</v>
      </c>
      <c r="D328" s="101">
        <v>2200344.0</v>
      </c>
      <c r="E328" s="102" t="s">
        <v>688</v>
      </c>
      <c r="F328" s="45">
        <v>45577.0</v>
      </c>
      <c r="G328" s="45">
        <v>45554.0</v>
      </c>
      <c r="H328" s="101" t="s">
        <v>73</v>
      </c>
      <c r="I328" s="101" t="s">
        <v>76</v>
      </c>
      <c r="J328" s="101">
        <v>40.0</v>
      </c>
      <c r="K328" s="65">
        <v>75.4625</v>
      </c>
      <c r="L328" s="65">
        <v>3018.5</v>
      </c>
      <c r="M328" s="103">
        <v>0.2</v>
      </c>
      <c r="N328" s="65">
        <v>603.7</v>
      </c>
      <c r="O328" s="65">
        <v>3622.2</v>
      </c>
      <c r="P328" s="101" t="s">
        <v>79</v>
      </c>
      <c r="Q328" s="65">
        <v>301.85</v>
      </c>
      <c r="R328" s="65">
        <v>3924.05</v>
      </c>
      <c r="S328" s="65">
        <v>2112.95</v>
      </c>
      <c r="T328" s="65"/>
      <c r="U328" s="101"/>
      <c r="V328" s="45"/>
      <c r="W328" s="65"/>
      <c r="X328" s="101"/>
      <c r="Y328" s="45"/>
      <c r="Z328" s="65"/>
      <c r="AA328" s="101"/>
      <c r="AB328" s="45"/>
      <c r="AC328" s="65">
        <v>301.85</v>
      </c>
      <c r="AD328" s="101" t="s">
        <v>80</v>
      </c>
      <c r="AE328" s="45"/>
      <c r="AF328" s="102"/>
      <c r="AG328" s="101"/>
      <c r="AH328" s="101"/>
      <c r="AI328" s="102"/>
    </row>
    <row r="329" ht="15.75" customHeight="1">
      <c r="A329" s="101" t="s">
        <v>61</v>
      </c>
      <c r="B329" s="101" t="s">
        <v>62</v>
      </c>
      <c r="C329" s="101"/>
      <c r="D329" s="101">
        <v>2200345.0</v>
      </c>
      <c r="E329" s="102" t="s">
        <v>689</v>
      </c>
      <c r="F329" s="45">
        <v>45545.0</v>
      </c>
      <c r="G329" s="45"/>
      <c r="H329" s="101"/>
      <c r="I329" s="101" t="s">
        <v>119</v>
      </c>
      <c r="J329" s="101"/>
      <c r="K329" s="65"/>
      <c r="L329" s="65"/>
      <c r="M329" s="103"/>
      <c r="N329" s="65"/>
      <c r="O329" s="65"/>
      <c r="P329" s="101" t="s">
        <v>84</v>
      </c>
      <c r="Q329" s="65">
        <v>0.0</v>
      </c>
      <c r="R329" s="65"/>
      <c r="S329" s="65">
        <v>0.0</v>
      </c>
      <c r="T329" s="65"/>
      <c r="U329" s="101"/>
      <c r="V329" s="45"/>
      <c r="W329" s="65"/>
      <c r="X329" s="101"/>
      <c r="Y329" s="45"/>
      <c r="Z329" s="65"/>
      <c r="AA329" s="101"/>
      <c r="AB329" s="45"/>
      <c r="AC329" s="65"/>
      <c r="AD329" s="101"/>
      <c r="AE329" s="45"/>
      <c r="AF329" s="102"/>
      <c r="AG329" s="101"/>
      <c r="AH329" s="101"/>
      <c r="AI329" s="102"/>
    </row>
    <row r="330" ht="15.75" customHeight="1">
      <c r="A330" s="101" t="s">
        <v>61</v>
      </c>
      <c r="B330" s="101" t="s">
        <v>62</v>
      </c>
      <c r="C330" s="101" t="s">
        <v>63</v>
      </c>
      <c r="D330" s="101">
        <v>2200346.0</v>
      </c>
      <c r="E330" s="102" t="s">
        <v>690</v>
      </c>
      <c r="F330" s="45">
        <v>45559.0</v>
      </c>
      <c r="G330" s="45">
        <v>45554.0</v>
      </c>
      <c r="H330" s="101" t="s">
        <v>83</v>
      </c>
      <c r="I330" s="101" t="s">
        <v>76</v>
      </c>
      <c r="J330" s="101">
        <v>13.0</v>
      </c>
      <c r="K330" s="65">
        <v>140.7723077</v>
      </c>
      <c r="L330" s="65">
        <v>1830.04</v>
      </c>
      <c r="M330" s="103">
        <v>0.2</v>
      </c>
      <c r="N330" s="65">
        <v>366.008</v>
      </c>
      <c r="O330" s="65">
        <v>2196.048</v>
      </c>
      <c r="P330" s="101" t="s">
        <v>84</v>
      </c>
      <c r="Q330" s="65">
        <v>183.004</v>
      </c>
      <c r="R330" s="65">
        <v>2196.048</v>
      </c>
      <c r="S330" s="65">
        <v>1281.028</v>
      </c>
      <c r="T330" s="65"/>
      <c r="U330" s="101"/>
      <c r="V330" s="45"/>
      <c r="W330" s="65"/>
      <c r="X330" s="101"/>
      <c r="Y330" s="45"/>
      <c r="Z330" s="65"/>
      <c r="AA330" s="101"/>
      <c r="AB330" s="45"/>
      <c r="AC330" s="65"/>
      <c r="AD330" s="101"/>
      <c r="AE330" s="45"/>
      <c r="AF330" s="102"/>
      <c r="AG330" s="101"/>
      <c r="AH330" s="101"/>
      <c r="AI330" s="102"/>
    </row>
    <row r="331" ht="15.75" customHeight="1">
      <c r="A331" s="101" t="s">
        <v>219</v>
      </c>
      <c r="B331" s="101" t="s">
        <v>62</v>
      </c>
      <c r="C331" s="101" t="s">
        <v>63</v>
      </c>
      <c r="D331" s="101">
        <v>2200347.0</v>
      </c>
      <c r="E331" s="102" t="s">
        <v>691</v>
      </c>
      <c r="F331" s="45">
        <v>45568.0</v>
      </c>
      <c r="G331" s="45">
        <v>45561.0</v>
      </c>
      <c r="H331" s="101" t="s">
        <v>73</v>
      </c>
      <c r="I331" s="101" t="s">
        <v>76</v>
      </c>
      <c r="J331" s="101">
        <v>30.0</v>
      </c>
      <c r="K331" s="65">
        <v>27.73333333</v>
      </c>
      <c r="L331" s="65">
        <v>832.0</v>
      </c>
      <c r="M331" s="103">
        <v>0.2</v>
      </c>
      <c r="N331" s="65">
        <v>166.4</v>
      </c>
      <c r="O331" s="65">
        <v>998.4</v>
      </c>
      <c r="P331" s="101" t="s">
        <v>84</v>
      </c>
      <c r="Q331" s="65">
        <v>83.2</v>
      </c>
      <c r="R331" s="65">
        <v>998.4</v>
      </c>
      <c r="S331" s="65">
        <v>582.4</v>
      </c>
      <c r="T331" s="65">
        <v>998.4</v>
      </c>
      <c r="U331" s="101"/>
      <c r="V331" s="45"/>
      <c r="W331" s="65"/>
      <c r="X331" s="101"/>
      <c r="Y331" s="45"/>
      <c r="Z331" s="65"/>
      <c r="AA331" s="101"/>
      <c r="AB331" s="45"/>
      <c r="AC331" s="65"/>
      <c r="AD331" s="101"/>
      <c r="AE331" s="45"/>
      <c r="AF331" s="102"/>
      <c r="AG331" s="101"/>
      <c r="AH331" s="101"/>
      <c r="AI331" s="102"/>
    </row>
    <row r="332" ht="15.75" customHeight="1">
      <c r="A332" s="101" t="s">
        <v>219</v>
      </c>
      <c r="B332" s="101" t="s">
        <v>62</v>
      </c>
      <c r="C332" s="101" t="s">
        <v>63</v>
      </c>
      <c r="D332" s="101">
        <v>2200348.0</v>
      </c>
      <c r="E332" s="102" t="s">
        <v>692</v>
      </c>
      <c r="F332" s="45">
        <v>45576.0</v>
      </c>
      <c r="G332" s="45">
        <v>45564.0</v>
      </c>
      <c r="H332" s="101" t="s">
        <v>73</v>
      </c>
      <c r="I332" s="101" t="s">
        <v>76</v>
      </c>
      <c r="J332" s="101">
        <v>220.0</v>
      </c>
      <c r="K332" s="65">
        <v>42.40090909</v>
      </c>
      <c r="L332" s="65">
        <v>9328.2</v>
      </c>
      <c r="M332" s="103">
        <v>0.2</v>
      </c>
      <c r="N332" s="65">
        <v>1865.64</v>
      </c>
      <c r="O332" s="65">
        <v>11193.84</v>
      </c>
      <c r="P332" s="101" t="s">
        <v>79</v>
      </c>
      <c r="Q332" s="65">
        <v>932.82</v>
      </c>
      <c r="R332" s="65">
        <v>12126.66</v>
      </c>
      <c r="S332" s="65">
        <v>6529.74</v>
      </c>
      <c r="T332" s="65">
        <v>10858.51</v>
      </c>
      <c r="U332" s="101" t="s">
        <v>85</v>
      </c>
      <c r="V332" s="45">
        <v>45566.0</v>
      </c>
      <c r="W332" s="65"/>
      <c r="X332" s="101"/>
      <c r="Y332" s="45"/>
      <c r="Z332" s="65"/>
      <c r="AA332" s="101"/>
      <c r="AB332" s="45"/>
      <c r="AC332" s="65">
        <v>652.87</v>
      </c>
      <c r="AD332" s="101" t="s">
        <v>85</v>
      </c>
      <c r="AE332" s="45">
        <v>45580.0</v>
      </c>
      <c r="AF332" s="102" t="s">
        <v>693</v>
      </c>
      <c r="AG332" s="101" t="s">
        <v>694</v>
      </c>
      <c r="AH332" s="101">
        <v>3.167585E7</v>
      </c>
      <c r="AI332" s="102"/>
    </row>
    <row r="333" ht="15.75" customHeight="1">
      <c r="A333" s="101" t="s">
        <v>61</v>
      </c>
      <c r="B333" s="101" t="s">
        <v>62</v>
      </c>
      <c r="C333" s="101" t="s">
        <v>63</v>
      </c>
      <c r="D333" s="101">
        <v>2200349.0</v>
      </c>
      <c r="E333" s="102" t="s">
        <v>695</v>
      </c>
      <c r="F333" s="45">
        <v>45538.0</v>
      </c>
      <c r="G333" s="45">
        <v>45565.0</v>
      </c>
      <c r="H333" s="101" t="s">
        <v>73</v>
      </c>
      <c r="I333" s="101" t="s">
        <v>76</v>
      </c>
      <c r="J333" s="101">
        <v>2.0</v>
      </c>
      <c r="K333" s="65">
        <v>50.0</v>
      </c>
      <c r="L333" s="65">
        <v>100.0</v>
      </c>
      <c r="M333" s="103">
        <v>0.2</v>
      </c>
      <c r="N333" s="65">
        <v>20.0</v>
      </c>
      <c r="O333" s="65">
        <v>120.0</v>
      </c>
      <c r="P333" s="101" t="s">
        <v>84</v>
      </c>
      <c r="Q333" s="65">
        <v>10.0</v>
      </c>
      <c r="R333" s="65">
        <v>120.0</v>
      </c>
      <c r="S333" s="65">
        <v>70.0</v>
      </c>
      <c r="T333" s="65">
        <v>120.0</v>
      </c>
      <c r="U333" s="101" t="s">
        <v>85</v>
      </c>
      <c r="V333" s="45">
        <v>45568.0</v>
      </c>
      <c r="W333" s="65"/>
      <c r="X333" s="101"/>
      <c r="Y333" s="45"/>
      <c r="Z333" s="65"/>
      <c r="AA333" s="101"/>
      <c r="AB333" s="45"/>
      <c r="AC333" s="65"/>
      <c r="AD333" s="101"/>
      <c r="AE333" s="45"/>
      <c r="AF333" s="102"/>
      <c r="AG333" s="101"/>
      <c r="AH333" s="101"/>
      <c r="AI333" s="102"/>
    </row>
    <row r="334" ht="15.75" customHeight="1">
      <c r="A334" s="101" t="s">
        <v>61</v>
      </c>
      <c r="B334" s="101" t="s">
        <v>62</v>
      </c>
      <c r="C334" s="101" t="s">
        <v>251</v>
      </c>
      <c r="D334" s="101">
        <v>2200350.0</v>
      </c>
      <c r="E334" s="102" t="s">
        <v>696</v>
      </c>
      <c r="F334" s="45">
        <v>45577.0</v>
      </c>
      <c r="G334" s="45">
        <v>45566.0</v>
      </c>
      <c r="H334" s="101" t="s">
        <v>73</v>
      </c>
      <c r="I334" s="101" t="s">
        <v>76</v>
      </c>
      <c r="J334" s="101">
        <v>1.0</v>
      </c>
      <c r="K334" s="65">
        <v>50.0</v>
      </c>
      <c r="L334" s="65">
        <v>50.0</v>
      </c>
      <c r="M334" s="103">
        <v>0.2</v>
      </c>
      <c r="N334" s="65">
        <v>10.0</v>
      </c>
      <c r="O334" s="65">
        <v>60.0</v>
      </c>
      <c r="P334" s="101" t="s">
        <v>84</v>
      </c>
      <c r="Q334" s="65">
        <v>5.0</v>
      </c>
      <c r="R334" s="65">
        <v>60.0</v>
      </c>
      <c r="S334" s="65">
        <v>35.0</v>
      </c>
      <c r="T334" s="65">
        <v>60.0</v>
      </c>
      <c r="U334" s="101" t="s">
        <v>80</v>
      </c>
      <c r="V334" s="45">
        <v>45567.0</v>
      </c>
      <c r="W334" s="65"/>
      <c r="X334" s="101"/>
      <c r="Y334" s="45"/>
      <c r="Z334" s="65"/>
      <c r="AA334" s="101"/>
      <c r="AB334" s="45"/>
      <c r="AC334" s="65"/>
      <c r="AD334" s="101"/>
      <c r="AE334" s="45"/>
      <c r="AF334" s="102"/>
      <c r="AG334" s="101"/>
      <c r="AH334" s="101"/>
      <c r="AI334" s="102"/>
    </row>
    <row r="335" ht="15.75" customHeight="1">
      <c r="A335" s="101" t="s">
        <v>61</v>
      </c>
      <c r="B335" s="101" t="s">
        <v>62</v>
      </c>
      <c r="C335" s="101" t="s">
        <v>63</v>
      </c>
      <c r="D335" s="101">
        <v>2200351.0</v>
      </c>
      <c r="E335" s="102" t="s">
        <v>697</v>
      </c>
      <c r="F335" s="45">
        <v>45573.0</v>
      </c>
      <c r="G335" s="45">
        <v>45566.0</v>
      </c>
      <c r="H335" s="101" t="s">
        <v>83</v>
      </c>
      <c r="I335" s="101" t="s">
        <v>76</v>
      </c>
      <c r="J335" s="101">
        <v>30.0</v>
      </c>
      <c r="K335" s="65">
        <v>37.85</v>
      </c>
      <c r="L335" s="65">
        <v>1135.5</v>
      </c>
      <c r="M335" s="103">
        <v>0.2</v>
      </c>
      <c r="N335" s="65">
        <v>227.1</v>
      </c>
      <c r="O335" s="65">
        <v>1362.6</v>
      </c>
      <c r="P335" s="101" t="s">
        <v>79</v>
      </c>
      <c r="Q335" s="65">
        <v>113.55</v>
      </c>
      <c r="R335" s="65">
        <v>1476.15</v>
      </c>
      <c r="S335" s="65">
        <v>794.85</v>
      </c>
      <c r="T335" s="65">
        <v>1589.7</v>
      </c>
      <c r="U335" s="101" t="s">
        <v>80</v>
      </c>
      <c r="V335" s="45">
        <v>45566.0</v>
      </c>
      <c r="W335" s="65"/>
      <c r="X335" s="101"/>
      <c r="Y335" s="45"/>
      <c r="Z335" s="65"/>
      <c r="AA335" s="101"/>
      <c r="AB335" s="45"/>
      <c r="AC335" s="65">
        <v>227.1</v>
      </c>
      <c r="AD335" s="101" t="s">
        <v>80</v>
      </c>
      <c r="AE335" s="45">
        <v>45581.0</v>
      </c>
      <c r="AF335" s="102"/>
      <c r="AG335" s="101"/>
      <c r="AH335" s="101"/>
      <c r="AI335" s="102"/>
    </row>
    <row r="336" ht="15.75" customHeight="1">
      <c r="A336" s="101" t="s">
        <v>61</v>
      </c>
      <c r="B336" s="101" t="s">
        <v>62</v>
      </c>
      <c r="C336" s="101" t="s">
        <v>63</v>
      </c>
      <c r="D336" s="101">
        <v>2200352.0</v>
      </c>
      <c r="E336" s="102" t="s">
        <v>639</v>
      </c>
      <c r="F336" s="45">
        <v>45570.0</v>
      </c>
      <c r="G336" s="45">
        <v>45567.0</v>
      </c>
      <c r="H336" s="101" t="s">
        <v>83</v>
      </c>
      <c r="I336" s="101" t="s">
        <v>76</v>
      </c>
      <c r="J336" s="101">
        <v>30.0</v>
      </c>
      <c r="K336" s="65">
        <v>35.85</v>
      </c>
      <c r="L336" s="65">
        <v>1075.5</v>
      </c>
      <c r="M336" s="103">
        <v>0.2</v>
      </c>
      <c r="N336" s="65">
        <v>215.1</v>
      </c>
      <c r="O336" s="65">
        <v>1290.6</v>
      </c>
      <c r="P336" s="101" t="s">
        <v>84</v>
      </c>
      <c r="Q336" s="65">
        <v>107.55</v>
      </c>
      <c r="R336" s="65">
        <v>1290.6</v>
      </c>
      <c r="S336" s="65">
        <v>752.85</v>
      </c>
      <c r="T336" s="65">
        <v>1094.61</v>
      </c>
      <c r="U336" s="101" t="s">
        <v>85</v>
      </c>
      <c r="V336" s="45">
        <v>45568.0</v>
      </c>
      <c r="W336" s="65"/>
      <c r="X336" s="101"/>
      <c r="Y336" s="45"/>
      <c r="Z336" s="65"/>
      <c r="AA336" s="101"/>
      <c r="AB336" s="45"/>
      <c r="AC336" s="65"/>
      <c r="AD336" s="101"/>
      <c r="AE336" s="45"/>
      <c r="AF336" s="102"/>
      <c r="AG336" s="101"/>
      <c r="AH336" s="101"/>
      <c r="AI336" s="102"/>
    </row>
    <row r="337" ht="15.75" customHeight="1">
      <c r="A337" s="101" t="s">
        <v>219</v>
      </c>
      <c r="B337" s="101" t="s">
        <v>62</v>
      </c>
      <c r="C337" s="101" t="s">
        <v>251</v>
      </c>
      <c r="D337" s="101">
        <v>2200353.0</v>
      </c>
      <c r="E337" s="102" t="s">
        <v>698</v>
      </c>
      <c r="F337" s="45">
        <v>45633.0</v>
      </c>
      <c r="G337" s="45">
        <v>45568.0</v>
      </c>
      <c r="H337" s="101" t="s">
        <v>73</v>
      </c>
      <c r="I337" s="101" t="s">
        <v>76</v>
      </c>
      <c r="J337" s="101">
        <v>26.0</v>
      </c>
      <c r="K337" s="65">
        <v>93.12307692</v>
      </c>
      <c r="L337" s="65">
        <v>2421.2</v>
      </c>
      <c r="M337" s="103">
        <v>0.2</v>
      </c>
      <c r="N337" s="65">
        <v>484.24</v>
      </c>
      <c r="O337" s="65">
        <v>2905.44</v>
      </c>
      <c r="P337" s="101" t="s">
        <v>79</v>
      </c>
      <c r="Q337" s="65">
        <v>242.12</v>
      </c>
      <c r="R337" s="65">
        <v>3147.56</v>
      </c>
      <c r="S337" s="65">
        <v>1694.84</v>
      </c>
      <c r="T337" s="65">
        <v>1694.84</v>
      </c>
      <c r="U337" s="101" t="s">
        <v>80</v>
      </c>
      <c r="V337" s="45">
        <v>45577.0</v>
      </c>
      <c r="W337" s="65">
        <v>1452.72</v>
      </c>
      <c r="X337" s="101" t="s">
        <v>80</v>
      </c>
      <c r="Y337" s="45">
        <v>45623.0</v>
      </c>
      <c r="Z337" s="65"/>
      <c r="AA337" s="101"/>
      <c r="AB337" s="45"/>
      <c r="AC337" s="65">
        <v>242.12</v>
      </c>
      <c r="AD337" s="101" t="s">
        <v>80</v>
      </c>
      <c r="AE337" s="45">
        <v>45637.0</v>
      </c>
      <c r="AF337" s="102"/>
      <c r="AG337" s="101"/>
      <c r="AH337" s="101"/>
      <c r="AI337" s="102"/>
    </row>
    <row r="338" ht="15.75" customHeight="1">
      <c r="A338" s="101" t="s">
        <v>61</v>
      </c>
      <c r="B338" s="101" t="s">
        <v>62</v>
      </c>
      <c r="C338" s="101" t="s">
        <v>63</v>
      </c>
      <c r="D338" s="101">
        <v>2200354.0</v>
      </c>
      <c r="E338" s="102" t="s">
        <v>699</v>
      </c>
      <c r="F338" s="45">
        <v>45575.0</v>
      </c>
      <c r="G338" s="45">
        <v>45569.0</v>
      </c>
      <c r="H338" s="101" t="s">
        <v>73</v>
      </c>
      <c r="I338" s="101" t="s">
        <v>76</v>
      </c>
      <c r="J338" s="101">
        <v>12.0</v>
      </c>
      <c r="K338" s="65">
        <v>66.7</v>
      </c>
      <c r="L338" s="65">
        <v>800.4</v>
      </c>
      <c r="M338" s="103">
        <v>0.2</v>
      </c>
      <c r="N338" s="65">
        <v>160.08</v>
      </c>
      <c r="O338" s="65">
        <v>960.48</v>
      </c>
      <c r="P338" s="101" t="s">
        <v>84</v>
      </c>
      <c r="Q338" s="65">
        <v>80.04</v>
      </c>
      <c r="R338" s="65">
        <v>960.48</v>
      </c>
      <c r="S338" s="65">
        <v>560.28</v>
      </c>
      <c r="T338" s="65">
        <v>960.48</v>
      </c>
      <c r="U338" s="101" t="s">
        <v>80</v>
      </c>
      <c r="V338" s="45">
        <v>45569.0</v>
      </c>
      <c r="W338" s="65"/>
      <c r="X338" s="101"/>
      <c r="Y338" s="45"/>
      <c r="Z338" s="65"/>
      <c r="AA338" s="101"/>
      <c r="AB338" s="45"/>
      <c r="AC338" s="65"/>
      <c r="AD338" s="101"/>
      <c r="AE338" s="45"/>
      <c r="AF338" s="102"/>
      <c r="AG338" s="101"/>
      <c r="AH338" s="101"/>
      <c r="AI338" s="102"/>
    </row>
    <row r="339" ht="15.75" customHeight="1">
      <c r="A339" s="101" t="s">
        <v>61</v>
      </c>
      <c r="B339" s="101" t="s">
        <v>62</v>
      </c>
      <c r="C339" s="101" t="s">
        <v>63</v>
      </c>
      <c r="D339" s="101">
        <v>2200355.0</v>
      </c>
      <c r="E339" s="102" t="s">
        <v>700</v>
      </c>
      <c r="F339" s="45">
        <v>45577.0</v>
      </c>
      <c r="G339" s="45"/>
      <c r="H339" s="101" t="s">
        <v>73</v>
      </c>
      <c r="I339" s="101" t="s">
        <v>76</v>
      </c>
      <c r="J339" s="101">
        <v>60.0</v>
      </c>
      <c r="K339" s="65">
        <v>53.75833333</v>
      </c>
      <c r="L339" s="65">
        <v>3225.5</v>
      </c>
      <c r="M339" s="103">
        <v>0.2</v>
      </c>
      <c r="N339" s="65">
        <v>645.1</v>
      </c>
      <c r="O339" s="65">
        <v>3870.6</v>
      </c>
      <c r="P339" s="101" t="s">
        <v>79</v>
      </c>
      <c r="Q339" s="65">
        <v>322.55</v>
      </c>
      <c r="R339" s="65">
        <v>4193.15</v>
      </c>
      <c r="S339" s="65">
        <v>2257.85</v>
      </c>
      <c r="T339" s="65">
        <v>4193.15</v>
      </c>
      <c r="U339" s="101" t="s">
        <v>80</v>
      </c>
      <c r="V339" s="45">
        <v>45572.0</v>
      </c>
      <c r="W339" s="65"/>
      <c r="X339" s="101"/>
      <c r="Y339" s="45"/>
      <c r="Z339" s="65"/>
      <c r="AA339" s="101"/>
      <c r="AB339" s="45"/>
      <c r="AC339" s="65">
        <v>194.15</v>
      </c>
      <c r="AD339" s="101" t="s">
        <v>80</v>
      </c>
      <c r="AE339" s="45">
        <v>45579.0</v>
      </c>
      <c r="AF339" s="102"/>
      <c r="AG339" s="101"/>
      <c r="AH339" s="101"/>
      <c r="AI339" s="102"/>
    </row>
    <row r="340" ht="15.75" customHeight="1">
      <c r="A340" s="101" t="s">
        <v>61</v>
      </c>
      <c r="B340" s="101" t="s">
        <v>62</v>
      </c>
      <c r="C340" s="101" t="s">
        <v>63</v>
      </c>
      <c r="D340" s="101">
        <v>2200356.0</v>
      </c>
      <c r="E340" s="102" t="s">
        <v>701</v>
      </c>
      <c r="F340" s="45">
        <v>45582.0</v>
      </c>
      <c r="G340" s="45">
        <v>45574.0</v>
      </c>
      <c r="H340" s="101" t="s">
        <v>73</v>
      </c>
      <c r="I340" s="101" t="s">
        <v>76</v>
      </c>
      <c r="J340" s="101">
        <v>22.0</v>
      </c>
      <c r="K340" s="65">
        <v>77.88636364</v>
      </c>
      <c r="L340" s="65">
        <v>1713.5</v>
      </c>
      <c r="M340" s="103">
        <v>0.2</v>
      </c>
      <c r="N340" s="65">
        <v>342.7</v>
      </c>
      <c r="O340" s="65">
        <v>2056.2</v>
      </c>
      <c r="P340" s="101" t="s">
        <v>79</v>
      </c>
      <c r="Q340" s="65">
        <v>171.35</v>
      </c>
      <c r="R340" s="65">
        <v>2227.55</v>
      </c>
      <c r="S340" s="65">
        <v>1199.45</v>
      </c>
      <c r="T340" s="65">
        <v>2227.55</v>
      </c>
      <c r="U340" s="101" t="s">
        <v>80</v>
      </c>
      <c r="V340" s="45">
        <v>45575.0</v>
      </c>
      <c r="W340" s="65"/>
      <c r="X340" s="101"/>
      <c r="Y340" s="45"/>
      <c r="Z340" s="65"/>
      <c r="AA340" s="101"/>
      <c r="AB340" s="45"/>
      <c r="AC340" s="65">
        <v>171.35</v>
      </c>
      <c r="AD340" s="101" t="s">
        <v>80</v>
      </c>
      <c r="AE340" s="45">
        <v>45586.0</v>
      </c>
      <c r="AF340" s="102"/>
      <c r="AG340" s="101"/>
      <c r="AH340" s="101"/>
      <c r="AI340" s="102"/>
    </row>
    <row r="341" ht="15.75" customHeight="1">
      <c r="A341" s="101" t="s">
        <v>61</v>
      </c>
      <c r="B341" s="101" t="s">
        <v>62</v>
      </c>
      <c r="C341" s="101" t="s">
        <v>63</v>
      </c>
      <c r="D341" s="101">
        <v>2200357.0</v>
      </c>
      <c r="E341" s="102" t="s">
        <v>702</v>
      </c>
      <c r="F341" s="45">
        <v>45588.0</v>
      </c>
      <c r="G341" s="45">
        <v>45575.0</v>
      </c>
      <c r="H341" s="101" t="s">
        <v>73</v>
      </c>
      <c r="I341" s="101" t="s">
        <v>76</v>
      </c>
      <c r="J341" s="101">
        <v>90.0</v>
      </c>
      <c r="K341" s="65">
        <v>65.025</v>
      </c>
      <c r="L341" s="65">
        <v>5852.25</v>
      </c>
      <c r="M341" s="103">
        <v>0.2</v>
      </c>
      <c r="N341" s="65">
        <v>1170.45</v>
      </c>
      <c r="O341" s="65">
        <v>7022.7</v>
      </c>
      <c r="P341" s="101" t="s">
        <v>79</v>
      </c>
      <c r="Q341" s="65">
        <v>585.225</v>
      </c>
      <c r="R341" s="65">
        <v>7607.925</v>
      </c>
      <c r="S341" s="65">
        <v>4096.575</v>
      </c>
      <c r="T341" s="65">
        <v>7607.92</v>
      </c>
      <c r="U341" s="101" t="s">
        <v>85</v>
      </c>
      <c r="V341" s="45">
        <v>45585.0</v>
      </c>
      <c r="W341" s="65"/>
      <c r="X341" s="101"/>
      <c r="Y341" s="45"/>
      <c r="Z341" s="65"/>
      <c r="AA341" s="101"/>
      <c r="AB341" s="45"/>
      <c r="AC341" s="65">
        <v>460.42</v>
      </c>
      <c r="AD341" s="101"/>
      <c r="AE341" s="45">
        <v>45656.0</v>
      </c>
      <c r="AF341" s="102" t="s">
        <v>703</v>
      </c>
      <c r="AG341" s="101" t="s">
        <v>704</v>
      </c>
      <c r="AH341" s="101">
        <v>3069842.0</v>
      </c>
      <c r="AI341" s="102"/>
    </row>
    <row r="342" ht="15.75" customHeight="1">
      <c r="A342" s="101" t="s">
        <v>61</v>
      </c>
      <c r="B342" s="101" t="s">
        <v>62</v>
      </c>
      <c r="C342" s="101" t="s">
        <v>63</v>
      </c>
      <c r="D342" s="101">
        <v>2200358.0</v>
      </c>
      <c r="E342" s="102" t="s">
        <v>699</v>
      </c>
      <c r="F342" s="45">
        <v>45581.0</v>
      </c>
      <c r="G342" s="45">
        <v>45575.0</v>
      </c>
      <c r="H342" s="101" t="s">
        <v>73</v>
      </c>
      <c r="I342" s="101" t="s">
        <v>76</v>
      </c>
      <c r="J342" s="101">
        <v>30.0</v>
      </c>
      <c r="K342" s="65">
        <v>60.86666667</v>
      </c>
      <c r="L342" s="65">
        <v>1826.0</v>
      </c>
      <c r="M342" s="103">
        <v>0.2</v>
      </c>
      <c r="N342" s="65">
        <v>365.2</v>
      </c>
      <c r="O342" s="65">
        <v>2191.2</v>
      </c>
      <c r="P342" s="101" t="s">
        <v>84</v>
      </c>
      <c r="Q342" s="65">
        <v>182.6</v>
      </c>
      <c r="R342" s="65">
        <v>2191.2</v>
      </c>
      <c r="S342" s="65">
        <v>1278.2</v>
      </c>
      <c r="T342" s="65">
        <v>2191.2</v>
      </c>
      <c r="U342" s="101" t="s">
        <v>80</v>
      </c>
      <c r="V342" s="45">
        <v>45575.0</v>
      </c>
      <c r="W342" s="65"/>
      <c r="X342" s="101"/>
      <c r="Y342" s="45"/>
      <c r="Z342" s="65"/>
      <c r="AA342" s="101"/>
      <c r="AB342" s="45"/>
      <c r="AC342" s="65"/>
      <c r="AD342" s="101"/>
      <c r="AE342" s="45"/>
      <c r="AF342" s="102"/>
      <c r="AG342" s="101"/>
      <c r="AH342" s="101"/>
      <c r="AI342" s="102"/>
    </row>
    <row r="343" ht="15.75" customHeight="1">
      <c r="A343" s="101" t="s">
        <v>61</v>
      </c>
      <c r="B343" s="101" t="s">
        <v>62</v>
      </c>
      <c r="C343" s="101" t="s">
        <v>63</v>
      </c>
      <c r="D343" s="101">
        <v>2200359.0</v>
      </c>
      <c r="E343" s="102" t="s">
        <v>705</v>
      </c>
      <c r="F343" s="45">
        <v>45595.0</v>
      </c>
      <c r="G343" s="45">
        <v>45576.0</v>
      </c>
      <c r="H343" s="101" t="s">
        <v>73</v>
      </c>
      <c r="I343" s="101" t="s">
        <v>76</v>
      </c>
      <c r="J343" s="101">
        <v>120.0</v>
      </c>
      <c r="K343" s="65">
        <v>51.15833333</v>
      </c>
      <c r="L343" s="65">
        <v>6139.0</v>
      </c>
      <c r="M343" s="103">
        <v>0.2</v>
      </c>
      <c r="N343" s="65">
        <v>1227.8</v>
      </c>
      <c r="O343" s="65">
        <v>7366.8</v>
      </c>
      <c r="P343" s="101" t="s">
        <v>79</v>
      </c>
      <c r="Q343" s="65">
        <v>613.9</v>
      </c>
      <c r="R343" s="65">
        <v>7980.7</v>
      </c>
      <c r="S343" s="65">
        <v>4297.3</v>
      </c>
      <c r="T343" s="65">
        <v>7607.92</v>
      </c>
      <c r="U343" s="101" t="s">
        <v>85</v>
      </c>
      <c r="V343" s="45">
        <v>45587.0</v>
      </c>
      <c r="W343" s="65"/>
      <c r="X343" s="101"/>
      <c r="Y343" s="45"/>
      <c r="Z343" s="65"/>
      <c r="AA343" s="101"/>
      <c r="AB343" s="45"/>
      <c r="AC343" s="65">
        <v>41.38</v>
      </c>
      <c r="AD343" s="101" t="s">
        <v>85</v>
      </c>
      <c r="AE343" s="45">
        <v>45602.0</v>
      </c>
      <c r="AF343" s="102"/>
      <c r="AG343" s="101"/>
      <c r="AH343" s="101"/>
      <c r="AI343" s="102"/>
    </row>
    <row r="344" ht="15.75" customHeight="1">
      <c r="A344" s="101" t="s">
        <v>61</v>
      </c>
      <c r="B344" s="101" t="s">
        <v>62</v>
      </c>
      <c r="C344" s="101" t="s">
        <v>251</v>
      </c>
      <c r="D344" s="101">
        <v>2200360.0</v>
      </c>
      <c r="E344" s="102" t="s">
        <v>706</v>
      </c>
      <c r="F344" s="45">
        <v>45583.0</v>
      </c>
      <c r="G344" s="45">
        <v>45576.0</v>
      </c>
      <c r="H344" s="101" t="s">
        <v>73</v>
      </c>
      <c r="I344" s="101" t="s">
        <v>76</v>
      </c>
      <c r="J344" s="101">
        <v>11.0</v>
      </c>
      <c r="K344" s="65">
        <v>131.1590909</v>
      </c>
      <c r="L344" s="65">
        <v>1442.75</v>
      </c>
      <c r="M344" s="103">
        <v>0.2</v>
      </c>
      <c r="N344" s="65">
        <v>288.55</v>
      </c>
      <c r="O344" s="65">
        <v>1731.3</v>
      </c>
      <c r="P344" s="101" t="s">
        <v>79</v>
      </c>
      <c r="Q344" s="65">
        <v>144.275</v>
      </c>
      <c r="R344" s="65">
        <v>1875.575</v>
      </c>
      <c r="S344" s="65">
        <v>1009.925</v>
      </c>
      <c r="T344" s="65">
        <v>1844.27</v>
      </c>
      <c r="U344" s="101" t="s">
        <v>80</v>
      </c>
      <c r="V344" s="45">
        <v>45576.0</v>
      </c>
      <c r="W344" s="65"/>
      <c r="X344" s="101"/>
      <c r="Y344" s="45"/>
      <c r="Z344" s="65"/>
      <c r="AA344" s="101"/>
      <c r="AB344" s="45"/>
      <c r="AC344" s="65">
        <v>88.3</v>
      </c>
      <c r="AD344" s="101" t="s">
        <v>80</v>
      </c>
      <c r="AE344" s="45">
        <v>45596.0</v>
      </c>
      <c r="AF344" s="102"/>
      <c r="AG344" s="101"/>
      <c r="AH344" s="101"/>
      <c r="AI344" s="102"/>
    </row>
    <row r="345" ht="15.75" customHeight="1">
      <c r="A345" s="101" t="s">
        <v>61</v>
      </c>
      <c r="B345" s="101" t="s">
        <v>62</v>
      </c>
      <c r="C345" s="101" t="s">
        <v>63</v>
      </c>
      <c r="D345" s="101">
        <v>2200361.0</v>
      </c>
      <c r="E345" s="102" t="s">
        <v>241</v>
      </c>
      <c r="F345" s="45">
        <v>45631.0</v>
      </c>
      <c r="G345" s="45">
        <v>45581.0</v>
      </c>
      <c r="H345" s="101" t="s">
        <v>83</v>
      </c>
      <c r="I345" s="101" t="s">
        <v>76</v>
      </c>
      <c r="J345" s="101">
        <v>30.0</v>
      </c>
      <c r="K345" s="65">
        <v>93.55</v>
      </c>
      <c r="L345" s="65">
        <v>2806.5</v>
      </c>
      <c r="M345" s="103">
        <v>0.2</v>
      </c>
      <c r="N345" s="65">
        <v>561.3</v>
      </c>
      <c r="O345" s="65">
        <v>3367.8</v>
      </c>
      <c r="P345" s="101" t="s">
        <v>79</v>
      </c>
      <c r="Q345" s="65">
        <v>280.65</v>
      </c>
      <c r="R345" s="65">
        <v>3648.45</v>
      </c>
      <c r="S345" s="65">
        <v>1964.55</v>
      </c>
      <c r="T345" s="65">
        <v>1683.9</v>
      </c>
      <c r="U345" s="101" t="s">
        <v>85</v>
      </c>
      <c r="V345" s="45">
        <v>45583.0</v>
      </c>
      <c r="W345" s="65">
        <v>1964.55</v>
      </c>
      <c r="X345" s="101" t="s">
        <v>85</v>
      </c>
      <c r="Y345" s="45">
        <v>45621.0</v>
      </c>
      <c r="Z345" s="65"/>
      <c r="AA345" s="101"/>
      <c r="AB345" s="45"/>
      <c r="AC345" s="65">
        <v>280.65</v>
      </c>
      <c r="AD345" s="101" t="s">
        <v>85</v>
      </c>
      <c r="AE345" s="45">
        <v>45641.0</v>
      </c>
      <c r="AF345" s="102" t="s">
        <v>673</v>
      </c>
      <c r="AG345" s="101" t="s">
        <v>674</v>
      </c>
      <c r="AH345" s="101">
        <v>2.4610526E7</v>
      </c>
      <c r="AI345" s="102"/>
    </row>
    <row r="346" ht="15.75" customHeight="1">
      <c r="A346" s="101" t="s">
        <v>61</v>
      </c>
      <c r="B346" s="101" t="s">
        <v>62</v>
      </c>
      <c r="C346" s="101" t="s">
        <v>63</v>
      </c>
      <c r="D346" s="101">
        <v>2200362.0</v>
      </c>
      <c r="E346" s="102" t="s">
        <v>260</v>
      </c>
      <c r="F346" s="45">
        <v>45603.0</v>
      </c>
      <c r="G346" s="45">
        <v>45583.0</v>
      </c>
      <c r="H346" s="101" t="s">
        <v>83</v>
      </c>
      <c r="I346" s="101" t="s">
        <v>76</v>
      </c>
      <c r="J346" s="101">
        <v>15.0</v>
      </c>
      <c r="K346" s="65">
        <v>135.6333333</v>
      </c>
      <c r="L346" s="65">
        <v>2034.5</v>
      </c>
      <c r="M346" s="103">
        <v>0.2</v>
      </c>
      <c r="N346" s="65">
        <v>406.9</v>
      </c>
      <c r="O346" s="65">
        <v>2441.4</v>
      </c>
      <c r="P346" s="101" t="s">
        <v>79</v>
      </c>
      <c r="Q346" s="65">
        <v>203.45</v>
      </c>
      <c r="R346" s="65">
        <v>2644.85</v>
      </c>
      <c r="S346" s="65">
        <v>1424.15</v>
      </c>
      <c r="T346" s="65">
        <v>2616.9</v>
      </c>
      <c r="U346" s="101" t="s">
        <v>80</v>
      </c>
      <c r="V346" s="45">
        <v>45586.0</v>
      </c>
      <c r="W346" s="65"/>
      <c r="X346" s="101"/>
      <c r="Y346" s="45"/>
      <c r="Z346" s="65"/>
      <c r="AA346" s="101"/>
      <c r="AB346" s="45"/>
      <c r="AC346" s="65">
        <v>175.5</v>
      </c>
      <c r="AD346" s="101" t="s">
        <v>80</v>
      </c>
      <c r="AE346" s="45">
        <v>45604.0</v>
      </c>
      <c r="AF346" s="102"/>
      <c r="AG346" s="101"/>
      <c r="AH346" s="101"/>
      <c r="AI346" s="102"/>
    </row>
    <row r="347" ht="15.75" customHeight="1">
      <c r="A347" s="101" t="s">
        <v>61</v>
      </c>
      <c r="B347" s="101" t="s">
        <v>62</v>
      </c>
      <c r="C347" s="101" t="s">
        <v>63</v>
      </c>
      <c r="D347" s="101">
        <v>2200363.0</v>
      </c>
      <c r="E347" s="102" t="s">
        <v>615</v>
      </c>
      <c r="F347" s="45">
        <v>45617.0</v>
      </c>
      <c r="G347" s="45">
        <v>45586.0</v>
      </c>
      <c r="H347" s="101" t="s">
        <v>83</v>
      </c>
      <c r="I347" s="101" t="s">
        <v>76</v>
      </c>
      <c r="J347" s="101">
        <v>60.0</v>
      </c>
      <c r="K347" s="65">
        <v>57.97333333</v>
      </c>
      <c r="L347" s="65">
        <v>3478.4</v>
      </c>
      <c r="M347" s="103">
        <v>0.2</v>
      </c>
      <c r="N347" s="65">
        <v>695.68</v>
      </c>
      <c r="O347" s="65">
        <v>4174.08</v>
      </c>
      <c r="P347" s="101" t="s">
        <v>79</v>
      </c>
      <c r="Q347" s="65">
        <v>347.84</v>
      </c>
      <c r="R347" s="65">
        <v>4521.92</v>
      </c>
      <c r="S347" s="65">
        <v>2434.88</v>
      </c>
      <c r="T347" s="65">
        <v>2087.04</v>
      </c>
      <c r="U347" s="101" t="s">
        <v>85</v>
      </c>
      <c r="V347" s="45">
        <v>45594.0</v>
      </c>
      <c r="W347" s="65">
        <v>1869.0</v>
      </c>
      <c r="X347" s="101" t="s">
        <v>85</v>
      </c>
      <c r="Y347" s="45">
        <v>45646.0</v>
      </c>
      <c r="Z347" s="65"/>
      <c r="AA347" s="101"/>
      <c r="AB347" s="45"/>
      <c r="AC347" s="65"/>
      <c r="AD347" s="101" t="s">
        <v>85</v>
      </c>
      <c r="AE347" s="45"/>
      <c r="AF347" s="102"/>
      <c r="AG347" s="101"/>
      <c r="AH347" s="101"/>
      <c r="AI347" s="102"/>
    </row>
    <row r="348" ht="15.75" customHeight="1">
      <c r="A348" s="101" t="s">
        <v>61</v>
      </c>
      <c r="B348" s="101" t="s">
        <v>62</v>
      </c>
      <c r="C348" s="101" t="s">
        <v>63</v>
      </c>
      <c r="D348" s="101">
        <v>2200364.0</v>
      </c>
      <c r="E348" s="102" t="s">
        <v>707</v>
      </c>
      <c r="F348" s="45">
        <v>45598.0</v>
      </c>
      <c r="G348" s="45">
        <v>45586.0</v>
      </c>
      <c r="H348" s="101" t="s">
        <v>83</v>
      </c>
      <c r="I348" s="101" t="s">
        <v>76</v>
      </c>
      <c r="J348" s="101">
        <v>50.0</v>
      </c>
      <c r="K348" s="65">
        <v>94.898</v>
      </c>
      <c r="L348" s="65">
        <v>4744.9</v>
      </c>
      <c r="M348" s="103">
        <v>0.2</v>
      </c>
      <c r="N348" s="65">
        <v>948.98</v>
      </c>
      <c r="O348" s="65">
        <v>5693.88</v>
      </c>
      <c r="P348" s="101" t="s">
        <v>79</v>
      </c>
      <c r="Q348" s="65">
        <v>474.49</v>
      </c>
      <c r="R348" s="65">
        <v>6168.37</v>
      </c>
      <c r="S348" s="65">
        <v>3321.43</v>
      </c>
      <c r="T348" s="65">
        <v>5546.19</v>
      </c>
      <c r="U348" s="101" t="s">
        <v>80</v>
      </c>
      <c r="V348" s="45">
        <v>45594.0</v>
      </c>
      <c r="W348" s="65">
        <v>574.32</v>
      </c>
      <c r="X348" s="101" t="s">
        <v>80</v>
      </c>
      <c r="Y348" s="45">
        <v>45596.0</v>
      </c>
      <c r="Z348" s="65"/>
      <c r="AA348" s="101"/>
      <c r="AB348" s="45"/>
      <c r="AC348" s="65">
        <v>856.83</v>
      </c>
      <c r="AD348" s="101" t="s">
        <v>80</v>
      </c>
      <c r="AE348" s="45">
        <v>45674.0</v>
      </c>
      <c r="AF348" s="102"/>
      <c r="AG348" s="101"/>
      <c r="AH348" s="101"/>
      <c r="AI348" s="102"/>
    </row>
    <row r="349" ht="15.75" customHeight="1">
      <c r="A349" s="101" t="s">
        <v>61</v>
      </c>
      <c r="B349" s="101" t="s">
        <v>62</v>
      </c>
      <c r="C349" s="101" t="s">
        <v>63</v>
      </c>
      <c r="D349" s="101">
        <v>2200365.0</v>
      </c>
      <c r="E349" s="102" t="s">
        <v>664</v>
      </c>
      <c r="F349" s="45">
        <v>45596.0</v>
      </c>
      <c r="G349" s="45">
        <v>45586.0</v>
      </c>
      <c r="H349" s="101" t="s">
        <v>83</v>
      </c>
      <c r="I349" s="101" t="s">
        <v>76</v>
      </c>
      <c r="J349" s="101">
        <v>15.0</v>
      </c>
      <c r="K349" s="65">
        <v>50.95</v>
      </c>
      <c r="L349" s="65">
        <v>764.25</v>
      </c>
      <c r="M349" s="103">
        <v>0.2</v>
      </c>
      <c r="N349" s="65">
        <v>152.85</v>
      </c>
      <c r="O349" s="65">
        <v>917.1</v>
      </c>
      <c r="P349" s="101" t="s">
        <v>84</v>
      </c>
      <c r="Q349" s="65">
        <v>76.425</v>
      </c>
      <c r="R349" s="65">
        <v>917.1</v>
      </c>
      <c r="S349" s="65">
        <v>534.975</v>
      </c>
      <c r="T349" s="65">
        <v>917.0</v>
      </c>
      <c r="U349" s="101" t="s">
        <v>80</v>
      </c>
      <c r="V349" s="45">
        <v>45587.0</v>
      </c>
      <c r="W349" s="65"/>
      <c r="X349" s="101"/>
      <c r="Y349" s="45"/>
      <c r="Z349" s="65"/>
      <c r="AA349" s="101"/>
      <c r="AB349" s="45"/>
      <c r="AC349" s="65"/>
      <c r="AD349" s="101"/>
      <c r="AE349" s="45"/>
      <c r="AF349" s="102"/>
      <c r="AG349" s="101"/>
      <c r="AH349" s="101"/>
      <c r="AI349" s="102"/>
    </row>
    <row r="350" ht="15.75" customHeight="1">
      <c r="A350" s="101" t="s">
        <v>61</v>
      </c>
      <c r="B350" s="101" t="s">
        <v>62</v>
      </c>
      <c r="C350" s="101" t="s">
        <v>63</v>
      </c>
      <c r="D350" s="101">
        <v>2200366.0</v>
      </c>
      <c r="E350" s="102" t="s">
        <v>481</v>
      </c>
      <c r="F350" s="45">
        <v>45645.0</v>
      </c>
      <c r="G350" s="45">
        <v>45587.0</v>
      </c>
      <c r="H350" s="101" t="s">
        <v>83</v>
      </c>
      <c r="I350" s="101" t="s">
        <v>76</v>
      </c>
      <c r="J350" s="101">
        <v>55.0</v>
      </c>
      <c r="K350" s="65">
        <v>66.21363636</v>
      </c>
      <c r="L350" s="65">
        <v>3641.75</v>
      </c>
      <c r="M350" s="103">
        <v>0.2</v>
      </c>
      <c r="N350" s="65">
        <v>728.35</v>
      </c>
      <c r="O350" s="65">
        <v>4370.1</v>
      </c>
      <c r="P350" s="101" t="s">
        <v>79</v>
      </c>
      <c r="Q350" s="65">
        <v>364.175</v>
      </c>
      <c r="R350" s="65">
        <v>4734.275</v>
      </c>
      <c r="S350" s="65">
        <v>2549.225</v>
      </c>
      <c r="T350" s="65">
        <v>1625.54</v>
      </c>
      <c r="U350" s="101" t="s">
        <v>85</v>
      </c>
      <c r="V350" s="45">
        <v>45590.0</v>
      </c>
      <c r="W350" s="65">
        <v>3108.73</v>
      </c>
      <c r="X350" s="101" t="s">
        <v>80</v>
      </c>
      <c r="Y350" s="45">
        <v>45636.0</v>
      </c>
      <c r="Z350" s="65"/>
      <c r="AA350" s="101"/>
      <c r="AB350" s="45"/>
      <c r="AC350" s="65">
        <v>364.17</v>
      </c>
      <c r="AD350" s="101" t="s">
        <v>80</v>
      </c>
      <c r="AE350" s="45">
        <v>45647.0</v>
      </c>
      <c r="AF350" s="102"/>
      <c r="AG350" s="101"/>
      <c r="AH350" s="101"/>
      <c r="AI350" s="102"/>
    </row>
    <row r="351" ht="15.75" customHeight="1">
      <c r="A351" s="101" t="s">
        <v>61</v>
      </c>
      <c r="B351" s="101" t="s">
        <v>62</v>
      </c>
      <c r="C351" s="101" t="s">
        <v>63</v>
      </c>
      <c r="D351" s="101">
        <v>2200367.0</v>
      </c>
      <c r="E351" s="102" t="s">
        <v>709</v>
      </c>
      <c r="F351" s="45">
        <v>45636.0</v>
      </c>
      <c r="G351" s="45">
        <v>45589.0</v>
      </c>
      <c r="H351" s="101" t="s">
        <v>83</v>
      </c>
      <c r="I351" s="101" t="s">
        <v>76</v>
      </c>
      <c r="J351" s="101">
        <v>23.0</v>
      </c>
      <c r="K351" s="65">
        <v>93.36086957</v>
      </c>
      <c r="L351" s="65">
        <v>2147.3</v>
      </c>
      <c r="M351" s="103">
        <v>0.2</v>
      </c>
      <c r="N351" s="65">
        <v>429.46</v>
      </c>
      <c r="O351" s="65">
        <v>2576.76</v>
      </c>
      <c r="P351" s="101" t="s">
        <v>79</v>
      </c>
      <c r="Q351" s="65">
        <v>214.73</v>
      </c>
      <c r="R351" s="65">
        <v>2791.49</v>
      </c>
      <c r="S351" s="65">
        <v>1503.11</v>
      </c>
      <c r="T351" s="65">
        <v>2791.49</v>
      </c>
      <c r="U351" s="101" t="s">
        <v>85</v>
      </c>
      <c r="V351" s="45">
        <v>45603.0</v>
      </c>
      <c r="W351" s="65"/>
      <c r="X351" s="101"/>
      <c r="Y351" s="45"/>
      <c r="Z351" s="65"/>
      <c r="AA351" s="101"/>
      <c r="AB351" s="45"/>
      <c r="AC351" s="65">
        <v>53.81</v>
      </c>
      <c r="AD351" s="101" t="s">
        <v>85</v>
      </c>
      <c r="AE351" s="45">
        <v>45641.0</v>
      </c>
      <c r="AF351" s="102" t="s">
        <v>454</v>
      </c>
      <c r="AG351" s="101" t="s">
        <v>379</v>
      </c>
      <c r="AH351" s="101">
        <v>1.1369237E7</v>
      </c>
      <c r="AI351" s="102"/>
    </row>
    <row r="352" ht="15.75" customHeight="1">
      <c r="A352" s="101" t="s">
        <v>219</v>
      </c>
      <c r="B352" s="101" t="s">
        <v>62</v>
      </c>
      <c r="C352" s="101" t="s">
        <v>278</v>
      </c>
      <c r="D352" s="101">
        <v>2200368.0</v>
      </c>
      <c r="E352" s="102" t="s">
        <v>710</v>
      </c>
      <c r="F352" s="45">
        <v>45871.0</v>
      </c>
      <c r="G352" s="45">
        <v>45590.0</v>
      </c>
      <c r="H352" s="101" t="s">
        <v>73</v>
      </c>
      <c r="I352" s="101" t="s">
        <v>119</v>
      </c>
      <c r="J352" s="101">
        <v>48.0</v>
      </c>
      <c r="K352" s="65">
        <v>185.3708333</v>
      </c>
      <c r="L352" s="65">
        <v>8897.8</v>
      </c>
      <c r="M352" s="103">
        <v>0.2</v>
      </c>
      <c r="N352" s="65">
        <v>1779.56</v>
      </c>
      <c r="O352" s="65">
        <v>10677.36</v>
      </c>
      <c r="P352" s="101" t="s">
        <v>79</v>
      </c>
      <c r="Q352" s="65">
        <v>889.78</v>
      </c>
      <c r="R352" s="65">
        <v>11567.14</v>
      </c>
      <c r="S352" s="65">
        <v>6228.46</v>
      </c>
      <c r="T352" s="65">
        <v>8500.8</v>
      </c>
      <c r="U352" s="101" t="s">
        <v>80</v>
      </c>
      <c r="V352" s="45">
        <v>45591.0</v>
      </c>
      <c r="W352" s="65"/>
      <c r="X352" s="101"/>
      <c r="Y352" s="45"/>
      <c r="Z352" s="65"/>
      <c r="AA352" s="101"/>
      <c r="AB352" s="45"/>
      <c r="AC352" s="65">
        <v>8500.8</v>
      </c>
      <c r="AD352" s="101" t="s">
        <v>85</v>
      </c>
      <c r="AE352" s="45">
        <v>45733.0</v>
      </c>
      <c r="AF352" s="102"/>
      <c r="AG352" s="101"/>
      <c r="AH352" s="101"/>
      <c r="AI352" s="102"/>
    </row>
    <row r="353" ht="15.75" customHeight="1">
      <c r="A353" s="101" t="s">
        <v>61</v>
      </c>
      <c r="B353" s="101" t="s">
        <v>62</v>
      </c>
      <c r="C353" s="101" t="s">
        <v>63</v>
      </c>
      <c r="D353" s="101">
        <v>2200369.0</v>
      </c>
      <c r="E353" s="102" t="s">
        <v>711</v>
      </c>
      <c r="F353" s="45">
        <v>45638.0</v>
      </c>
      <c r="G353" s="45">
        <v>45590.0</v>
      </c>
      <c r="H353" s="101" t="s">
        <v>73</v>
      </c>
      <c r="I353" s="101" t="s">
        <v>76</v>
      </c>
      <c r="J353" s="101">
        <v>60.0</v>
      </c>
      <c r="K353" s="65">
        <v>36.0</v>
      </c>
      <c r="L353" s="65">
        <v>2160.0</v>
      </c>
      <c r="M353" s="103">
        <v>0.2</v>
      </c>
      <c r="N353" s="65">
        <v>432.0</v>
      </c>
      <c r="O353" s="65">
        <v>2592.0</v>
      </c>
      <c r="P353" s="101" t="s">
        <v>84</v>
      </c>
      <c r="Q353" s="65">
        <v>216.0</v>
      </c>
      <c r="R353" s="65">
        <v>2592.0</v>
      </c>
      <c r="S353" s="65">
        <v>1512.0</v>
      </c>
      <c r="T353" s="65">
        <v>1191.0</v>
      </c>
      <c r="U353" s="101" t="s">
        <v>85</v>
      </c>
      <c r="V353" s="45">
        <v>45604.0</v>
      </c>
      <c r="W353" s="65">
        <v>1401.0</v>
      </c>
      <c r="X353" s="101" t="s">
        <v>80</v>
      </c>
      <c r="Y353" s="45">
        <v>45635.0</v>
      </c>
      <c r="Z353" s="65"/>
      <c r="AA353" s="101"/>
      <c r="AB353" s="45"/>
      <c r="AC353" s="65"/>
      <c r="AD353" s="101"/>
      <c r="AE353" s="45"/>
      <c r="AF353" s="102"/>
      <c r="AG353" s="101"/>
      <c r="AH353" s="101"/>
      <c r="AI353" s="102"/>
    </row>
    <row r="354" ht="15.75" customHeight="1">
      <c r="A354" s="101" t="s">
        <v>219</v>
      </c>
      <c r="B354" s="101" t="s">
        <v>62</v>
      </c>
      <c r="C354" s="101" t="s">
        <v>63</v>
      </c>
      <c r="D354" s="101">
        <v>2200370.0</v>
      </c>
      <c r="E354" s="102" t="s">
        <v>181</v>
      </c>
      <c r="F354" s="45">
        <v>45643.0</v>
      </c>
      <c r="G354" s="45">
        <v>45593.0</v>
      </c>
      <c r="H354" s="101" t="s">
        <v>83</v>
      </c>
      <c r="I354" s="101" t="s">
        <v>76</v>
      </c>
      <c r="J354" s="101">
        <v>100.0</v>
      </c>
      <c r="K354" s="65">
        <v>115.965</v>
      </c>
      <c r="L354" s="65">
        <v>11596.5</v>
      </c>
      <c r="M354" s="103">
        <v>0.2</v>
      </c>
      <c r="N354" s="65">
        <v>2319.3</v>
      </c>
      <c r="O354" s="65">
        <v>13915.8</v>
      </c>
      <c r="P354" s="101" t="s">
        <v>79</v>
      </c>
      <c r="Q354" s="65">
        <v>1159.65</v>
      </c>
      <c r="R354" s="65">
        <v>15075.45</v>
      </c>
      <c r="S354" s="65">
        <v>8117.55</v>
      </c>
      <c r="T354" s="65">
        <v>7359.9</v>
      </c>
      <c r="U354" s="101" t="s">
        <v>85</v>
      </c>
      <c r="V354" s="45">
        <v>45602.0</v>
      </c>
      <c r="W354" s="65">
        <v>6723.9</v>
      </c>
      <c r="X354" s="101" t="s">
        <v>80</v>
      </c>
      <c r="Y354" s="45">
        <v>45639.0</v>
      </c>
      <c r="Z354" s="65"/>
      <c r="AA354" s="101"/>
      <c r="AB354" s="45"/>
      <c r="AC354" s="65">
        <v>1435.32</v>
      </c>
      <c r="AD354" s="101" t="s">
        <v>80</v>
      </c>
      <c r="AE354" s="45">
        <v>45656.0</v>
      </c>
      <c r="AF354" s="102"/>
      <c r="AG354" s="101"/>
      <c r="AH354" s="101"/>
      <c r="AI354" s="102"/>
    </row>
    <row r="355" ht="15.75" customHeight="1">
      <c r="A355" s="101" t="s">
        <v>61</v>
      </c>
      <c r="B355" s="101" t="s">
        <v>62</v>
      </c>
      <c r="C355" s="101" t="s">
        <v>251</v>
      </c>
      <c r="D355" s="101">
        <v>2200371.0</v>
      </c>
      <c r="E355" s="102" t="s">
        <v>712</v>
      </c>
      <c r="F355" s="45">
        <v>45619.0</v>
      </c>
      <c r="G355" s="45">
        <v>45595.0</v>
      </c>
      <c r="H355" s="101" t="s">
        <v>83</v>
      </c>
      <c r="I355" s="101" t="s">
        <v>76</v>
      </c>
      <c r="J355" s="101">
        <v>100.0</v>
      </c>
      <c r="K355" s="65">
        <v>44.79</v>
      </c>
      <c r="L355" s="65">
        <v>4479.0</v>
      </c>
      <c r="M355" s="103">
        <v>0.2</v>
      </c>
      <c r="N355" s="65">
        <v>895.8</v>
      </c>
      <c r="O355" s="65">
        <v>5374.8</v>
      </c>
      <c r="P355" s="101" t="s">
        <v>79</v>
      </c>
      <c r="Q355" s="65">
        <v>447.9</v>
      </c>
      <c r="R355" s="65">
        <v>5822.7</v>
      </c>
      <c r="S355" s="65">
        <v>3135.3</v>
      </c>
      <c r="T355" s="65">
        <v>3412.8</v>
      </c>
      <c r="U355" s="101" t="s">
        <v>80</v>
      </c>
      <c r="V355" s="45">
        <v>45602.0</v>
      </c>
      <c r="W355" s="65">
        <v>2409.9</v>
      </c>
      <c r="X355" s="101" t="s">
        <v>80</v>
      </c>
      <c r="Y355" s="45">
        <v>45615.0</v>
      </c>
      <c r="Z355" s="65"/>
      <c r="AA355" s="101"/>
      <c r="AB355" s="45"/>
      <c r="AC355" s="65">
        <v>447.9</v>
      </c>
      <c r="AD355" s="101" t="s">
        <v>80</v>
      </c>
      <c r="AE355" s="45">
        <v>45640.0</v>
      </c>
      <c r="AF355" s="102"/>
      <c r="AG355" s="101"/>
      <c r="AH355" s="101"/>
      <c r="AI355" s="102"/>
    </row>
    <row r="356" ht="15.75" customHeight="1">
      <c r="A356" s="101" t="s">
        <v>61</v>
      </c>
      <c r="B356" s="101" t="s">
        <v>62</v>
      </c>
      <c r="C356" s="101" t="s">
        <v>63</v>
      </c>
      <c r="D356" s="101">
        <v>2200372.0</v>
      </c>
      <c r="E356" s="102" t="s">
        <v>713</v>
      </c>
      <c r="F356" s="45">
        <v>45603.0</v>
      </c>
      <c r="G356" s="45">
        <v>45596.0</v>
      </c>
      <c r="H356" s="101" t="s">
        <v>73</v>
      </c>
      <c r="I356" s="101" t="s">
        <v>76</v>
      </c>
      <c r="J356" s="101">
        <v>50.0</v>
      </c>
      <c r="K356" s="65">
        <v>36.47</v>
      </c>
      <c r="L356" s="65">
        <v>1823.5</v>
      </c>
      <c r="M356" s="103">
        <v>0.2</v>
      </c>
      <c r="N356" s="65">
        <v>364.7</v>
      </c>
      <c r="O356" s="65">
        <v>2188.2</v>
      </c>
      <c r="P356" s="101" t="s">
        <v>79</v>
      </c>
      <c r="Q356" s="65">
        <v>182.35</v>
      </c>
      <c r="R356" s="65">
        <v>2370.55</v>
      </c>
      <c r="S356" s="65">
        <v>1276.45</v>
      </c>
      <c r="T356" s="65">
        <v>2370.55</v>
      </c>
      <c r="U356" s="101" t="s">
        <v>80</v>
      </c>
      <c r="V356" s="45">
        <v>45601.0</v>
      </c>
      <c r="W356" s="65"/>
      <c r="X356" s="101"/>
      <c r="Y356" s="45"/>
      <c r="Z356" s="65"/>
      <c r="AA356" s="101"/>
      <c r="AB356" s="45"/>
      <c r="AC356" s="65">
        <v>182.35</v>
      </c>
      <c r="AD356" s="101" t="s">
        <v>80</v>
      </c>
      <c r="AE356" s="45">
        <v>45604.0</v>
      </c>
      <c r="AF356" s="102"/>
      <c r="AG356" s="101"/>
      <c r="AH356" s="101"/>
      <c r="AI356" s="102"/>
    </row>
    <row r="357" ht="15.75" customHeight="1">
      <c r="A357" s="101" t="s">
        <v>61</v>
      </c>
      <c r="B357" s="101" t="s">
        <v>62</v>
      </c>
      <c r="C357" s="101" t="s">
        <v>63</v>
      </c>
      <c r="D357" s="101">
        <v>2200373.0</v>
      </c>
      <c r="E357" s="102" t="s">
        <v>714</v>
      </c>
      <c r="F357" s="45">
        <v>45623.0</v>
      </c>
      <c r="G357" s="45">
        <v>45596.0</v>
      </c>
      <c r="H357" s="101" t="s">
        <v>73</v>
      </c>
      <c r="I357" s="101" t="s">
        <v>76</v>
      </c>
      <c r="J357" s="101">
        <v>35.0</v>
      </c>
      <c r="K357" s="65">
        <v>73.56428571</v>
      </c>
      <c r="L357" s="65">
        <v>2574.75</v>
      </c>
      <c r="M357" s="103">
        <v>0.2</v>
      </c>
      <c r="N357" s="65">
        <v>514.95</v>
      </c>
      <c r="O357" s="65">
        <v>3089.7</v>
      </c>
      <c r="P357" s="101" t="s">
        <v>79</v>
      </c>
      <c r="Q357" s="65">
        <v>257.475</v>
      </c>
      <c r="R357" s="65">
        <v>3347.175</v>
      </c>
      <c r="S357" s="65">
        <v>1802.325</v>
      </c>
      <c r="T357" s="65">
        <v>2747.87</v>
      </c>
      <c r="U357" s="101" t="s">
        <v>85</v>
      </c>
      <c r="V357" s="45">
        <v>45609.0</v>
      </c>
      <c r="W357" s="65">
        <v>319.2</v>
      </c>
      <c r="X357" s="101" t="s">
        <v>85</v>
      </c>
      <c r="Y357" s="45">
        <v>45617.0</v>
      </c>
      <c r="Z357" s="65">
        <v>234.0</v>
      </c>
      <c r="AA357" s="101" t="s">
        <v>85</v>
      </c>
      <c r="AB357" s="45">
        <v>45623.0</v>
      </c>
      <c r="AC357" s="65">
        <v>107.27</v>
      </c>
      <c r="AD357" s="101" t="s">
        <v>85</v>
      </c>
      <c r="AE357" s="45">
        <v>45658.0</v>
      </c>
      <c r="AF357" s="102" t="s">
        <v>715</v>
      </c>
      <c r="AG357" s="101" t="s">
        <v>704</v>
      </c>
      <c r="AH357" s="101">
        <v>2.3665801E7</v>
      </c>
      <c r="AI357" s="102"/>
    </row>
    <row r="358" ht="15.75" customHeight="1">
      <c r="A358" s="101" t="s">
        <v>219</v>
      </c>
      <c r="B358" s="101" t="s">
        <v>62</v>
      </c>
      <c r="C358" s="101" t="s">
        <v>63</v>
      </c>
      <c r="D358" s="101">
        <v>2200374.0</v>
      </c>
      <c r="E358" s="102" t="s">
        <v>716</v>
      </c>
      <c r="F358" s="45">
        <v>45609.0</v>
      </c>
      <c r="G358" s="45">
        <v>45597.0</v>
      </c>
      <c r="H358" s="101" t="s">
        <v>83</v>
      </c>
      <c r="I358" s="101" t="s">
        <v>76</v>
      </c>
      <c r="J358" s="101">
        <v>100.0</v>
      </c>
      <c r="K358" s="65">
        <v>44.36</v>
      </c>
      <c r="L358" s="65">
        <v>4436.0</v>
      </c>
      <c r="M358" s="103">
        <v>0.2</v>
      </c>
      <c r="N358" s="65">
        <v>887.2</v>
      </c>
      <c r="O358" s="65">
        <v>5323.2</v>
      </c>
      <c r="P358" s="101" t="s">
        <v>79</v>
      </c>
      <c r="Q358" s="65">
        <v>443.6</v>
      </c>
      <c r="R358" s="65">
        <v>5766.8</v>
      </c>
      <c r="S358" s="65">
        <v>3105.2</v>
      </c>
      <c r="T358" s="65">
        <v>5766.8</v>
      </c>
      <c r="U358" s="101" t="s">
        <v>85</v>
      </c>
      <c r="V358" s="45">
        <v>45609.0</v>
      </c>
      <c r="W358" s="65"/>
      <c r="X358" s="101"/>
      <c r="Y358" s="45"/>
      <c r="Z358" s="65"/>
      <c r="AA358" s="101"/>
      <c r="AB358" s="45"/>
      <c r="AC358" s="65">
        <v>558.5</v>
      </c>
      <c r="AD358" s="101" t="s">
        <v>85</v>
      </c>
      <c r="AE358" s="45">
        <v>45618.0</v>
      </c>
      <c r="AF358" s="102" t="s">
        <v>717</v>
      </c>
      <c r="AG358" s="101" t="s">
        <v>718</v>
      </c>
      <c r="AH358" s="101" t="s">
        <v>719</v>
      </c>
      <c r="AI358" s="102"/>
    </row>
    <row r="359" ht="15.75" customHeight="1">
      <c r="A359" s="101" t="s">
        <v>219</v>
      </c>
      <c r="B359" s="101" t="s">
        <v>62</v>
      </c>
      <c r="C359" s="101" t="s">
        <v>63</v>
      </c>
      <c r="D359" s="101">
        <v>2200375.0</v>
      </c>
      <c r="E359" s="102" t="s">
        <v>720</v>
      </c>
      <c r="F359" s="45">
        <v>45610.0</v>
      </c>
      <c r="G359" s="45">
        <v>45597.0</v>
      </c>
      <c r="H359" s="101" t="s">
        <v>73</v>
      </c>
      <c r="I359" s="101" t="s">
        <v>76</v>
      </c>
      <c r="J359" s="101">
        <v>15.0</v>
      </c>
      <c r="K359" s="65">
        <v>211.6466667</v>
      </c>
      <c r="L359" s="65">
        <v>3174.7</v>
      </c>
      <c r="M359" s="103">
        <v>0.2</v>
      </c>
      <c r="N359" s="65">
        <v>634.94</v>
      </c>
      <c r="O359" s="65">
        <v>3809.64</v>
      </c>
      <c r="P359" s="101" t="s">
        <v>79</v>
      </c>
      <c r="Q359" s="65">
        <v>317.47</v>
      </c>
      <c r="R359" s="65">
        <v>4127.11</v>
      </c>
      <c r="S359" s="65">
        <v>2222.29</v>
      </c>
      <c r="T359" s="65">
        <v>4127.11</v>
      </c>
      <c r="U359" s="101" t="s">
        <v>85</v>
      </c>
      <c r="V359" s="45">
        <v>45602.0</v>
      </c>
      <c r="W359" s="65">
        <v>300.96</v>
      </c>
      <c r="X359" s="101" t="s">
        <v>85</v>
      </c>
      <c r="Y359" s="45">
        <v>45604.0</v>
      </c>
      <c r="Z359" s="65"/>
      <c r="AA359" s="101"/>
      <c r="AB359" s="45"/>
      <c r="AC359" s="65">
        <v>268.51</v>
      </c>
      <c r="AD359" s="101" t="s">
        <v>85</v>
      </c>
      <c r="AE359" s="45">
        <v>45615.0</v>
      </c>
      <c r="AF359" s="102"/>
      <c r="AG359" s="101"/>
      <c r="AH359" s="101"/>
      <c r="AI359" s="102"/>
    </row>
    <row r="360" ht="15.75" customHeight="1">
      <c r="A360" s="101" t="s">
        <v>61</v>
      </c>
      <c r="B360" s="101" t="s">
        <v>62</v>
      </c>
      <c r="C360" s="101" t="s">
        <v>251</v>
      </c>
      <c r="D360" s="101">
        <v>2200376.0</v>
      </c>
      <c r="E360" s="102" t="s">
        <v>486</v>
      </c>
      <c r="F360" s="45">
        <v>45640.0</v>
      </c>
      <c r="G360" s="45">
        <v>45600.0</v>
      </c>
      <c r="H360" s="101" t="s">
        <v>83</v>
      </c>
      <c r="I360" s="101" t="s">
        <v>76</v>
      </c>
      <c r="J360" s="101">
        <v>40.0</v>
      </c>
      <c r="K360" s="65">
        <v>76.6875</v>
      </c>
      <c r="L360" s="65">
        <v>3067.5</v>
      </c>
      <c r="M360" s="103">
        <v>0.2</v>
      </c>
      <c r="N360" s="65">
        <v>613.5</v>
      </c>
      <c r="O360" s="65">
        <v>3681.0</v>
      </c>
      <c r="P360" s="101" t="s">
        <v>79</v>
      </c>
      <c r="Q360" s="65">
        <v>306.75</v>
      </c>
      <c r="R360" s="65">
        <v>3987.75</v>
      </c>
      <c r="S360" s="65">
        <v>2147.25</v>
      </c>
      <c r="T360" s="65">
        <v>2208.6</v>
      </c>
      <c r="U360" s="101" t="s">
        <v>85</v>
      </c>
      <c r="V360" s="45">
        <v>45600.0</v>
      </c>
      <c r="W360" s="65">
        <v>1179.15</v>
      </c>
      <c r="X360" s="101" t="s">
        <v>80</v>
      </c>
      <c r="Y360" s="45">
        <v>45632.0</v>
      </c>
      <c r="Z360" s="65"/>
      <c r="AA360" s="101"/>
      <c r="AB360" s="45"/>
      <c r="AC360" s="65">
        <v>306.75</v>
      </c>
      <c r="AD360" s="101" t="s">
        <v>80</v>
      </c>
      <c r="AE360" s="45">
        <v>45647.0</v>
      </c>
      <c r="AF360" s="102"/>
      <c r="AG360" s="101"/>
      <c r="AH360" s="101"/>
      <c r="AI360" s="102"/>
    </row>
    <row r="361" ht="15.75" customHeight="1">
      <c r="A361" s="101" t="s">
        <v>219</v>
      </c>
      <c r="B361" s="101" t="s">
        <v>62</v>
      </c>
      <c r="C361" s="101" t="s">
        <v>63</v>
      </c>
      <c r="D361" s="101"/>
      <c r="E361" s="102" t="s">
        <v>721</v>
      </c>
      <c r="F361" s="45">
        <v>45624.0</v>
      </c>
      <c r="G361" s="45">
        <v>45601.0</v>
      </c>
      <c r="H361" s="101" t="s">
        <v>73</v>
      </c>
      <c r="I361" s="101" t="s">
        <v>76</v>
      </c>
      <c r="J361" s="101">
        <v>60.0</v>
      </c>
      <c r="K361" s="65">
        <v>66.06666667</v>
      </c>
      <c r="L361" s="65">
        <v>3964.0</v>
      </c>
      <c r="M361" s="103">
        <v>0.2</v>
      </c>
      <c r="N361" s="65">
        <v>792.8</v>
      </c>
      <c r="O361" s="65">
        <v>4756.8</v>
      </c>
      <c r="P361" s="101" t="s">
        <v>79</v>
      </c>
      <c r="Q361" s="65">
        <v>396.4</v>
      </c>
      <c r="R361" s="65">
        <v>5153.2</v>
      </c>
      <c r="S361" s="65">
        <v>2774.8</v>
      </c>
      <c r="T361" s="65">
        <v>4756.8</v>
      </c>
      <c r="U361" s="101" t="s">
        <v>85</v>
      </c>
      <c r="V361" s="45">
        <v>45610.0</v>
      </c>
      <c r="W361" s="65"/>
      <c r="X361" s="101"/>
      <c r="Y361" s="45"/>
      <c r="Z361" s="65"/>
      <c r="AA361" s="101"/>
      <c r="AB361" s="45"/>
      <c r="AC361" s="65">
        <v>396.4</v>
      </c>
      <c r="AD361" s="101"/>
      <c r="AE361" s="45">
        <v>45641.0</v>
      </c>
      <c r="AF361" s="102" t="s">
        <v>722</v>
      </c>
      <c r="AG361" s="101">
        <v>301281.0</v>
      </c>
      <c r="AH361" s="101">
        <v>2.2020293E7</v>
      </c>
      <c r="AI361" s="102"/>
    </row>
    <row r="362" ht="15.75" customHeight="1">
      <c r="A362" s="101" t="s">
        <v>61</v>
      </c>
      <c r="B362" s="101" t="s">
        <v>62</v>
      </c>
      <c r="C362" s="101" t="s">
        <v>63</v>
      </c>
      <c r="D362" s="101">
        <v>2200378.0</v>
      </c>
      <c r="E362" s="102" t="s">
        <v>723</v>
      </c>
      <c r="F362" s="45">
        <v>45608.0</v>
      </c>
      <c r="G362" s="45">
        <v>45602.0</v>
      </c>
      <c r="H362" s="101" t="s">
        <v>73</v>
      </c>
      <c r="I362" s="101" t="s">
        <v>76</v>
      </c>
      <c r="J362" s="101">
        <v>60.0</v>
      </c>
      <c r="K362" s="65">
        <v>20.7875</v>
      </c>
      <c r="L362" s="65">
        <v>1247.25</v>
      </c>
      <c r="M362" s="103">
        <v>0.2</v>
      </c>
      <c r="N362" s="65">
        <v>249.45</v>
      </c>
      <c r="O362" s="65">
        <v>1496.7</v>
      </c>
      <c r="P362" s="101" t="s">
        <v>84</v>
      </c>
      <c r="Q362" s="65">
        <v>124.725</v>
      </c>
      <c r="R362" s="65">
        <v>1496.7</v>
      </c>
      <c r="S362" s="65">
        <v>873.075</v>
      </c>
      <c r="T362" s="65">
        <v>1496.7</v>
      </c>
      <c r="U362" s="101" t="s">
        <v>80</v>
      </c>
      <c r="V362" s="45">
        <v>45602.0</v>
      </c>
      <c r="W362" s="65"/>
      <c r="X362" s="101"/>
      <c r="Y362" s="45"/>
      <c r="Z362" s="65"/>
      <c r="AA362" s="101"/>
      <c r="AB362" s="45"/>
      <c r="AC362" s="65"/>
      <c r="AD362" s="101"/>
      <c r="AE362" s="45"/>
      <c r="AF362" s="102"/>
      <c r="AG362" s="101"/>
      <c r="AH362" s="101"/>
      <c r="AI362" s="102"/>
    </row>
    <row r="363" ht="15.75" customHeight="1">
      <c r="A363" s="101" t="s">
        <v>61</v>
      </c>
      <c r="B363" s="101" t="s">
        <v>62</v>
      </c>
      <c r="C363" s="101" t="s">
        <v>63</v>
      </c>
      <c r="D363" s="101">
        <v>2200379.0</v>
      </c>
      <c r="E363" s="102" t="s">
        <v>724</v>
      </c>
      <c r="F363" s="45">
        <v>45636.0</v>
      </c>
      <c r="G363" s="45">
        <v>45603.0</v>
      </c>
      <c r="H363" s="101" t="s">
        <v>83</v>
      </c>
      <c r="I363" s="101" t="s">
        <v>76</v>
      </c>
      <c r="J363" s="101">
        <v>150.0</v>
      </c>
      <c r="K363" s="65">
        <v>83.44266667</v>
      </c>
      <c r="L363" s="65">
        <v>12516.4</v>
      </c>
      <c r="M363" s="103">
        <v>0.2</v>
      </c>
      <c r="N363" s="65">
        <v>2503.28</v>
      </c>
      <c r="O363" s="65">
        <v>15019.68</v>
      </c>
      <c r="P363" s="101" t="s">
        <v>79</v>
      </c>
      <c r="Q363" s="65">
        <v>1251.64</v>
      </c>
      <c r="R363" s="65">
        <v>16271.32</v>
      </c>
      <c r="S363" s="65">
        <v>8761.48</v>
      </c>
      <c r="T363" s="65">
        <v>3754.92</v>
      </c>
      <c r="U363" s="101" t="s">
        <v>85</v>
      </c>
      <c r="V363" s="45">
        <v>45630.0</v>
      </c>
      <c r="W363" s="65">
        <v>3754.92</v>
      </c>
      <c r="X363" s="101" t="s">
        <v>85</v>
      </c>
      <c r="Y363" s="45">
        <v>45632.0</v>
      </c>
      <c r="Z363" s="65">
        <v>6704.88</v>
      </c>
      <c r="AA363" s="101" t="s">
        <v>85</v>
      </c>
      <c r="AB363" s="45">
        <v>45637.0</v>
      </c>
      <c r="AC363" s="65">
        <v>1214.64</v>
      </c>
      <c r="AD363" s="101" t="s">
        <v>85</v>
      </c>
      <c r="AE363" s="45">
        <v>45641.0</v>
      </c>
      <c r="AF363" s="102" t="s">
        <v>678</v>
      </c>
      <c r="AG363" s="101" t="s">
        <v>679</v>
      </c>
      <c r="AH363" s="101">
        <v>2.4314107E7</v>
      </c>
      <c r="AI363" s="102"/>
    </row>
    <row r="364" ht="15.75" customHeight="1">
      <c r="A364" s="101" t="s">
        <v>61</v>
      </c>
      <c r="B364" s="101" t="s">
        <v>62</v>
      </c>
      <c r="C364" s="101" t="s">
        <v>63</v>
      </c>
      <c r="D364" s="101">
        <v>2200380.0</v>
      </c>
      <c r="E364" s="102" t="s">
        <v>725</v>
      </c>
      <c r="F364" s="45">
        <v>45630.0</v>
      </c>
      <c r="G364" s="45">
        <v>45609.0</v>
      </c>
      <c r="H364" s="101" t="s">
        <v>73</v>
      </c>
      <c r="I364" s="101" t="s">
        <v>76</v>
      </c>
      <c r="J364" s="101">
        <v>40.0</v>
      </c>
      <c r="K364" s="65">
        <v>47.05</v>
      </c>
      <c r="L364" s="65">
        <v>1882.0</v>
      </c>
      <c r="M364" s="103">
        <v>0.2</v>
      </c>
      <c r="N364" s="65">
        <v>376.4</v>
      </c>
      <c r="O364" s="65">
        <v>2258.4</v>
      </c>
      <c r="P364" s="101" t="s">
        <v>79</v>
      </c>
      <c r="Q364" s="65">
        <v>188.2</v>
      </c>
      <c r="R364" s="65">
        <v>2446.6</v>
      </c>
      <c r="S364" s="65">
        <v>1317.4</v>
      </c>
      <c r="T364" s="65">
        <v>1297.2</v>
      </c>
      <c r="U364" s="101" t="s">
        <v>85</v>
      </c>
      <c r="V364" s="45">
        <v>45618.0</v>
      </c>
      <c r="W364" s="65">
        <v>1149.4</v>
      </c>
      <c r="X364" s="101" t="s">
        <v>85</v>
      </c>
      <c r="Y364" s="45">
        <v>45625.0</v>
      </c>
      <c r="Z364" s="65"/>
      <c r="AA364" s="101"/>
      <c r="AB364" s="45"/>
      <c r="AC364" s="65">
        <v>188.2</v>
      </c>
      <c r="AD364" s="101" t="s">
        <v>85</v>
      </c>
      <c r="AE364" s="45">
        <v>45641.0</v>
      </c>
      <c r="AF364" s="102" t="s">
        <v>726</v>
      </c>
      <c r="AG364" s="101" t="s">
        <v>727</v>
      </c>
      <c r="AH364" s="101">
        <v>9.1060406E7</v>
      </c>
      <c r="AI364" s="102"/>
    </row>
    <row r="365" ht="15.75" customHeight="1">
      <c r="A365" s="101" t="s">
        <v>219</v>
      </c>
      <c r="B365" s="101" t="s">
        <v>62</v>
      </c>
      <c r="C365" s="101" t="s">
        <v>63</v>
      </c>
      <c r="D365" s="101">
        <v>2200381.0</v>
      </c>
      <c r="E365" s="102" t="s">
        <v>387</v>
      </c>
      <c r="F365" s="45">
        <v>45626.0</v>
      </c>
      <c r="G365" s="45">
        <v>45609.0</v>
      </c>
      <c r="H365" s="101" t="s">
        <v>83</v>
      </c>
      <c r="I365" s="101" t="s">
        <v>76</v>
      </c>
      <c r="J365" s="101">
        <v>40.0</v>
      </c>
      <c r="K365" s="65">
        <v>35.175</v>
      </c>
      <c r="L365" s="65">
        <v>1407.0</v>
      </c>
      <c r="M365" s="103">
        <v>0.2</v>
      </c>
      <c r="N365" s="65">
        <v>281.4</v>
      </c>
      <c r="O365" s="65">
        <v>1688.4</v>
      </c>
      <c r="P365" s="101" t="s">
        <v>79</v>
      </c>
      <c r="Q365" s="65">
        <v>140.7</v>
      </c>
      <c r="R365" s="65">
        <v>1829.1</v>
      </c>
      <c r="S365" s="65">
        <v>984.9</v>
      </c>
      <c r="T365" s="65">
        <v>1829.1</v>
      </c>
      <c r="U365" s="101" t="s">
        <v>85</v>
      </c>
      <c r="V365" s="45">
        <v>45628.0</v>
      </c>
      <c r="W365" s="65"/>
      <c r="X365" s="101"/>
      <c r="Y365" s="45"/>
      <c r="Z365" s="65"/>
      <c r="AA365" s="101"/>
      <c r="AB365" s="45"/>
      <c r="AC365" s="65">
        <v>140.7</v>
      </c>
      <c r="AD365" s="101" t="s">
        <v>85</v>
      </c>
      <c r="AE365" s="45">
        <v>45641.0</v>
      </c>
      <c r="AF365" s="102"/>
      <c r="AG365" s="101"/>
      <c r="AH365" s="101"/>
      <c r="AI365" s="102"/>
    </row>
    <row r="366" ht="15.75" customHeight="1">
      <c r="A366" s="101" t="s">
        <v>61</v>
      </c>
      <c r="B366" s="101" t="s">
        <v>62</v>
      </c>
      <c r="C366" s="101" t="s">
        <v>63</v>
      </c>
      <c r="D366" s="101">
        <v>2200382.0</v>
      </c>
      <c r="E366" s="102" t="s">
        <v>664</v>
      </c>
      <c r="F366" s="45">
        <v>45631.0</v>
      </c>
      <c r="G366" s="45">
        <v>45609.0</v>
      </c>
      <c r="H366" s="101" t="s">
        <v>83</v>
      </c>
      <c r="I366" s="101" t="s">
        <v>76</v>
      </c>
      <c r="J366" s="101">
        <v>15.0</v>
      </c>
      <c r="K366" s="65">
        <v>50.95</v>
      </c>
      <c r="L366" s="65">
        <v>764.25</v>
      </c>
      <c r="M366" s="103">
        <v>0.2</v>
      </c>
      <c r="N366" s="65">
        <v>152.85</v>
      </c>
      <c r="O366" s="65">
        <v>917.1</v>
      </c>
      <c r="P366" s="101" t="s">
        <v>84</v>
      </c>
      <c r="Q366" s="65">
        <v>76.425</v>
      </c>
      <c r="R366" s="65">
        <v>917.1</v>
      </c>
      <c r="S366" s="65">
        <v>534.975</v>
      </c>
      <c r="T366" s="65"/>
      <c r="U366" s="101"/>
      <c r="V366" s="45"/>
      <c r="W366" s="65"/>
      <c r="X366" s="101"/>
      <c r="Y366" s="45"/>
      <c r="Z366" s="65"/>
      <c r="AA366" s="101"/>
      <c r="AB366" s="45"/>
      <c r="AC366" s="65"/>
      <c r="AD366" s="101"/>
      <c r="AE366" s="45"/>
      <c r="AF366" s="102"/>
      <c r="AG366" s="101"/>
      <c r="AH366" s="101"/>
      <c r="AI366" s="102"/>
    </row>
    <row r="367" ht="15.75" customHeight="1">
      <c r="A367" s="101" t="s">
        <v>219</v>
      </c>
      <c r="B367" s="101" t="s">
        <v>62</v>
      </c>
      <c r="C367" s="101" t="s">
        <v>63</v>
      </c>
      <c r="D367" s="101">
        <v>2200383.0</v>
      </c>
      <c r="E367" s="102" t="s">
        <v>728</v>
      </c>
      <c r="F367" s="45">
        <v>45638.0</v>
      </c>
      <c r="G367" s="45">
        <v>45610.0</v>
      </c>
      <c r="H367" s="101" t="s">
        <v>73</v>
      </c>
      <c r="I367" s="101" t="s">
        <v>76</v>
      </c>
      <c r="J367" s="101">
        <v>70.0</v>
      </c>
      <c r="K367" s="65">
        <v>57.41428571</v>
      </c>
      <c r="L367" s="65">
        <v>4019.0</v>
      </c>
      <c r="M367" s="103">
        <v>0.2</v>
      </c>
      <c r="N367" s="65">
        <v>803.8</v>
      </c>
      <c r="O367" s="65">
        <v>4822.8</v>
      </c>
      <c r="P367" s="101" t="s">
        <v>79</v>
      </c>
      <c r="Q367" s="65">
        <v>401.9</v>
      </c>
      <c r="R367" s="65">
        <v>5224.7</v>
      </c>
      <c r="S367" s="65">
        <v>2813.3</v>
      </c>
      <c r="T367" s="65">
        <v>5224.7</v>
      </c>
      <c r="U367" s="101" t="s">
        <v>80</v>
      </c>
      <c r="V367" s="45">
        <v>45623.0</v>
      </c>
      <c r="W367" s="65"/>
      <c r="X367" s="101"/>
      <c r="Y367" s="45"/>
      <c r="Z367" s="65"/>
      <c r="AA367" s="101"/>
      <c r="AB367" s="45"/>
      <c r="AC367" s="65">
        <v>401.9</v>
      </c>
      <c r="AD367" s="101" t="s">
        <v>80</v>
      </c>
      <c r="AE367" s="45">
        <v>45642.0</v>
      </c>
      <c r="AF367" s="102"/>
      <c r="AG367" s="101"/>
      <c r="AH367" s="101"/>
      <c r="AI367" s="102"/>
    </row>
    <row r="368" ht="15.75" customHeight="1">
      <c r="A368" s="101" t="s">
        <v>61</v>
      </c>
      <c r="B368" s="101" t="s">
        <v>62</v>
      </c>
      <c r="C368" s="101" t="s">
        <v>251</v>
      </c>
      <c r="D368" s="101">
        <v>2200384.0</v>
      </c>
      <c r="E368" s="102" t="s">
        <v>729</v>
      </c>
      <c r="F368" s="45">
        <v>45633.0</v>
      </c>
      <c r="G368" s="45">
        <v>45610.0</v>
      </c>
      <c r="H368" s="101" t="s">
        <v>73</v>
      </c>
      <c r="I368" s="101" t="s">
        <v>76</v>
      </c>
      <c r="J368" s="101">
        <v>32.0</v>
      </c>
      <c r="K368" s="65">
        <v>125.034375</v>
      </c>
      <c r="L368" s="65">
        <v>4001.1</v>
      </c>
      <c r="M368" s="103">
        <v>0.2</v>
      </c>
      <c r="N368" s="65">
        <v>800.22</v>
      </c>
      <c r="O368" s="65">
        <v>4801.32</v>
      </c>
      <c r="P368" s="101" t="s">
        <v>79</v>
      </c>
      <c r="Q368" s="65">
        <v>400.11</v>
      </c>
      <c r="R368" s="65">
        <v>5201.43</v>
      </c>
      <c r="S368" s="65">
        <v>2800.77</v>
      </c>
      <c r="T368" s="65">
        <v>1200.0</v>
      </c>
      <c r="U368" s="101" t="s">
        <v>80</v>
      </c>
      <c r="V368" s="45">
        <v>45610.0</v>
      </c>
      <c r="W368" s="65">
        <v>3792.0</v>
      </c>
      <c r="X368" s="101" t="s">
        <v>85</v>
      </c>
      <c r="Y368" s="45"/>
      <c r="Z368" s="65"/>
      <c r="AA368" s="101"/>
      <c r="AB368" s="45"/>
      <c r="AC368" s="65">
        <v>236.79</v>
      </c>
      <c r="AD368" s="101" t="s">
        <v>80</v>
      </c>
      <c r="AE368" s="45">
        <v>45640.0</v>
      </c>
      <c r="AF368" s="102"/>
      <c r="AG368" s="101"/>
      <c r="AH368" s="101"/>
      <c r="AI368" s="102"/>
    </row>
    <row r="369" ht="15.75" customHeight="1">
      <c r="A369" s="101" t="s">
        <v>61</v>
      </c>
      <c r="B369" s="101" t="s">
        <v>62</v>
      </c>
      <c r="C369" s="101" t="s">
        <v>63</v>
      </c>
      <c r="D369" s="101">
        <v>2200385.0</v>
      </c>
      <c r="E369" s="102" t="s">
        <v>730</v>
      </c>
      <c r="F369" s="45">
        <v>45631.0</v>
      </c>
      <c r="G369" s="45">
        <v>45616.0</v>
      </c>
      <c r="H369" s="101" t="s">
        <v>83</v>
      </c>
      <c r="I369" s="101" t="s">
        <v>76</v>
      </c>
      <c r="J369" s="101">
        <v>40.0</v>
      </c>
      <c r="K369" s="65">
        <v>68.8125</v>
      </c>
      <c r="L369" s="65">
        <v>2752.5</v>
      </c>
      <c r="M369" s="103">
        <v>0.2</v>
      </c>
      <c r="N369" s="65">
        <v>550.5</v>
      </c>
      <c r="O369" s="65">
        <v>3303.0</v>
      </c>
      <c r="P369" s="101" t="s">
        <v>79</v>
      </c>
      <c r="Q369" s="65">
        <v>275.25</v>
      </c>
      <c r="R369" s="65">
        <v>3578.25</v>
      </c>
      <c r="S369" s="65">
        <v>1926.75</v>
      </c>
      <c r="T369" s="65">
        <v>3578.25</v>
      </c>
      <c r="U369" s="101" t="s">
        <v>80</v>
      </c>
      <c r="V369" s="45"/>
      <c r="W369" s="65"/>
      <c r="X369" s="101"/>
      <c r="Y369" s="45"/>
      <c r="Z369" s="65"/>
      <c r="AA369" s="101"/>
      <c r="AB369" s="45"/>
      <c r="AC369" s="65">
        <v>457.65</v>
      </c>
      <c r="AD369" s="101" t="s">
        <v>80</v>
      </c>
      <c r="AE369" s="45">
        <v>45635.0</v>
      </c>
      <c r="AF369" s="102"/>
      <c r="AG369" s="101"/>
      <c r="AH369" s="101"/>
      <c r="AI369" s="102"/>
    </row>
    <row r="370" ht="15.75" customHeight="1">
      <c r="A370" s="101" t="s">
        <v>167</v>
      </c>
      <c r="B370" s="101" t="s">
        <v>62</v>
      </c>
      <c r="C370" s="101" t="s">
        <v>63</v>
      </c>
      <c r="D370" s="101">
        <v>2200386.0</v>
      </c>
      <c r="E370" s="102" t="s">
        <v>731</v>
      </c>
      <c r="F370" s="45">
        <v>45619.0</v>
      </c>
      <c r="G370" s="45"/>
      <c r="H370" s="101"/>
      <c r="I370" s="101" t="s">
        <v>76</v>
      </c>
      <c r="J370" s="101">
        <v>35.0</v>
      </c>
      <c r="K370" s="65">
        <v>50.50714286</v>
      </c>
      <c r="L370" s="65">
        <v>1767.75</v>
      </c>
      <c r="M370" s="103">
        <v>0.2</v>
      </c>
      <c r="N370" s="65">
        <v>353.55</v>
      </c>
      <c r="O370" s="65">
        <v>2121.3</v>
      </c>
      <c r="P370" s="101"/>
      <c r="Q370" s="65">
        <v>176.775</v>
      </c>
      <c r="R370" s="65"/>
      <c r="S370" s="65">
        <v>1237.425</v>
      </c>
      <c r="T370" s="65">
        <v>829.36</v>
      </c>
      <c r="U370" s="101" t="s">
        <v>85</v>
      </c>
      <c r="V370" s="45"/>
      <c r="W370" s="65"/>
      <c r="X370" s="101"/>
      <c r="Y370" s="45"/>
      <c r="Z370" s="65"/>
      <c r="AA370" s="101"/>
      <c r="AB370" s="45"/>
      <c r="AC370" s="65">
        <v>829.36</v>
      </c>
      <c r="AD370" s="101" t="s">
        <v>85</v>
      </c>
      <c r="AE370" s="45">
        <v>45621.0</v>
      </c>
      <c r="AF370" s="102"/>
      <c r="AG370" s="101"/>
      <c r="AH370" s="101"/>
      <c r="AI370" s="102"/>
    </row>
    <row r="371" ht="15.75" customHeight="1">
      <c r="A371" s="101" t="s">
        <v>219</v>
      </c>
      <c r="B371" s="101" t="s">
        <v>62</v>
      </c>
      <c r="C371" s="101" t="s">
        <v>63</v>
      </c>
      <c r="D371" s="101">
        <v>2200387.0</v>
      </c>
      <c r="E371" s="102" t="s">
        <v>205</v>
      </c>
      <c r="F371" s="45">
        <v>45646.0</v>
      </c>
      <c r="G371" s="45">
        <v>45617.0</v>
      </c>
      <c r="H371" s="101" t="s">
        <v>83</v>
      </c>
      <c r="I371" s="101" t="s">
        <v>76</v>
      </c>
      <c r="J371" s="101">
        <v>55.0</v>
      </c>
      <c r="K371" s="65">
        <v>34.64090909</v>
      </c>
      <c r="L371" s="65">
        <v>1905.25</v>
      </c>
      <c r="M371" s="103">
        <v>0.2</v>
      </c>
      <c r="N371" s="65">
        <v>381.05</v>
      </c>
      <c r="O371" s="65">
        <v>2286.3</v>
      </c>
      <c r="P371" s="101" t="s">
        <v>79</v>
      </c>
      <c r="Q371" s="65">
        <v>190.525</v>
      </c>
      <c r="R371" s="65">
        <v>2476.825</v>
      </c>
      <c r="S371" s="65">
        <v>1333.675</v>
      </c>
      <c r="T371" s="65">
        <v>1013.86</v>
      </c>
      <c r="U371" s="101" t="s">
        <v>80</v>
      </c>
      <c r="V371" s="45"/>
      <c r="W371" s="65">
        <v>1013.84</v>
      </c>
      <c r="X371" s="101" t="s">
        <v>80</v>
      </c>
      <c r="Y371" s="45">
        <v>45639.0</v>
      </c>
      <c r="Z371" s="65"/>
      <c r="AA371" s="101"/>
      <c r="AB371" s="45"/>
      <c r="AC371" s="65"/>
      <c r="AD371" s="101"/>
      <c r="AE371" s="45"/>
      <c r="AF371" s="102"/>
      <c r="AG371" s="101"/>
      <c r="AH371" s="101"/>
      <c r="AI371" s="102"/>
    </row>
    <row r="372" ht="15.75" customHeight="1">
      <c r="A372" s="101" t="s">
        <v>61</v>
      </c>
      <c r="B372" s="101" t="s">
        <v>62</v>
      </c>
      <c r="C372" s="101" t="s">
        <v>63</v>
      </c>
      <c r="D372" s="101">
        <v>2200388.0</v>
      </c>
      <c r="E372" s="102" t="s">
        <v>716</v>
      </c>
      <c r="F372" s="45">
        <v>45631.0</v>
      </c>
      <c r="G372" s="45">
        <v>45617.0</v>
      </c>
      <c r="H372" s="101" t="s">
        <v>83</v>
      </c>
      <c r="I372" s="101" t="s">
        <v>76</v>
      </c>
      <c r="J372" s="101">
        <v>20.0</v>
      </c>
      <c r="K372" s="65">
        <v>90.94</v>
      </c>
      <c r="L372" s="65">
        <v>1818.8</v>
      </c>
      <c r="M372" s="103">
        <v>0.2</v>
      </c>
      <c r="N372" s="65">
        <v>363.76</v>
      </c>
      <c r="O372" s="65">
        <v>2182.56</v>
      </c>
      <c r="P372" s="101" t="s">
        <v>84</v>
      </c>
      <c r="Q372" s="65">
        <v>181.88</v>
      </c>
      <c r="R372" s="65">
        <v>2182.56</v>
      </c>
      <c r="S372" s="65">
        <v>1273.16</v>
      </c>
      <c r="T372" s="65">
        <v>2181.56</v>
      </c>
      <c r="U372" s="101" t="s">
        <v>85</v>
      </c>
      <c r="V372" s="45">
        <v>45629.0</v>
      </c>
      <c r="W372" s="65"/>
      <c r="X372" s="101"/>
      <c r="Y372" s="45"/>
      <c r="Z372" s="65"/>
      <c r="AA372" s="101"/>
      <c r="AB372" s="45"/>
      <c r="AC372" s="65"/>
      <c r="AD372" s="101"/>
      <c r="AE372" s="45"/>
      <c r="AF372" s="102"/>
      <c r="AG372" s="101"/>
      <c r="AH372" s="101"/>
      <c r="AI372" s="102"/>
    </row>
    <row r="373" ht="15.75" customHeight="1">
      <c r="A373" s="101" t="s">
        <v>219</v>
      </c>
      <c r="B373" s="101" t="s">
        <v>62</v>
      </c>
      <c r="C373" s="101" t="s">
        <v>63</v>
      </c>
      <c r="D373" s="101">
        <v>2200389.0</v>
      </c>
      <c r="E373" s="102" t="s">
        <v>328</v>
      </c>
      <c r="F373" s="45">
        <v>45630.0</v>
      </c>
      <c r="G373" s="45">
        <v>45617.0</v>
      </c>
      <c r="H373" s="101" t="s">
        <v>83</v>
      </c>
      <c r="I373" s="101" t="s">
        <v>76</v>
      </c>
      <c r="J373" s="101">
        <v>28.0</v>
      </c>
      <c r="K373" s="65">
        <v>93.84285714</v>
      </c>
      <c r="L373" s="65">
        <v>2627.6</v>
      </c>
      <c r="M373" s="103">
        <v>0.2</v>
      </c>
      <c r="N373" s="65">
        <v>525.52</v>
      </c>
      <c r="O373" s="65">
        <v>3153.12</v>
      </c>
      <c r="P373" s="101" t="s">
        <v>79</v>
      </c>
      <c r="Q373" s="65">
        <v>262.76</v>
      </c>
      <c r="R373" s="65">
        <v>3415.88</v>
      </c>
      <c r="S373" s="65">
        <v>1839.32</v>
      </c>
      <c r="T373" s="65">
        <v>3415.88</v>
      </c>
      <c r="U373" s="101" t="s">
        <v>85</v>
      </c>
      <c r="V373" s="45">
        <v>45621.0</v>
      </c>
      <c r="W373" s="65"/>
      <c r="X373" s="101"/>
      <c r="Y373" s="45"/>
      <c r="Z373" s="65"/>
      <c r="AA373" s="101"/>
      <c r="AB373" s="45"/>
      <c r="AC373" s="65">
        <v>262.76</v>
      </c>
      <c r="AD373" s="101"/>
      <c r="AE373" s="45">
        <v>45641.0</v>
      </c>
      <c r="AF373" s="102" t="s">
        <v>732</v>
      </c>
      <c r="AG373" s="101">
        <v>401160.0</v>
      </c>
      <c r="AH373" s="101">
        <v>6.1304305E7</v>
      </c>
      <c r="AI373" s="102"/>
    </row>
    <row r="374" ht="15.75" customHeight="1">
      <c r="A374" s="101" t="s">
        <v>61</v>
      </c>
      <c r="B374" s="101" t="s">
        <v>62</v>
      </c>
      <c r="C374" s="101" t="s">
        <v>63</v>
      </c>
      <c r="D374" s="101">
        <v>2200390.0</v>
      </c>
      <c r="E374" s="102" t="s">
        <v>328</v>
      </c>
      <c r="F374" s="45">
        <v>45624.0</v>
      </c>
      <c r="G374" s="45">
        <v>45617.0</v>
      </c>
      <c r="H374" s="101" t="s">
        <v>83</v>
      </c>
      <c r="I374" s="101" t="s">
        <v>119</v>
      </c>
      <c r="J374" s="101">
        <v>22.0</v>
      </c>
      <c r="K374" s="65">
        <v>44.09090909</v>
      </c>
      <c r="L374" s="65">
        <v>970.0</v>
      </c>
      <c r="M374" s="103">
        <v>0.2</v>
      </c>
      <c r="N374" s="65">
        <v>194.0</v>
      </c>
      <c r="O374" s="65">
        <v>1164.0</v>
      </c>
      <c r="P374" s="101" t="s">
        <v>84</v>
      </c>
      <c r="Q374" s="65">
        <v>97.0</v>
      </c>
      <c r="R374" s="65">
        <v>1164.0</v>
      </c>
      <c r="S374" s="65">
        <v>679.0</v>
      </c>
      <c r="T374" s="65"/>
      <c r="U374" s="101"/>
      <c r="V374" s="45"/>
      <c r="W374" s="65"/>
      <c r="X374" s="101"/>
      <c r="Y374" s="45"/>
      <c r="Z374" s="65"/>
      <c r="AA374" s="101"/>
      <c r="AB374" s="45"/>
      <c r="AC374" s="65"/>
      <c r="AD374" s="101"/>
      <c r="AE374" s="45"/>
      <c r="AF374" s="102"/>
      <c r="AG374" s="101"/>
      <c r="AH374" s="101"/>
      <c r="AI374" s="102"/>
    </row>
    <row r="375" ht="15.75" customHeight="1">
      <c r="A375" s="101" t="s">
        <v>61</v>
      </c>
      <c r="B375" s="101" t="s">
        <v>62</v>
      </c>
      <c r="C375" s="101" t="s">
        <v>63</v>
      </c>
      <c r="D375" s="101">
        <v>2200391.0</v>
      </c>
      <c r="E375" s="102" t="s">
        <v>733</v>
      </c>
      <c r="F375" s="45">
        <v>45629.0</v>
      </c>
      <c r="G375" s="45">
        <v>45621.0</v>
      </c>
      <c r="H375" s="101" t="s">
        <v>83</v>
      </c>
      <c r="I375" s="101" t="s">
        <v>76</v>
      </c>
      <c r="J375" s="101">
        <v>60.0</v>
      </c>
      <c r="K375" s="65">
        <v>38.81333333</v>
      </c>
      <c r="L375" s="65">
        <v>2328.8</v>
      </c>
      <c r="M375" s="103">
        <v>0.2</v>
      </c>
      <c r="N375" s="65">
        <v>465.76</v>
      </c>
      <c r="O375" s="65">
        <v>2794.56</v>
      </c>
      <c r="P375" s="101" t="s">
        <v>84</v>
      </c>
      <c r="Q375" s="65">
        <v>232.88</v>
      </c>
      <c r="R375" s="65">
        <v>2794.56</v>
      </c>
      <c r="S375" s="65">
        <v>1630.16</v>
      </c>
      <c r="T375" s="65">
        <v>2794.56</v>
      </c>
      <c r="U375" s="101" t="s">
        <v>80</v>
      </c>
      <c r="V375" s="45">
        <v>45624.0</v>
      </c>
      <c r="W375" s="65"/>
      <c r="X375" s="101"/>
      <c r="Y375" s="45"/>
      <c r="Z375" s="65"/>
      <c r="AA375" s="101"/>
      <c r="AB375" s="45"/>
      <c r="AC375" s="65">
        <v>49.44</v>
      </c>
      <c r="AD375" s="101" t="s">
        <v>80</v>
      </c>
      <c r="AE375" s="45">
        <v>45635.0</v>
      </c>
      <c r="AF375" s="102"/>
      <c r="AG375" s="101"/>
      <c r="AH375" s="101"/>
      <c r="AI375" s="102"/>
    </row>
    <row r="376" ht="15.75" customHeight="1">
      <c r="A376" s="101" t="s">
        <v>219</v>
      </c>
      <c r="B376" s="101" t="s">
        <v>62</v>
      </c>
      <c r="C376" s="101" t="s">
        <v>63</v>
      </c>
      <c r="D376" s="101">
        <v>2200392.0</v>
      </c>
      <c r="E376" s="102" t="s">
        <v>734</v>
      </c>
      <c r="F376" s="45">
        <v>45637.0</v>
      </c>
      <c r="G376" s="45">
        <v>45621.0</v>
      </c>
      <c r="H376" s="101" t="s">
        <v>83</v>
      </c>
      <c r="I376" s="101" t="s">
        <v>76</v>
      </c>
      <c r="J376" s="101">
        <v>25.0</v>
      </c>
      <c r="K376" s="65">
        <v>91.356</v>
      </c>
      <c r="L376" s="65">
        <v>2283.9</v>
      </c>
      <c r="M376" s="103">
        <v>0.2</v>
      </c>
      <c r="N376" s="65">
        <v>456.78</v>
      </c>
      <c r="O376" s="65">
        <v>2740.68</v>
      </c>
      <c r="P376" s="101" t="s">
        <v>79</v>
      </c>
      <c r="Q376" s="65">
        <v>228.39</v>
      </c>
      <c r="R376" s="65">
        <v>2969.07</v>
      </c>
      <c r="S376" s="65">
        <v>1598.73</v>
      </c>
      <c r="T376" s="65">
        <v>2472.32</v>
      </c>
      <c r="U376" s="101" t="s">
        <v>80</v>
      </c>
      <c r="V376" s="45">
        <v>45621.0</v>
      </c>
      <c r="W376" s="65"/>
      <c r="X376" s="101"/>
      <c r="Y376" s="45"/>
      <c r="Z376" s="65"/>
      <c r="AA376" s="101"/>
      <c r="AB376" s="45"/>
      <c r="AC376" s="65">
        <v>190.32</v>
      </c>
      <c r="AD376" s="101" t="s">
        <v>80</v>
      </c>
      <c r="AE376" s="45">
        <v>45639.0</v>
      </c>
      <c r="AF376" s="102"/>
      <c r="AG376" s="101"/>
      <c r="AH376" s="101"/>
      <c r="AI376" s="102"/>
    </row>
    <row r="377" ht="15.75" customHeight="1">
      <c r="A377" s="101" t="s">
        <v>167</v>
      </c>
      <c r="B377" s="101" t="s">
        <v>62</v>
      </c>
      <c r="C377" s="101" t="s">
        <v>63</v>
      </c>
      <c r="D377" s="101">
        <v>2200393.0</v>
      </c>
      <c r="E377" s="102" t="s">
        <v>735</v>
      </c>
      <c r="F377" s="45">
        <v>45630.0</v>
      </c>
      <c r="G377" s="45">
        <v>45624.0</v>
      </c>
      <c r="H377" s="101" t="s">
        <v>73</v>
      </c>
      <c r="I377" s="101" t="s">
        <v>76</v>
      </c>
      <c r="J377" s="101">
        <v>150.0</v>
      </c>
      <c r="K377" s="65">
        <v>57.27633333</v>
      </c>
      <c r="L377" s="65">
        <v>8591.45</v>
      </c>
      <c r="M377" s="103">
        <v>0.2</v>
      </c>
      <c r="N377" s="65">
        <v>1718.29</v>
      </c>
      <c r="O377" s="65">
        <v>10309.74</v>
      </c>
      <c r="P377" s="101" t="s">
        <v>79</v>
      </c>
      <c r="Q377" s="65">
        <v>859.145</v>
      </c>
      <c r="R377" s="65">
        <v>11168.885</v>
      </c>
      <c r="S377" s="65">
        <v>6014.015</v>
      </c>
      <c r="T377" s="65">
        <v>11368.88</v>
      </c>
      <c r="U377" s="101" t="s">
        <v>85</v>
      </c>
      <c r="V377" s="45">
        <v>45628.0</v>
      </c>
      <c r="W377" s="65"/>
      <c r="X377" s="101"/>
      <c r="Y377" s="45"/>
      <c r="Z377" s="65"/>
      <c r="AA377" s="101"/>
      <c r="AB377" s="45"/>
      <c r="AC377" s="65">
        <v>1184.82</v>
      </c>
      <c r="AD377" s="101" t="s">
        <v>85</v>
      </c>
      <c r="AE377" s="45">
        <v>45643.0</v>
      </c>
      <c r="AF377" s="102" t="s">
        <v>736</v>
      </c>
      <c r="AG377" s="101" t="s">
        <v>737</v>
      </c>
      <c r="AH377" s="101">
        <v>2.0027537E7</v>
      </c>
      <c r="AI377" s="102" t="s">
        <v>738</v>
      </c>
    </row>
    <row r="378" ht="15.75" customHeight="1">
      <c r="A378" s="101" t="s">
        <v>219</v>
      </c>
      <c r="B378" s="101" t="s">
        <v>62</v>
      </c>
      <c r="C378" s="101" t="s">
        <v>63</v>
      </c>
      <c r="D378" s="101">
        <v>2200394.0</v>
      </c>
      <c r="E378" s="102" t="s">
        <v>739</v>
      </c>
      <c r="F378" s="45">
        <v>45700.0</v>
      </c>
      <c r="G378" s="45">
        <v>45624.0</v>
      </c>
      <c r="H378" s="101" t="s">
        <v>83</v>
      </c>
      <c r="I378" s="101" t="s">
        <v>76</v>
      </c>
      <c r="J378" s="101">
        <v>75.0</v>
      </c>
      <c r="K378" s="65">
        <v>67.268</v>
      </c>
      <c r="L378" s="65">
        <v>5045.1</v>
      </c>
      <c r="M378" s="103">
        <v>0.2</v>
      </c>
      <c r="N378" s="65">
        <v>1009.02</v>
      </c>
      <c r="O378" s="65">
        <v>6054.12</v>
      </c>
      <c r="P378" s="101" t="s">
        <v>79</v>
      </c>
      <c r="Q378" s="65">
        <v>504.51</v>
      </c>
      <c r="R378" s="65">
        <v>6558.63</v>
      </c>
      <c r="S378" s="65">
        <v>3531.57</v>
      </c>
      <c r="T378" s="65">
        <v>3760.56</v>
      </c>
      <c r="U378" s="101" t="s">
        <v>85</v>
      </c>
      <c r="V378" s="45">
        <v>45640.0</v>
      </c>
      <c r="W378" s="65">
        <v>4387.32</v>
      </c>
      <c r="X378" s="101" t="s">
        <v>85</v>
      </c>
      <c r="Y378" s="45">
        <v>45690.0</v>
      </c>
      <c r="Z378" s="65"/>
      <c r="AA378" s="101"/>
      <c r="AB378" s="45"/>
      <c r="AC378" s="65">
        <v>490.32</v>
      </c>
      <c r="AD378" s="101"/>
      <c r="AE378" s="45">
        <v>45357.0</v>
      </c>
      <c r="AF378" s="102" t="s">
        <v>740</v>
      </c>
      <c r="AG378" s="101" t="s">
        <v>533</v>
      </c>
      <c r="AH378" s="101" t="s">
        <v>741</v>
      </c>
      <c r="AI378" s="130" t="s">
        <v>742</v>
      </c>
    </row>
    <row r="379" ht="15.75" customHeight="1">
      <c r="A379" s="101" t="s">
        <v>167</v>
      </c>
      <c r="B379" s="101" t="s">
        <v>62</v>
      </c>
      <c r="C379" s="101" t="s">
        <v>63</v>
      </c>
      <c r="D379" s="101">
        <v>2200395.0</v>
      </c>
      <c r="E379" s="102" t="s">
        <v>743</v>
      </c>
      <c r="F379" s="45">
        <v>45639.0</v>
      </c>
      <c r="G379" s="45">
        <v>45629.0</v>
      </c>
      <c r="H379" s="101" t="s">
        <v>73</v>
      </c>
      <c r="I379" s="101" t="s">
        <v>76</v>
      </c>
      <c r="J379" s="101">
        <v>140.0</v>
      </c>
      <c r="K379" s="65">
        <v>105.5785714</v>
      </c>
      <c r="L379" s="65">
        <v>14781.0</v>
      </c>
      <c r="M379" s="103">
        <v>0.2</v>
      </c>
      <c r="N379" s="65">
        <v>2956.2</v>
      </c>
      <c r="O379" s="65">
        <v>17737.2</v>
      </c>
      <c r="P379" s="101" t="s">
        <v>84</v>
      </c>
      <c r="Q379" s="65">
        <v>1478.1</v>
      </c>
      <c r="R379" s="65">
        <v>17737.2</v>
      </c>
      <c r="S379" s="65">
        <v>10346.7</v>
      </c>
      <c r="T379" s="65">
        <v>17737.2</v>
      </c>
      <c r="U379" s="101" t="s">
        <v>85</v>
      </c>
      <c r="V379" s="45">
        <v>45636.0</v>
      </c>
      <c r="W379" s="65"/>
      <c r="X379" s="101"/>
      <c r="Y379" s="45"/>
      <c r="Z379" s="65"/>
      <c r="AA379" s="101"/>
      <c r="AB379" s="45"/>
      <c r="AC379" s="65"/>
      <c r="AD379" s="101"/>
      <c r="AE379" s="45"/>
      <c r="AF379" s="102"/>
      <c r="AG379" s="101"/>
      <c r="AH379" s="101"/>
      <c r="AI379" s="102"/>
    </row>
    <row r="380" ht="15.75" customHeight="1">
      <c r="A380" s="101" t="s">
        <v>61</v>
      </c>
      <c r="B380" s="101" t="s">
        <v>62</v>
      </c>
      <c r="C380" s="101" t="s">
        <v>63</v>
      </c>
      <c r="D380" s="101">
        <v>2200396.0</v>
      </c>
      <c r="E380" s="102" t="s">
        <v>744</v>
      </c>
      <c r="F380" s="45">
        <v>45645.0</v>
      </c>
      <c r="G380" s="45">
        <v>45630.0</v>
      </c>
      <c r="H380" s="101" t="s">
        <v>73</v>
      </c>
      <c r="I380" s="101" t="s">
        <v>76</v>
      </c>
      <c r="J380" s="101">
        <v>60.0</v>
      </c>
      <c r="K380" s="65">
        <v>52.75</v>
      </c>
      <c r="L380" s="65">
        <v>3165.0</v>
      </c>
      <c r="M380" s="103">
        <v>0.2</v>
      </c>
      <c r="N380" s="65">
        <v>633.0</v>
      </c>
      <c r="O380" s="65">
        <v>3798.0</v>
      </c>
      <c r="P380" s="101" t="s">
        <v>79</v>
      </c>
      <c r="Q380" s="65">
        <v>316.5</v>
      </c>
      <c r="R380" s="65">
        <v>4114.5</v>
      </c>
      <c r="S380" s="65">
        <v>2215.5</v>
      </c>
      <c r="T380" s="65">
        <v>1896.3</v>
      </c>
      <c r="U380" s="101" t="s">
        <v>85</v>
      </c>
      <c r="V380" s="45">
        <v>45632.0</v>
      </c>
      <c r="W380" s="65">
        <v>2193.37</v>
      </c>
      <c r="X380" s="101" t="s">
        <v>85</v>
      </c>
      <c r="Y380" s="45">
        <v>45642.0</v>
      </c>
      <c r="Z380" s="65">
        <v>342.0</v>
      </c>
      <c r="AA380" s="101" t="s">
        <v>85</v>
      </c>
      <c r="AB380" s="45"/>
      <c r="AC380" s="65">
        <v>291.75</v>
      </c>
      <c r="AD380" s="101" t="s">
        <v>85</v>
      </c>
      <c r="AE380" s="45">
        <v>45658.0</v>
      </c>
      <c r="AF380" s="102"/>
      <c r="AG380" s="101"/>
      <c r="AH380" s="101"/>
      <c r="AI380" s="102"/>
    </row>
    <row r="381" ht="15.75" customHeight="1">
      <c r="A381" s="101" t="s">
        <v>61</v>
      </c>
      <c r="B381" s="101" t="s">
        <v>62</v>
      </c>
      <c r="C381" s="101" t="s">
        <v>63</v>
      </c>
      <c r="D381" s="101">
        <v>2200397.0</v>
      </c>
      <c r="E381" s="102" t="s">
        <v>493</v>
      </c>
      <c r="F381" s="45">
        <v>45638.0</v>
      </c>
      <c r="G381" s="45">
        <v>45630.0</v>
      </c>
      <c r="H381" s="101" t="s">
        <v>73</v>
      </c>
      <c r="I381" s="101" t="s">
        <v>76</v>
      </c>
      <c r="J381" s="101">
        <v>90.0</v>
      </c>
      <c r="K381" s="65">
        <v>52.07222222</v>
      </c>
      <c r="L381" s="65">
        <v>4686.5</v>
      </c>
      <c r="M381" s="103">
        <v>0.2</v>
      </c>
      <c r="N381" s="65">
        <v>937.3</v>
      </c>
      <c r="O381" s="65">
        <v>5623.8</v>
      </c>
      <c r="P381" s="101" t="s">
        <v>79</v>
      </c>
      <c r="Q381" s="65">
        <v>468.65</v>
      </c>
      <c r="R381" s="65">
        <v>6092.45</v>
      </c>
      <c r="S381" s="65">
        <v>3280.55</v>
      </c>
      <c r="T381" s="65">
        <v>6092.45</v>
      </c>
      <c r="U381" s="101" t="s">
        <v>80</v>
      </c>
      <c r="V381" s="45">
        <v>45635.0</v>
      </c>
      <c r="W381" s="65"/>
      <c r="X381" s="101"/>
      <c r="Y381" s="45"/>
      <c r="Z381" s="65"/>
      <c r="AA381" s="101"/>
      <c r="AB381" s="45"/>
      <c r="AC381" s="65">
        <v>468.65</v>
      </c>
      <c r="AD381" s="101" t="s">
        <v>80</v>
      </c>
      <c r="AE381" s="45">
        <v>45641.0</v>
      </c>
      <c r="AF381" s="102"/>
      <c r="AG381" s="101"/>
      <c r="AH381" s="101"/>
      <c r="AI381" s="102"/>
    </row>
    <row r="382" ht="15.75" customHeight="1">
      <c r="A382" s="101" t="s">
        <v>61</v>
      </c>
      <c r="B382" s="101" t="s">
        <v>62</v>
      </c>
      <c r="C382" s="101" t="s">
        <v>63</v>
      </c>
      <c r="D382" s="101">
        <v>2200398.0</v>
      </c>
      <c r="E382" s="102" t="s">
        <v>745</v>
      </c>
      <c r="F382" s="45">
        <v>45645.0</v>
      </c>
      <c r="G382" s="45">
        <v>45637.0</v>
      </c>
      <c r="H382" s="101" t="s">
        <v>73</v>
      </c>
      <c r="I382" s="101" t="s">
        <v>76</v>
      </c>
      <c r="J382" s="101">
        <v>90.0</v>
      </c>
      <c r="K382" s="65">
        <v>136.5516667</v>
      </c>
      <c r="L382" s="65">
        <v>12289.65</v>
      </c>
      <c r="M382" s="103">
        <v>0.2</v>
      </c>
      <c r="N382" s="65">
        <v>2457.93</v>
      </c>
      <c r="O382" s="65">
        <v>14747.58</v>
      </c>
      <c r="P382" s="101" t="s">
        <v>79</v>
      </c>
      <c r="Q382" s="65">
        <v>500.0</v>
      </c>
      <c r="R382" s="65">
        <v>15247.58</v>
      </c>
      <c r="S382" s="65">
        <v>7873.79</v>
      </c>
      <c r="T382" s="65"/>
      <c r="U382" s="101"/>
      <c r="V382" s="45"/>
      <c r="W382" s="65"/>
      <c r="X382" s="101"/>
      <c r="Y382" s="45"/>
      <c r="Z382" s="65"/>
      <c r="AA382" s="101"/>
      <c r="AB382" s="45"/>
      <c r="AC382" s="65">
        <v>641.6</v>
      </c>
      <c r="AD382" s="101" t="s">
        <v>85</v>
      </c>
      <c r="AE382" s="45">
        <v>45690.0</v>
      </c>
      <c r="AF382" s="102" t="s">
        <v>746</v>
      </c>
      <c r="AG382" s="101" t="s">
        <v>747</v>
      </c>
      <c r="AH382" s="101">
        <v>1441929.0</v>
      </c>
      <c r="AI382" s="102"/>
    </row>
    <row r="383" ht="15.75" customHeight="1">
      <c r="A383" s="101" t="s">
        <v>61</v>
      </c>
      <c r="B383" s="101" t="s">
        <v>62</v>
      </c>
      <c r="C383" s="101" t="s">
        <v>63</v>
      </c>
      <c r="D383" s="101">
        <v>2200399.0</v>
      </c>
      <c r="E383" s="102" t="s">
        <v>748</v>
      </c>
      <c r="F383" s="45">
        <v>45647.0</v>
      </c>
      <c r="G383" s="45">
        <v>45635.0</v>
      </c>
      <c r="H383" s="101" t="s">
        <v>83</v>
      </c>
      <c r="I383" s="101" t="s">
        <v>76</v>
      </c>
      <c r="J383" s="101">
        <v>21.0</v>
      </c>
      <c r="K383" s="65">
        <v>78.84047619</v>
      </c>
      <c r="L383" s="65">
        <v>1655.65</v>
      </c>
      <c r="M383" s="103">
        <v>0.2</v>
      </c>
      <c r="N383" s="65">
        <v>331.13</v>
      </c>
      <c r="O383" s="65">
        <v>1986.78</v>
      </c>
      <c r="P383" s="101" t="s">
        <v>79</v>
      </c>
      <c r="Q383" s="65">
        <v>165.565</v>
      </c>
      <c r="R383" s="65">
        <v>2152.345</v>
      </c>
      <c r="S383" s="65">
        <v>1158.955</v>
      </c>
      <c r="T383" s="65">
        <v>993.39</v>
      </c>
      <c r="U383" s="101" t="s">
        <v>85</v>
      </c>
      <c r="V383" s="45">
        <v>45636.0</v>
      </c>
      <c r="W383" s="65">
        <v>1158.95</v>
      </c>
      <c r="X383" s="101" t="s">
        <v>85</v>
      </c>
      <c r="Y383" s="45">
        <v>45644.0</v>
      </c>
      <c r="Z383" s="65"/>
      <c r="AA383" s="101"/>
      <c r="AB383" s="45"/>
      <c r="AC383" s="65">
        <v>262.22</v>
      </c>
      <c r="AD383" s="101" t="s">
        <v>85</v>
      </c>
      <c r="AE383" s="45">
        <v>45656.0</v>
      </c>
      <c r="AF383" s="102"/>
      <c r="AG383" s="101"/>
      <c r="AH383" s="101"/>
      <c r="AI383" s="102"/>
    </row>
    <row r="384" ht="15.75" customHeight="1">
      <c r="A384" s="101" t="s">
        <v>167</v>
      </c>
      <c r="B384" s="101" t="s">
        <v>62</v>
      </c>
      <c r="C384" s="101" t="s">
        <v>63</v>
      </c>
      <c r="D384" s="101"/>
      <c r="E384" s="102" t="s">
        <v>204</v>
      </c>
      <c r="F384" s="45">
        <v>45636.0</v>
      </c>
      <c r="G384" s="45">
        <v>45636.0</v>
      </c>
      <c r="H384" s="101" t="s">
        <v>83</v>
      </c>
      <c r="I384" s="101" t="s">
        <v>76</v>
      </c>
      <c r="J384" s="101">
        <v>45.0</v>
      </c>
      <c r="K384" s="65">
        <v>50.0</v>
      </c>
      <c r="L384" s="65">
        <v>2250.0</v>
      </c>
      <c r="M384" s="103">
        <v>0.2</v>
      </c>
      <c r="N384" s="65">
        <v>450.0</v>
      </c>
      <c r="O384" s="65">
        <v>2700.0</v>
      </c>
      <c r="P384" s="101" t="s">
        <v>84</v>
      </c>
      <c r="Q384" s="65">
        <v>225.0</v>
      </c>
      <c r="R384" s="65">
        <v>2700.0</v>
      </c>
      <c r="S384" s="65">
        <v>1575.0</v>
      </c>
      <c r="T384" s="65"/>
      <c r="U384" s="101"/>
      <c r="V384" s="45"/>
      <c r="W384" s="65"/>
      <c r="X384" s="101"/>
      <c r="Y384" s="45"/>
      <c r="Z384" s="65"/>
      <c r="AA384" s="101"/>
      <c r="AB384" s="45"/>
      <c r="AC384" s="65"/>
      <c r="AD384" s="101"/>
      <c r="AE384" s="45"/>
      <c r="AF384" s="102"/>
      <c r="AG384" s="101"/>
      <c r="AH384" s="101"/>
      <c r="AI384" s="102"/>
    </row>
    <row r="385" ht="15.75" customHeight="1">
      <c r="A385" s="101" t="s">
        <v>61</v>
      </c>
      <c r="B385" s="101" t="s">
        <v>62</v>
      </c>
      <c r="C385" s="101" t="s">
        <v>251</v>
      </c>
      <c r="D385" s="101"/>
      <c r="E385" s="102" t="s">
        <v>749</v>
      </c>
      <c r="F385" s="45">
        <v>45654.0</v>
      </c>
      <c r="G385" s="45">
        <v>45637.0</v>
      </c>
      <c r="H385" s="101" t="s">
        <v>73</v>
      </c>
      <c r="I385" s="101" t="s">
        <v>76</v>
      </c>
      <c r="J385" s="101">
        <v>24.0</v>
      </c>
      <c r="K385" s="65">
        <v>154.125</v>
      </c>
      <c r="L385" s="65">
        <v>3699.0</v>
      </c>
      <c r="M385" s="103">
        <v>0.2</v>
      </c>
      <c r="N385" s="65">
        <v>739.8</v>
      </c>
      <c r="O385" s="65">
        <v>4438.8</v>
      </c>
      <c r="P385" s="101" t="s">
        <v>79</v>
      </c>
      <c r="Q385" s="65">
        <v>369.9</v>
      </c>
      <c r="R385" s="65">
        <v>4808.7</v>
      </c>
      <c r="S385" s="65">
        <v>2589.3</v>
      </c>
      <c r="T385" s="65">
        <v>4808.7</v>
      </c>
      <c r="U385" s="101" t="s">
        <v>80</v>
      </c>
      <c r="V385" s="45">
        <v>45649.0</v>
      </c>
      <c r="W385" s="65"/>
      <c r="X385" s="101"/>
      <c r="Y385" s="45"/>
      <c r="Z385" s="65"/>
      <c r="AA385" s="101"/>
      <c r="AB385" s="45"/>
      <c r="AC385" s="65">
        <v>369.9</v>
      </c>
      <c r="AD385" s="101" t="s">
        <v>80</v>
      </c>
      <c r="AE385" s="45">
        <v>45674.0</v>
      </c>
      <c r="AF385" s="102"/>
      <c r="AG385" s="101"/>
      <c r="AH385" s="101"/>
      <c r="AI385" s="102"/>
    </row>
    <row r="386" ht="15.75" customHeight="1">
      <c r="A386" s="101" t="s">
        <v>61</v>
      </c>
      <c r="B386" s="101" t="s">
        <v>62</v>
      </c>
      <c r="C386" s="101" t="s">
        <v>251</v>
      </c>
      <c r="D386" s="101">
        <v>2.2004002E7</v>
      </c>
      <c r="E386" s="102" t="s">
        <v>750</v>
      </c>
      <c r="F386" s="45">
        <v>45645.0</v>
      </c>
      <c r="G386" s="45">
        <v>45637.0</v>
      </c>
      <c r="H386" s="101" t="s">
        <v>73</v>
      </c>
      <c r="I386" s="101" t="s">
        <v>76</v>
      </c>
      <c r="J386" s="101">
        <v>70.0</v>
      </c>
      <c r="K386" s="65">
        <v>47.45714286</v>
      </c>
      <c r="L386" s="65">
        <v>3322.0</v>
      </c>
      <c r="M386" s="103">
        <v>0.2</v>
      </c>
      <c r="N386" s="65">
        <v>664.4</v>
      </c>
      <c r="O386" s="65">
        <v>3986.4</v>
      </c>
      <c r="P386" s="101" t="s">
        <v>79</v>
      </c>
      <c r="Q386" s="65">
        <v>332.2</v>
      </c>
      <c r="R386" s="65">
        <v>4318.6</v>
      </c>
      <c r="S386" s="65">
        <v>2325.4</v>
      </c>
      <c r="T386" s="65">
        <v>4318.6</v>
      </c>
      <c r="U386" s="101" t="s">
        <v>80</v>
      </c>
      <c r="V386" s="45">
        <v>45642.0</v>
      </c>
      <c r="W386" s="65"/>
      <c r="X386" s="101"/>
      <c r="Y386" s="45"/>
      <c r="Z386" s="65"/>
      <c r="AA386" s="101"/>
      <c r="AB386" s="45"/>
      <c r="AC386" s="65">
        <v>332.2</v>
      </c>
      <c r="AD386" s="101" t="s">
        <v>80</v>
      </c>
      <c r="AE386" s="45">
        <v>45647.0</v>
      </c>
      <c r="AF386" s="102"/>
      <c r="AG386" s="101"/>
      <c r="AH386" s="101"/>
      <c r="AI386" s="102"/>
    </row>
    <row r="387" ht="15.75" customHeight="1">
      <c r="A387" s="101" t="s">
        <v>61</v>
      </c>
      <c r="B387" s="101" t="s">
        <v>62</v>
      </c>
      <c r="C387" s="101" t="s">
        <v>251</v>
      </c>
      <c r="D387" s="101">
        <v>2.2004003E7</v>
      </c>
      <c r="E387" s="102" t="s">
        <v>751</v>
      </c>
      <c r="F387" s="45">
        <v>45657.0</v>
      </c>
      <c r="G387" s="45">
        <v>45643.0</v>
      </c>
      <c r="H387" s="101" t="s">
        <v>83</v>
      </c>
      <c r="I387" s="101" t="s">
        <v>119</v>
      </c>
      <c r="J387" s="101">
        <v>46.0</v>
      </c>
      <c r="K387" s="65">
        <v>115.5108696</v>
      </c>
      <c r="L387" s="65">
        <v>5313.5</v>
      </c>
      <c r="M387" s="103">
        <v>0.2</v>
      </c>
      <c r="N387" s="65">
        <v>1062.7</v>
      </c>
      <c r="O387" s="65">
        <v>6376.2</v>
      </c>
      <c r="P387" s="101" t="s">
        <v>79</v>
      </c>
      <c r="Q387" s="65">
        <v>531.35</v>
      </c>
      <c r="R387" s="65">
        <v>6907.55</v>
      </c>
      <c r="S387" s="65">
        <v>3719.45</v>
      </c>
      <c r="T387" s="65"/>
      <c r="U387" s="101"/>
      <c r="V387" s="45"/>
      <c r="W387" s="65"/>
      <c r="X387" s="101"/>
      <c r="Y387" s="45"/>
      <c r="Z387" s="65"/>
      <c r="AA387" s="101"/>
      <c r="AB387" s="45"/>
      <c r="AC387" s="65"/>
      <c r="AD387" s="101"/>
      <c r="AE387" s="45"/>
      <c r="AF387" s="102"/>
      <c r="AG387" s="101"/>
      <c r="AH387" s="101"/>
      <c r="AI387" s="102"/>
    </row>
    <row r="388" ht="15.75" customHeight="1">
      <c r="A388" s="101" t="s">
        <v>219</v>
      </c>
      <c r="B388" s="101" t="s">
        <v>62</v>
      </c>
      <c r="C388" s="101" t="s">
        <v>251</v>
      </c>
      <c r="D388" s="101">
        <v>2.2004004E7</v>
      </c>
      <c r="E388" s="102" t="s">
        <v>752</v>
      </c>
      <c r="F388" s="45">
        <v>45673.0</v>
      </c>
      <c r="G388" s="45">
        <v>45664.0</v>
      </c>
      <c r="H388" s="101" t="s">
        <v>83</v>
      </c>
      <c r="I388" s="101" t="s">
        <v>76</v>
      </c>
      <c r="J388" s="101">
        <v>50.0</v>
      </c>
      <c r="K388" s="65">
        <v>48.43</v>
      </c>
      <c r="L388" s="65">
        <v>2421.5</v>
      </c>
      <c r="M388" s="103">
        <v>0.2</v>
      </c>
      <c r="N388" s="65">
        <v>484.3</v>
      </c>
      <c r="O388" s="65">
        <v>2905.8</v>
      </c>
      <c r="P388" s="101" t="s">
        <v>79</v>
      </c>
      <c r="Q388" s="65">
        <v>242.15</v>
      </c>
      <c r="R388" s="65">
        <v>3147.95</v>
      </c>
      <c r="S388" s="65">
        <v>1695.05</v>
      </c>
      <c r="T388" s="65"/>
      <c r="U388" s="101" t="s">
        <v>85</v>
      </c>
      <c r="V388" s="45">
        <v>45669.0</v>
      </c>
      <c r="W388" s="65"/>
      <c r="X388" s="101"/>
      <c r="Y388" s="45"/>
      <c r="Z388" s="65"/>
      <c r="AA388" s="101"/>
      <c r="AB388" s="45"/>
      <c r="AC388" s="65">
        <v>242.15</v>
      </c>
      <c r="AD388" s="101"/>
      <c r="AE388" s="45">
        <v>45707.0</v>
      </c>
      <c r="AF388" s="102" t="s">
        <v>753</v>
      </c>
      <c r="AG388" s="101" t="s">
        <v>275</v>
      </c>
      <c r="AH388" s="101">
        <v>2.0581658E7</v>
      </c>
      <c r="AI388" s="102"/>
    </row>
    <row r="389" ht="15.75" customHeight="1">
      <c r="A389" s="101" t="s">
        <v>61</v>
      </c>
      <c r="B389" s="101" t="s">
        <v>62</v>
      </c>
      <c r="C389" s="101" t="s">
        <v>251</v>
      </c>
      <c r="D389" s="101">
        <v>2.2004005E7</v>
      </c>
      <c r="E389" s="102" t="s">
        <v>234</v>
      </c>
      <c r="F389" s="45">
        <v>45669.0</v>
      </c>
      <c r="G389" s="45">
        <v>45666.0</v>
      </c>
      <c r="H389" s="101" t="s">
        <v>83</v>
      </c>
      <c r="I389" s="101" t="s">
        <v>76</v>
      </c>
      <c r="J389" s="101">
        <v>10.0</v>
      </c>
      <c r="K389" s="65">
        <v>95.2</v>
      </c>
      <c r="L389" s="65">
        <v>952.0</v>
      </c>
      <c r="M389" s="103">
        <v>0.0</v>
      </c>
      <c r="N389" s="65">
        <v>0.0</v>
      </c>
      <c r="O389" s="65">
        <v>952.0</v>
      </c>
      <c r="P389" s="101" t="s">
        <v>84</v>
      </c>
      <c r="Q389" s="65">
        <v>95.2</v>
      </c>
      <c r="R389" s="65">
        <v>952.0</v>
      </c>
      <c r="S389" s="65">
        <v>571.2</v>
      </c>
      <c r="T389" s="65"/>
      <c r="U389" s="101"/>
      <c r="V389" s="45"/>
      <c r="W389" s="65"/>
      <c r="X389" s="101"/>
      <c r="Y389" s="45"/>
      <c r="Z389" s="65"/>
      <c r="AA389" s="101"/>
      <c r="AB389" s="45"/>
      <c r="AC389" s="65"/>
      <c r="AD389" s="101"/>
      <c r="AE389" s="45"/>
      <c r="AF389" s="102"/>
      <c r="AG389" s="101"/>
      <c r="AH389" s="101"/>
      <c r="AI389" s="102"/>
    </row>
    <row r="390" ht="15.75" customHeight="1">
      <c r="A390" s="101" t="s">
        <v>61</v>
      </c>
      <c r="B390" s="101" t="s">
        <v>62</v>
      </c>
      <c r="C390" s="101" t="s">
        <v>63</v>
      </c>
      <c r="D390" s="101">
        <v>2.2004006E7</v>
      </c>
      <c r="E390" s="102" t="s">
        <v>754</v>
      </c>
      <c r="F390" s="45">
        <v>45672.0</v>
      </c>
      <c r="G390" s="45">
        <v>45666.0</v>
      </c>
      <c r="H390" s="101" t="s">
        <v>83</v>
      </c>
      <c r="I390" s="101" t="s">
        <v>119</v>
      </c>
      <c r="J390" s="101">
        <v>20.0</v>
      </c>
      <c r="K390" s="65">
        <v>126.875</v>
      </c>
      <c r="L390" s="65">
        <v>2537.5</v>
      </c>
      <c r="M390" s="103">
        <v>0.2</v>
      </c>
      <c r="N390" s="65">
        <v>507.5</v>
      </c>
      <c r="O390" s="65">
        <v>3045.0</v>
      </c>
      <c r="P390" s="101" t="s">
        <v>79</v>
      </c>
      <c r="Q390" s="65">
        <v>253.75</v>
      </c>
      <c r="R390" s="65">
        <v>3298.75</v>
      </c>
      <c r="S390" s="65">
        <v>1776.25</v>
      </c>
      <c r="T390" s="65"/>
      <c r="U390" s="101"/>
      <c r="V390" s="45"/>
      <c r="W390" s="65"/>
      <c r="X390" s="101"/>
      <c r="Y390" s="45"/>
      <c r="Z390" s="65"/>
      <c r="AA390" s="101"/>
      <c r="AB390" s="45"/>
      <c r="AC390" s="65"/>
      <c r="AD390" s="101"/>
      <c r="AE390" s="45"/>
      <c r="AF390" s="102"/>
      <c r="AG390" s="101"/>
      <c r="AH390" s="101"/>
      <c r="AI390" s="102"/>
    </row>
    <row r="391" ht="15.75" customHeight="1">
      <c r="A391" s="101" t="s">
        <v>61</v>
      </c>
      <c r="B391" s="101" t="s">
        <v>62</v>
      </c>
      <c r="C391" s="101" t="s">
        <v>63</v>
      </c>
      <c r="D391" s="101">
        <v>2.2004007E7</v>
      </c>
      <c r="E391" s="102" t="s">
        <v>755</v>
      </c>
      <c r="F391" s="45">
        <v>45688.0</v>
      </c>
      <c r="G391" s="45">
        <v>45678.0</v>
      </c>
      <c r="H391" s="101" t="s">
        <v>83</v>
      </c>
      <c r="I391" s="101" t="s">
        <v>76</v>
      </c>
      <c r="J391" s="101">
        <v>100.0</v>
      </c>
      <c r="K391" s="65">
        <v>78.46</v>
      </c>
      <c r="L391" s="65">
        <v>7846.0</v>
      </c>
      <c r="M391" s="103">
        <v>0.2</v>
      </c>
      <c r="N391" s="65">
        <v>1569.2</v>
      </c>
      <c r="O391" s="65">
        <v>9415.2</v>
      </c>
      <c r="P391" s="101" t="s">
        <v>79</v>
      </c>
      <c r="Q391" s="65">
        <v>784.6</v>
      </c>
      <c r="R391" s="65">
        <v>10199.8</v>
      </c>
      <c r="S391" s="65">
        <v>5492.2</v>
      </c>
      <c r="T391" s="65">
        <v>10199.8</v>
      </c>
      <c r="U391" s="101" t="s">
        <v>80</v>
      </c>
      <c r="V391" s="45"/>
      <c r="W391" s="65"/>
      <c r="X391" s="101"/>
      <c r="Y391" s="45"/>
      <c r="Z391" s="65"/>
      <c r="AA391" s="101"/>
      <c r="AB391" s="45"/>
      <c r="AC391" s="65">
        <v>659.2</v>
      </c>
      <c r="AD391" s="101"/>
      <c r="AE391" s="45"/>
      <c r="AF391" s="102" t="s">
        <v>756</v>
      </c>
      <c r="AG391" s="101"/>
      <c r="AH391" s="101"/>
      <c r="AI391" s="102"/>
    </row>
    <row r="392" ht="15.75" customHeight="1">
      <c r="A392" s="101" t="s">
        <v>219</v>
      </c>
      <c r="B392" s="101" t="s">
        <v>62</v>
      </c>
      <c r="C392" s="101" t="s">
        <v>63</v>
      </c>
      <c r="D392" s="101">
        <v>2.2004008E7</v>
      </c>
      <c r="E392" s="102" t="s">
        <v>757</v>
      </c>
      <c r="F392" s="45">
        <v>45680.0</v>
      </c>
      <c r="G392" s="45">
        <v>45674.0</v>
      </c>
      <c r="H392" s="101" t="s">
        <v>73</v>
      </c>
      <c r="I392" s="101" t="s">
        <v>76</v>
      </c>
      <c r="J392" s="101">
        <v>65.0</v>
      </c>
      <c r="K392" s="65">
        <v>14.20769231</v>
      </c>
      <c r="L392" s="65">
        <v>923.5</v>
      </c>
      <c r="M392" s="103">
        <v>0.2</v>
      </c>
      <c r="N392" s="65">
        <v>184.7</v>
      </c>
      <c r="O392" s="65">
        <v>1108.2</v>
      </c>
      <c r="P392" s="101" t="s">
        <v>84</v>
      </c>
      <c r="Q392" s="65">
        <v>92.35</v>
      </c>
      <c r="R392" s="65">
        <v>1108.2</v>
      </c>
      <c r="S392" s="65">
        <v>646.45</v>
      </c>
      <c r="T392" s="65">
        <v>1108.2</v>
      </c>
      <c r="U392" s="101" t="s">
        <v>80</v>
      </c>
      <c r="V392" s="45">
        <v>45674.0</v>
      </c>
      <c r="W392" s="65"/>
      <c r="X392" s="101"/>
      <c r="Y392" s="45"/>
      <c r="Z392" s="65"/>
      <c r="AA392" s="101"/>
      <c r="AB392" s="45"/>
      <c r="AC392" s="65"/>
      <c r="AD392" s="101"/>
      <c r="AE392" s="45"/>
      <c r="AF392" s="102"/>
      <c r="AG392" s="101"/>
      <c r="AH392" s="101"/>
      <c r="AI392" s="102"/>
    </row>
    <row r="393" ht="15.75" customHeight="1">
      <c r="A393" s="101" t="s">
        <v>61</v>
      </c>
      <c r="B393" s="101" t="s">
        <v>62</v>
      </c>
      <c r="C393" s="101" t="s">
        <v>251</v>
      </c>
      <c r="D393" s="101">
        <v>2.2004009E7</v>
      </c>
      <c r="E393" s="102" t="s">
        <v>758</v>
      </c>
      <c r="F393" s="45">
        <v>45717.0</v>
      </c>
      <c r="G393" s="45">
        <v>45678.0</v>
      </c>
      <c r="H393" s="101" t="s">
        <v>73</v>
      </c>
      <c r="I393" s="101" t="s">
        <v>76</v>
      </c>
      <c r="J393" s="101">
        <v>18.0</v>
      </c>
      <c r="K393" s="65">
        <v>88.57777778</v>
      </c>
      <c r="L393" s="65">
        <v>1594.4</v>
      </c>
      <c r="M393" s="103">
        <v>0.2</v>
      </c>
      <c r="N393" s="65">
        <v>318.88</v>
      </c>
      <c r="O393" s="65">
        <v>1913.28</v>
      </c>
      <c r="P393" s="101" t="s">
        <v>79</v>
      </c>
      <c r="Q393" s="65">
        <v>159.44</v>
      </c>
      <c r="R393" s="65">
        <v>2072.72</v>
      </c>
      <c r="S393" s="65">
        <v>1116.08</v>
      </c>
      <c r="T393" s="65">
        <v>929.64</v>
      </c>
      <c r="U393" s="101" t="s">
        <v>80</v>
      </c>
      <c r="V393" s="45">
        <v>45709.0</v>
      </c>
      <c r="W393" s="65">
        <v>1143.08</v>
      </c>
      <c r="X393" s="101" t="s">
        <v>80</v>
      </c>
      <c r="Y393" s="45">
        <v>45707.0</v>
      </c>
      <c r="Z393" s="65"/>
      <c r="AA393" s="101"/>
      <c r="AB393" s="45"/>
      <c r="AC393" s="65">
        <v>138.44</v>
      </c>
      <c r="AD393" s="101" t="s">
        <v>80</v>
      </c>
      <c r="AE393" s="45">
        <v>45781.0</v>
      </c>
      <c r="AF393" s="102"/>
      <c r="AG393" s="101"/>
      <c r="AH393" s="101"/>
      <c r="AI393" s="102"/>
    </row>
    <row r="394" ht="15.75" customHeight="1">
      <c r="A394" s="101" t="s">
        <v>61</v>
      </c>
      <c r="B394" s="101" t="s">
        <v>62</v>
      </c>
      <c r="C394" s="101" t="s">
        <v>63</v>
      </c>
      <c r="D394" s="101">
        <v>2.200401E7</v>
      </c>
      <c r="E394" s="102" t="s">
        <v>759</v>
      </c>
      <c r="F394" s="45">
        <v>45706.0</v>
      </c>
      <c r="G394" s="45">
        <v>45710.0</v>
      </c>
      <c r="H394" s="101" t="s">
        <v>83</v>
      </c>
      <c r="I394" s="101" t="s">
        <v>76</v>
      </c>
      <c r="J394" s="101">
        <v>40.0</v>
      </c>
      <c r="K394" s="65">
        <v>55.075</v>
      </c>
      <c r="L394" s="65">
        <v>2203.0</v>
      </c>
      <c r="M394" s="103">
        <v>0.2</v>
      </c>
      <c r="N394" s="65">
        <v>440.6</v>
      </c>
      <c r="O394" s="65">
        <v>2643.6</v>
      </c>
      <c r="P394" s="101" t="s">
        <v>79</v>
      </c>
      <c r="Q394" s="65">
        <v>220.3</v>
      </c>
      <c r="R394" s="65">
        <v>2863.9</v>
      </c>
      <c r="S394" s="65">
        <v>1542.1</v>
      </c>
      <c r="T394" s="65">
        <v>1321.8</v>
      </c>
      <c r="U394" s="101" t="s">
        <v>85</v>
      </c>
      <c r="V394" s="45">
        <v>45685.0</v>
      </c>
      <c r="W394" s="65">
        <v>1542.1</v>
      </c>
      <c r="X394" s="101" t="s">
        <v>85</v>
      </c>
      <c r="Y394" s="45">
        <v>45706.0</v>
      </c>
      <c r="Z394" s="65"/>
      <c r="AA394" s="101"/>
      <c r="AB394" s="45"/>
      <c r="AC394" s="65">
        <v>220.3</v>
      </c>
      <c r="AD394" s="101" t="s">
        <v>85</v>
      </c>
      <c r="AE394" s="45">
        <v>45357.0</v>
      </c>
      <c r="AF394" s="102" t="s">
        <v>760</v>
      </c>
      <c r="AG394" s="101" t="s">
        <v>283</v>
      </c>
      <c r="AH394" s="101" t="s">
        <v>761</v>
      </c>
      <c r="AI394" s="102"/>
    </row>
    <row r="395" ht="15.75" customHeight="1">
      <c r="A395" s="101" t="s">
        <v>219</v>
      </c>
      <c r="B395" s="101" t="s">
        <v>62</v>
      </c>
      <c r="C395" s="101" t="s">
        <v>63</v>
      </c>
      <c r="D395" s="101">
        <v>2.2004011E7</v>
      </c>
      <c r="E395" s="102" t="s">
        <v>762</v>
      </c>
      <c r="F395" s="45">
        <v>45707.0</v>
      </c>
      <c r="G395" s="45">
        <v>45679.0</v>
      </c>
      <c r="H395" s="101" t="s">
        <v>83</v>
      </c>
      <c r="I395" s="101" t="s">
        <v>76</v>
      </c>
      <c r="J395" s="101">
        <v>25.0</v>
      </c>
      <c r="K395" s="65">
        <v>70.98</v>
      </c>
      <c r="L395" s="65">
        <v>1774.5</v>
      </c>
      <c r="M395" s="103">
        <v>0.2</v>
      </c>
      <c r="N395" s="65">
        <v>354.9</v>
      </c>
      <c r="O395" s="65">
        <v>2129.4</v>
      </c>
      <c r="P395" s="101" t="s">
        <v>79</v>
      </c>
      <c r="Q395" s="65">
        <v>177.45</v>
      </c>
      <c r="R395" s="65">
        <v>2306.85</v>
      </c>
      <c r="S395" s="65">
        <v>1242.15</v>
      </c>
      <c r="T395" s="65">
        <v>2306.85</v>
      </c>
      <c r="U395" s="101" t="s">
        <v>85</v>
      </c>
      <c r="V395" s="45">
        <v>45701.0</v>
      </c>
      <c r="W395" s="65"/>
      <c r="X395" s="101"/>
      <c r="Y395" s="45"/>
      <c r="Z395" s="65"/>
      <c r="AA395" s="101"/>
      <c r="AB395" s="45"/>
      <c r="AC395" s="65">
        <v>177.45</v>
      </c>
      <c r="AD395" s="101" t="s">
        <v>85</v>
      </c>
      <c r="AE395" s="45">
        <v>45736.0</v>
      </c>
      <c r="AF395" s="102" t="s">
        <v>763</v>
      </c>
      <c r="AG395" s="101" t="s">
        <v>275</v>
      </c>
      <c r="AH395" s="101">
        <v>7.3929515E7</v>
      </c>
      <c r="AI395" s="102"/>
    </row>
    <row r="396" ht="15.75" customHeight="1">
      <c r="A396" s="101" t="s">
        <v>61</v>
      </c>
      <c r="B396" s="101" t="s">
        <v>62</v>
      </c>
      <c r="C396" s="101" t="s">
        <v>63</v>
      </c>
      <c r="D396" s="101">
        <v>2.2004012E7</v>
      </c>
      <c r="E396" s="102" t="s">
        <v>155</v>
      </c>
      <c r="F396" s="45">
        <v>45695.0</v>
      </c>
      <c r="G396" s="45">
        <v>45685.0</v>
      </c>
      <c r="H396" s="101" t="s">
        <v>83</v>
      </c>
      <c r="I396" s="101" t="s">
        <v>76</v>
      </c>
      <c r="J396" s="101">
        <v>70.0</v>
      </c>
      <c r="K396" s="65">
        <v>53.92757143</v>
      </c>
      <c r="L396" s="65">
        <v>3774.93</v>
      </c>
      <c r="M396" s="103">
        <v>0.2</v>
      </c>
      <c r="N396" s="65">
        <v>754.986</v>
      </c>
      <c r="O396" s="65">
        <v>4529.916</v>
      </c>
      <c r="P396" s="101" t="s">
        <v>79</v>
      </c>
      <c r="Q396" s="65">
        <v>377.493</v>
      </c>
      <c r="R396" s="65">
        <v>4907.409</v>
      </c>
      <c r="S396" s="65">
        <v>2642.451</v>
      </c>
      <c r="T396" s="65">
        <v>4907.41</v>
      </c>
      <c r="U396" s="101" t="s">
        <v>85</v>
      </c>
      <c r="V396" s="45">
        <v>45690.0</v>
      </c>
      <c r="W396" s="65"/>
      <c r="X396" s="101"/>
      <c r="Y396" s="45"/>
      <c r="Z396" s="65"/>
      <c r="AA396" s="101"/>
      <c r="AB396" s="45"/>
      <c r="AC396" s="65">
        <v>479.1</v>
      </c>
      <c r="AD396" s="101" t="s">
        <v>85</v>
      </c>
      <c r="AE396" s="45">
        <v>45722.0</v>
      </c>
      <c r="AF396" s="102" t="s">
        <v>439</v>
      </c>
      <c r="AG396" s="101"/>
      <c r="AH396" s="101"/>
      <c r="AI396" s="102"/>
    </row>
    <row r="397" ht="15.75" customHeight="1">
      <c r="A397" s="101" t="s">
        <v>61</v>
      </c>
      <c r="B397" s="101" t="s">
        <v>62</v>
      </c>
      <c r="C397" s="101" t="s">
        <v>63</v>
      </c>
      <c r="D397" s="101">
        <v>2.2004013E7</v>
      </c>
      <c r="E397" s="102" t="s">
        <v>86</v>
      </c>
      <c r="F397" s="45">
        <v>45834.0</v>
      </c>
      <c r="G397" s="45">
        <v>45685.0</v>
      </c>
      <c r="H397" s="101" t="s">
        <v>83</v>
      </c>
      <c r="I397" s="101" t="s">
        <v>76</v>
      </c>
      <c r="J397" s="101">
        <v>60.0</v>
      </c>
      <c r="K397" s="65">
        <v>77.73333333</v>
      </c>
      <c r="L397" s="65">
        <v>4664.0</v>
      </c>
      <c r="M397" s="103">
        <v>0.2</v>
      </c>
      <c r="N397" s="65">
        <v>932.8</v>
      </c>
      <c r="O397" s="65">
        <v>5596.8</v>
      </c>
      <c r="P397" s="101" t="s">
        <v>79</v>
      </c>
      <c r="Q397" s="65">
        <v>466.4</v>
      </c>
      <c r="R397" s="65">
        <v>6063.2</v>
      </c>
      <c r="S397" s="65">
        <v>3264.8</v>
      </c>
      <c r="T397" s="65">
        <v>2798.4</v>
      </c>
      <c r="U397" s="101" t="s">
        <v>80</v>
      </c>
      <c r="V397" s="45">
        <v>45685.0</v>
      </c>
      <c r="W397" s="65"/>
      <c r="X397" s="101"/>
      <c r="Y397" s="45"/>
      <c r="Z397" s="65"/>
      <c r="AA397" s="101"/>
      <c r="AB397" s="45"/>
      <c r="AC397" s="65"/>
      <c r="AD397" s="101"/>
      <c r="AE397" s="45"/>
      <c r="AF397" s="102"/>
      <c r="AG397" s="101"/>
      <c r="AH397" s="101"/>
      <c r="AI397" s="102"/>
    </row>
    <row r="398" ht="15.75" customHeight="1">
      <c r="A398" s="101" t="s">
        <v>219</v>
      </c>
      <c r="B398" s="101" t="s">
        <v>62</v>
      </c>
      <c r="C398" s="101" t="s">
        <v>63</v>
      </c>
      <c r="D398" s="101">
        <v>2.2004014E7</v>
      </c>
      <c r="E398" s="102" t="s">
        <v>429</v>
      </c>
      <c r="F398" s="45">
        <v>45696.0</v>
      </c>
      <c r="G398" s="45">
        <v>45688.0</v>
      </c>
      <c r="H398" s="101" t="s">
        <v>83</v>
      </c>
      <c r="I398" s="101" t="s">
        <v>76</v>
      </c>
      <c r="J398" s="101">
        <v>100.0</v>
      </c>
      <c r="K398" s="65">
        <v>42.7675</v>
      </c>
      <c r="L398" s="65">
        <v>4276.75</v>
      </c>
      <c r="M398" s="103">
        <v>0.2</v>
      </c>
      <c r="N398" s="65">
        <v>855.35</v>
      </c>
      <c r="O398" s="65">
        <v>5132.1</v>
      </c>
      <c r="P398" s="101" t="s">
        <v>79</v>
      </c>
      <c r="Q398" s="65">
        <v>427.675</v>
      </c>
      <c r="R398" s="65">
        <v>5559.775</v>
      </c>
      <c r="S398" s="65">
        <v>2993.725</v>
      </c>
      <c r="T398" s="65">
        <v>5559.78</v>
      </c>
      <c r="U398" s="101" t="s">
        <v>85</v>
      </c>
      <c r="V398" s="45">
        <v>45693.0</v>
      </c>
      <c r="W398" s="65"/>
      <c r="X398" s="101"/>
      <c r="Y398" s="45"/>
      <c r="Z398" s="65"/>
      <c r="AA398" s="101"/>
      <c r="AB398" s="45"/>
      <c r="AC398" s="65">
        <v>874.74</v>
      </c>
      <c r="AD398" s="101" t="s">
        <v>764</v>
      </c>
      <c r="AE398" s="45">
        <v>45775.0</v>
      </c>
      <c r="AF398" s="102" t="s">
        <v>765</v>
      </c>
      <c r="AG398" s="101"/>
      <c r="AH398" s="101"/>
      <c r="AI398" s="102"/>
    </row>
    <row r="399" ht="15.75" customHeight="1">
      <c r="A399" s="101" t="s">
        <v>61</v>
      </c>
      <c r="B399" s="101" t="s">
        <v>62</v>
      </c>
      <c r="C399" s="101" t="s">
        <v>63</v>
      </c>
      <c r="D399" s="101">
        <v>2.2004015E7</v>
      </c>
      <c r="E399" s="102" t="s">
        <v>157</v>
      </c>
      <c r="F399" s="45">
        <v>45723.0</v>
      </c>
      <c r="G399" s="45">
        <v>45686.0</v>
      </c>
      <c r="H399" s="101" t="s">
        <v>73</v>
      </c>
      <c r="I399" s="101" t="s">
        <v>76</v>
      </c>
      <c r="J399" s="101">
        <v>40.0</v>
      </c>
      <c r="K399" s="65">
        <v>53.8</v>
      </c>
      <c r="L399" s="65">
        <v>2152.0</v>
      </c>
      <c r="M399" s="103">
        <v>0.2</v>
      </c>
      <c r="N399" s="65">
        <v>430.4</v>
      </c>
      <c r="O399" s="65">
        <v>2582.4</v>
      </c>
      <c r="P399" s="101" t="s">
        <v>79</v>
      </c>
      <c r="Q399" s="65">
        <v>215.2</v>
      </c>
      <c r="R399" s="65">
        <v>2797.6</v>
      </c>
      <c r="S399" s="65">
        <v>1506.4</v>
      </c>
      <c r="T399" s="65">
        <v>2797.6</v>
      </c>
      <c r="U399" s="101" t="s">
        <v>85</v>
      </c>
      <c r="V399" s="45">
        <v>45349.0</v>
      </c>
      <c r="W399" s="65"/>
      <c r="X399" s="101"/>
      <c r="Y399" s="45"/>
      <c r="Z399" s="65"/>
      <c r="AA399" s="101"/>
      <c r="AB399" s="45"/>
      <c r="AC399" s="65">
        <v>253.0</v>
      </c>
      <c r="AD399" s="101" t="s">
        <v>85</v>
      </c>
      <c r="AE399" s="45">
        <v>45789.0</v>
      </c>
      <c r="AF399" s="102" t="s">
        <v>157</v>
      </c>
      <c r="AG399" s="101" t="s">
        <v>238</v>
      </c>
      <c r="AH399" s="101">
        <v>1.933213E7</v>
      </c>
      <c r="AI399" s="102"/>
    </row>
    <row r="400" ht="15.75" customHeight="1">
      <c r="A400" s="101" t="s">
        <v>219</v>
      </c>
      <c r="B400" s="101" t="s">
        <v>62</v>
      </c>
      <c r="C400" s="101" t="s">
        <v>278</v>
      </c>
      <c r="D400" s="101">
        <v>2.2004016E7</v>
      </c>
      <c r="E400" s="102" t="s">
        <v>766</v>
      </c>
      <c r="F400" s="45">
        <v>45857.0</v>
      </c>
      <c r="G400" s="45">
        <v>45686.0</v>
      </c>
      <c r="H400" s="101" t="s">
        <v>73</v>
      </c>
      <c r="I400" s="101" t="s">
        <v>76</v>
      </c>
      <c r="J400" s="101"/>
      <c r="K400" s="65"/>
      <c r="L400" s="65"/>
      <c r="M400" s="103"/>
      <c r="N400" s="65"/>
      <c r="O400" s="65"/>
      <c r="P400" s="101"/>
      <c r="Q400" s="65">
        <v>0.0</v>
      </c>
      <c r="R400" s="65"/>
      <c r="S400" s="65">
        <v>0.0</v>
      </c>
      <c r="T400" s="65">
        <v>216.0</v>
      </c>
      <c r="U400" s="101" t="s">
        <v>80</v>
      </c>
      <c r="V400" s="45">
        <v>45693.0</v>
      </c>
      <c r="W400" s="65"/>
      <c r="X400" s="101"/>
      <c r="Y400" s="45"/>
      <c r="Z400" s="65"/>
      <c r="AA400" s="101"/>
      <c r="AB400" s="45"/>
      <c r="AC400" s="65"/>
      <c r="AD400" s="101"/>
      <c r="AE400" s="45"/>
      <c r="AF400" s="102"/>
      <c r="AG400" s="101"/>
      <c r="AH400" s="101"/>
      <c r="AI400" s="102"/>
    </row>
    <row r="401" ht="15.75" customHeight="1">
      <c r="A401" s="101" t="s">
        <v>219</v>
      </c>
      <c r="B401" s="101" t="s">
        <v>62</v>
      </c>
      <c r="C401" s="101" t="s">
        <v>63</v>
      </c>
      <c r="D401" s="101">
        <v>2.2004017E7</v>
      </c>
      <c r="E401" s="102" t="s">
        <v>762</v>
      </c>
      <c r="F401" s="45">
        <v>45703.0</v>
      </c>
      <c r="G401" s="45">
        <v>45688.0</v>
      </c>
      <c r="H401" s="101" t="s">
        <v>83</v>
      </c>
      <c r="I401" s="101" t="s">
        <v>76</v>
      </c>
      <c r="J401" s="101">
        <v>30.0</v>
      </c>
      <c r="K401" s="65">
        <v>49.8</v>
      </c>
      <c r="L401" s="65">
        <v>1494.0</v>
      </c>
      <c r="M401" s="103">
        <v>0.2</v>
      </c>
      <c r="N401" s="65">
        <v>298.8</v>
      </c>
      <c r="O401" s="65">
        <v>1792.8</v>
      </c>
      <c r="P401" s="101" t="s">
        <v>79</v>
      </c>
      <c r="Q401" s="65">
        <v>149.4</v>
      </c>
      <c r="R401" s="65">
        <v>1942.2</v>
      </c>
      <c r="S401" s="65">
        <v>1045.8</v>
      </c>
      <c r="T401" s="65">
        <v>1896.7</v>
      </c>
      <c r="U401" s="101" t="s">
        <v>85</v>
      </c>
      <c r="V401" s="45">
        <v>45701.0</v>
      </c>
      <c r="W401" s="65"/>
      <c r="X401" s="101"/>
      <c r="Y401" s="45"/>
      <c r="Z401" s="65"/>
      <c r="AA401" s="101"/>
      <c r="AB401" s="45"/>
      <c r="AC401" s="65">
        <v>103.9</v>
      </c>
      <c r="AD401" s="101" t="s">
        <v>85</v>
      </c>
      <c r="AE401" s="45"/>
      <c r="AF401" s="102" t="s">
        <v>767</v>
      </c>
      <c r="AG401" s="101"/>
      <c r="AH401" s="101"/>
      <c r="AI401" s="102"/>
    </row>
    <row r="402" ht="15.75" customHeight="1">
      <c r="A402" s="101" t="s">
        <v>61</v>
      </c>
      <c r="B402" s="101" t="s">
        <v>62</v>
      </c>
      <c r="C402" s="101" t="s">
        <v>251</v>
      </c>
      <c r="D402" s="101">
        <v>2.2004018E7</v>
      </c>
      <c r="E402" s="102" t="s">
        <v>268</v>
      </c>
      <c r="F402" s="45">
        <v>45697.0</v>
      </c>
      <c r="G402" s="45">
        <v>45693.0</v>
      </c>
      <c r="H402" s="101" t="s">
        <v>83</v>
      </c>
      <c r="I402" s="101" t="s">
        <v>76</v>
      </c>
      <c r="J402" s="101">
        <v>23.0</v>
      </c>
      <c r="K402" s="65">
        <v>115.1413043</v>
      </c>
      <c r="L402" s="65">
        <v>2648.25</v>
      </c>
      <c r="M402" s="103">
        <v>0.2</v>
      </c>
      <c r="N402" s="65">
        <v>529.65</v>
      </c>
      <c r="O402" s="65">
        <v>3177.9</v>
      </c>
      <c r="P402" s="101" t="s">
        <v>79</v>
      </c>
      <c r="Q402" s="65">
        <v>264.825</v>
      </c>
      <c r="R402" s="65">
        <v>3442.725</v>
      </c>
      <c r="S402" s="65">
        <v>1853.775</v>
      </c>
      <c r="T402" s="65">
        <v>3442.72</v>
      </c>
      <c r="U402" s="101" t="s">
        <v>80</v>
      </c>
      <c r="V402" s="45">
        <v>45693.0</v>
      </c>
      <c r="W402" s="65"/>
      <c r="X402" s="101"/>
      <c r="Y402" s="45"/>
      <c r="Z402" s="65"/>
      <c r="AA402" s="101"/>
      <c r="AB402" s="45"/>
      <c r="AC402" s="65">
        <v>232.42</v>
      </c>
      <c r="AD402" s="101" t="s">
        <v>80</v>
      </c>
      <c r="AE402" s="45">
        <v>45699.0</v>
      </c>
      <c r="AF402" s="102"/>
      <c r="AG402" s="101"/>
      <c r="AH402" s="101"/>
      <c r="AI402" s="102"/>
    </row>
    <row r="403" ht="15.75" customHeight="1">
      <c r="A403" s="101" t="s">
        <v>61</v>
      </c>
      <c r="B403" s="101" t="s">
        <v>62</v>
      </c>
      <c r="C403" s="101" t="s">
        <v>63</v>
      </c>
      <c r="D403" s="101">
        <v>2.2004019E7</v>
      </c>
      <c r="E403" s="102" t="s">
        <v>768</v>
      </c>
      <c r="F403" s="45">
        <v>45735.0</v>
      </c>
      <c r="G403" s="45">
        <v>45694.0</v>
      </c>
      <c r="H403" s="101" t="s">
        <v>73</v>
      </c>
      <c r="I403" s="101" t="s">
        <v>76</v>
      </c>
      <c r="J403" s="101">
        <v>100.0</v>
      </c>
      <c r="K403" s="65">
        <v>56.665</v>
      </c>
      <c r="L403" s="65">
        <v>5666.5</v>
      </c>
      <c r="M403" s="103">
        <v>0.2</v>
      </c>
      <c r="N403" s="65">
        <v>1133.3</v>
      </c>
      <c r="O403" s="65">
        <v>6799.8</v>
      </c>
      <c r="P403" s="101" t="s">
        <v>79</v>
      </c>
      <c r="Q403" s="65">
        <v>566.65</v>
      </c>
      <c r="R403" s="65">
        <v>7366.45</v>
      </c>
      <c r="S403" s="65">
        <v>3966.55</v>
      </c>
      <c r="T403" s="65">
        <v>3399.9</v>
      </c>
      <c r="U403" s="101" t="s">
        <v>85</v>
      </c>
      <c r="V403" s="45">
        <v>45707.0</v>
      </c>
      <c r="W403" s="65">
        <v>3966.65</v>
      </c>
      <c r="X403" s="101" t="s">
        <v>85</v>
      </c>
      <c r="Y403" s="45">
        <v>45722.0</v>
      </c>
      <c r="Z403" s="65"/>
      <c r="AA403" s="101"/>
      <c r="AB403" s="45"/>
      <c r="AC403" s="65">
        <v>690.85</v>
      </c>
      <c r="AD403" s="101" t="s">
        <v>85</v>
      </c>
      <c r="AE403" s="45">
        <v>45736.0</v>
      </c>
      <c r="AF403" s="102" t="s">
        <v>769</v>
      </c>
      <c r="AG403" s="128">
        <v>29364.0</v>
      </c>
      <c r="AH403" s="101" t="s">
        <v>770</v>
      </c>
      <c r="AI403" s="102"/>
    </row>
    <row r="404" ht="15.75" customHeight="1">
      <c r="A404" s="101" t="s">
        <v>61</v>
      </c>
      <c r="B404" s="101" t="s">
        <v>62</v>
      </c>
      <c r="C404" s="101" t="s">
        <v>63</v>
      </c>
      <c r="D404" s="101">
        <v>2.200402E7</v>
      </c>
      <c r="E404" s="102" t="s">
        <v>554</v>
      </c>
      <c r="F404" s="45">
        <v>45704.0</v>
      </c>
      <c r="G404" s="45">
        <v>45695.0</v>
      </c>
      <c r="H404" s="101" t="s">
        <v>83</v>
      </c>
      <c r="I404" s="101" t="s">
        <v>76</v>
      </c>
      <c r="J404" s="101">
        <v>10.0</v>
      </c>
      <c r="K404" s="65">
        <v>160.55</v>
      </c>
      <c r="L404" s="65">
        <v>1605.5</v>
      </c>
      <c r="M404" s="103">
        <v>0.2</v>
      </c>
      <c r="N404" s="65">
        <v>321.1</v>
      </c>
      <c r="O404" s="65">
        <v>1926.6</v>
      </c>
      <c r="P404" s="101" t="s">
        <v>79</v>
      </c>
      <c r="Q404" s="65">
        <v>160.55</v>
      </c>
      <c r="R404" s="65">
        <v>2087.15</v>
      </c>
      <c r="S404" s="65">
        <v>1123.85</v>
      </c>
      <c r="T404" s="65">
        <v>2087.15</v>
      </c>
      <c r="U404" s="101" t="s">
        <v>80</v>
      </c>
      <c r="V404" s="45">
        <v>45698.0</v>
      </c>
      <c r="W404" s="65"/>
      <c r="X404" s="101"/>
      <c r="Y404" s="45"/>
      <c r="Z404" s="65"/>
      <c r="AA404" s="101"/>
      <c r="AB404" s="45"/>
      <c r="AC404" s="65">
        <v>160.55</v>
      </c>
      <c r="AD404" s="101" t="s">
        <v>80</v>
      </c>
      <c r="AE404" s="45">
        <v>45713.0</v>
      </c>
      <c r="AF404" s="102"/>
      <c r="AG404" s="101"/>
      <c r="AH404" s="101"/>
      <c r="AI404" s="102"/>
    </row>
    <row r="405" ht="15.75" customHeight="1">
      <c r="A405" s="101" t="s">
        <v>61</v>
      </c>
      <c r="B405" s="101" t="s">
        <v>62</v>
      </c>
      <c r="C405" s="101" t="s">
        <v>63</v>
      </c>
      <c r="D405" s="101">
        <v>2.2004021E7</v>
      </c>
      <c r="E405" s="102" t="s">
        <v>771</v>
      </c>
      <c r="F405" s="45">
        <v>45720.0</v>
      </c>
      <c r="G405" s="45">
        <v>45695.0</v>
      </c>
      <c r="H405" s="101" t="s">
        <v>73</v>
      </c>
      <c r="I405" s="101" t="s">
        <v>76</v>
      </c>
      <c r="J405" s="101">
        <v>30.0</v>
      </c>
      <c r="K405" s="65">
        <v>35.06666667</v>
      </c>
      <c r="L405" s="65">
        <v>1052.0</v>
      </c>
      <c r="M405" s="103">
        <v>0.2</v>
      </c>
      <c r="N405" s="65">
        <v>210.4</v>
      </c>
      <c r="O405" s="65">
        <v>1262.4</v>
      </c>
      <c r="P405" s="101" t="s">
        <v>84</v>
      </c>
      <c r="Q405" s="65">
        <v>105.2</v>
      </c>
      <c r="R405" s="65">
        <v>1262.4</v>
      </c>
      <c r="S405" s="65">
        <v>736.4</v>
      </c>
      <c r="T405" s="65">
        <v>1262.4</v>
      </c>
      <c r="U405" s="101" t="s">
        <v>85</v>
      </c>
      <c r="V405" s="45">
        <v>45720.0</v>
      </c>
      <c r="W405" s="65"/>
      <c r="X405" s="101"/>
      <c r="Y405" s="45"/>
      <c r="Z405" s="65"/>
      <c r="AA405" s="101"/>
      <c r="AB405" s="45"/>
      <c r="AC405" s="65"/>
      <c r="AD405" s="101"/>
      <c r="AE405" s="45"/>
      <c r="AF405" s="102"/>
      <c r="AG405" s="101"/>
      <c r="AH405" s="101"/>
      <c r="AI405" s="102"/>
    </row>
    <row r="406" ht="15.75" customHeight="1">
      <c r="A406" s="101" t="s">
        <v>219</v>
      </c>
      <c r="B406" s="101" t="s">
        <v>62</v>
      </c>
      <c r="C406" s="101" t="s">
        <v>63</v>
      </c>
      <c r="D406" s="101">
        <v>2.2004022E7</v>
      </c>
      <c r="E406" s="102" t="s">
        <v>757</v>
      </c>
      <c r="F406" s="45"/>
      <c r="G406" s="45"/>
      <c r="H406" s="101" t="s">
        <v>73</v>
      </c>
      <c r="I406" s="101" t="s">
        <v>119</v>
      </c>
      <c r="J406" s="101"/>
      <c r="K406" s="65"/>
      <c r="L406" s="65"/>
      <c r="M406" s="103"/>
      <c r="N406" s="65"/>
      <c r="O406" s="65"/>
      <c r="P406" s="101"/>
      <c r="Q406" s="65">
        <v>0.0</v>
      </c>
      <c r="R406" s="65"/>
      <c r="S406" s="65">
        <v>0.0</v>
      </c>
      <c r="T406" s="65"/>
      <c r="U406" s="101"/>
      <c r="V406" s="45"/>
      <c r="W406" s="65"/>
      <c r="X406" s="101"/>
      <c r="Y406" s="45"/>
      <c r="Z406" s="65"/>
      <c r="AA406" s="101"/>
      <c r="AB406" s="45"/>
      <c r="AC406" s="65"/>
      <c r="AD406" s="101"/>
      <c r="AE406" s="45"/>
      <c r="AF406" s="102"/>
      <c r="AG406" s="101"/>
      <c r="AH406" s="101"/>
      <c r="AI406" s="102"/>
    </row>
    <row r="407" ht="15.75" customHeight="1">
      <c r="A407" s="101" t="s">
        <v>219</v>
      </c>
      <c r="B407" s="101" t="s">
        <v>62</v>
      </c>
      <c r="C407" s="101" t="s">
        <v>63</v>
      </c>
      <c r="D407" s="101">
        <v>2.2004023E7</v>
      </c>
      <c r="E407" s="102" t="s">
        <v>772</v>
      </c>
      <c r="F407" s="45">
        <v>45722.0</v>
      </c>
      <c r="G407" s="45">
        <v>45698.0</v>
      </c>
      <c r="H407" s="101" t="s">
        <v>73</v>
      </c>
      <c r="I407" s="101" t="s">
        <v>76</v>
      </c>
      <c r="J407" s="101">
        <v>35.0</v>
      </c>
      <c r="K407" s="65">
        <v>59.72142857</v>
      </c>
      <c r="L407" s="65">
        <v>2090.25</v>
      </c>
      <c r="M407" s="103">
        <v>0.2</v>
      </c>
      <c r="N407" s="65">
        <v>418.05</v>
      </c>
      <c r="O407" s="65">
        <v>2508.3</v>
      </c>
      <c r="P407" s="101" t="s">
        <v>84</v>
      </c>
      <c r="Q407" s="65">
        <v>209.025</v>
      </c>
      <c r="R407" s="65">
        <v>2508.3</v>
      </c>
      <c r="S407" s="65">
        <v>1463.175</v>
      </c>
      <c r="T407" s="65"/>
      <c r="U407" s="101"/>
      <c r="V407" s="45"/>
      <c r="W407" s="65"/>
      <c r="X407" s="101"/>
      <c r="Y407" s="45"/>
      <c r="Z407" s="65"/>
      <c r="AA407" s="101"/>
      <c r="AB407" s="45"/>
      <c r="AC407" s="65"/>
      <c r="AD407" s="101"/>
      <c r="AE407" s="45"/>
      <c r="AF407" s="102"/>
      <c r="AG407" s="101"/>
      <c r="AH407" s="101"/>
      <c r="AI407" s="102"/>
    </row>
    <row r="408" ht="15.75" customHeight="1">
      <c r="A408" s="101" t="s">
        <v>61</v>
      </c>
      <c r="B408" s="101" t="s">
        <v>62</v>
      </c>
      <c r="C408" s="101" t="s">
        <v>251</v>
      </c>
      <c r="D408" s="101">
        <v>2.2004024E7</v>
      </c>
      <c r="E408" s="102" t="s">
        <v>773</v>
      </c>
      <c r="F408" s="45">
        <v>45715.0</v>
      </c>
      <c r="G408" s="45">
        <v>45698.0</v>
      </c>
      <c r="H408" s="101" t="s">
        <v>73</v>
      </c>
      <c r="I408" s="101" t="s">
        <v>76</v>
      </c>
      <c r="J408" s="101">
        <v>40.0</v>
      </c>
      <c r="K408" s="65">
        <v>106.67</v>
      </c>
      <c r="L408" s="65">
        <v>4266.8</v>
      </c>
      <c r="M408" s="103">
        <v>0.2</v>
      </c>
      <c r="N408" s="65">
        <v>853.36</v>
      </c>
      <c r="O408" s="65">
        <v>5120.16</v>
      </c>
      <c r="P408" s="101" t="s">
        <v>79</v>
      </c>
      <c r="Q408" s="65">
        <v>426.68</v>
      </c>
      <c r="R408" s="65">
        <v>5546.84</v>
      </c>
      <c r="S408" s="65">
        <v>2986.76</v>
      </c>
      <c r="T408" s="65">
        <v>5546.84</v>
      </c>
      <c r="U408" s="101" t="s">
        <v>80</v>
      </c>
      <c r="V408" s="45">
        <v>45705.0</v>
      </c>
      <c r="W408" s="65"/>
      <c r="X408" s="101"/>
      <c r="Y408" s="45"/>
      <c r="Z408" s="65"/>
      <c r="AA408" s="101"/>
      <c r="AB408" s="45"/>
      <c r="AC408" s="65">
        <v>210.68</v>
      </c>
      <c r="AD408" s="101" t="s">
        <v>80</v>
      </c>
      <c r="AE408" s="45"/>
      <c r="AF408" s="102" t="s">
        <v>775</v>
      </c>
      <c r="AG408" s="101"/>
      <c r="AH408" s="101"/>
      <c r="AI408" s="102"/>
    </row>
    <row r="409" ht="15.75" customHeight="1">
      <c r="A409" s="101" t="s">
        <v>61</v>
      </c>
      <c r="B409" s="101" t="s">
        <v>62</v>
      </c>
      <c r="C409" s="101" t="s">
        <v>63</v>
      </c>
      <c r="D409" s="101">
        <v>2.2004025E7</v>
      </c>
      <c r="E409" s="102" t="s">
        <v>776</v>
      </c>
      <c r="F409" s="45">
        <v>45736.0</v>
      </c>
      <c r="G409" s="45">
        <v>45698.0</v>
      </c>
      <c r="H409" s="101" t="s">
        <v>73</v>
      </c>
      <c r="I409" s="101" t="s">
        <v>76</v>
      </c>
      <c r="J409" s="101">
        <v>55.0</v>
      </c>
      <c r="K409" s="65">
        <v>37.54090909</v>
      </c>
      <c r="L409" s="65">
        <v>2064.75</v>
      </c>
      <c r="M409" s="103">
        <v>0.2</v>
      </c>
      <c r="N409" s="65">
        <v>412.95</v>
      </c>
      <c r="O409" s="65">
        <v>2477.7</v>
      </c>
      <c r="P409" s="101" t="s">
        <v>79</v>
      </c>
      <c r="Q409" s="65">
        <v>206.475</v>
      </c>
      <c r="R409" s="65">
        <v>2684.175</v>
      </c>
      <c r="S409" s="65">
        <v>1445.325</v>
      </c>
      <c r="T409" s="65">
        <v>2684.17</v>
      </c>
      <c r="U409" s="101" t="s">
        <v>85</v>
      </c>
      <c r="V409" s="45">
        <v>45728.0</v>
      </c>
      <c r="W409" s="65"/>
      <c r="X409" s="101"/>
      <c r="Y409" s="45"/>
      <c r="Z409" s="65"/>
      <c r="AA409" s="101"/>
      <c r="AB409" s="45"/>
      <c r="AC409" s="65">
        <v>280.27</v>
      </c>
      <c r="AD409" s="101" t="s">
        <v>85</v>
      </c>
      <c r="AE409" s="45">
        <v>45754.0</v>
      </c>
      <c r="AF409" s="102"/>
      <c r="AG409" s="101"/>
      <c r="AH409" s="101"/>
      <c r="AI409" s="102"/>
    </row>
    <row r="410" ht="15.75" customHeight="1">
      <c r="A410" s="101" t="s">
        <v>61</v>
      </c>
      <c r="B410" s="101" t="s">
        <v>62</v>
      </c>
      <c r="C410" s="101" t="s">
        <v>63</v>
      </c>
      <c r="D410" s="101">
        <v>2.2004026E7</v>
      </c>
      <c r="E410" s="102" t="s">
        <v>708</v>
      </c>
      <c r="F410" s="45">
        <v>45712.0</v>
      </c>
      <c r="G410" s="45">
        <v>45702.0</v>
      </c>
      <c r="H410" s="101" t="s">
        <v>83</v>
      </c>
      <c r="I410" s="101" t="s">
        <v>76</v>
      </c>
      <c r="J410" s="101">
        <v>200.0</v>
      </c>
      <c r="K410" s="65">
        <v>30.355</v>
      </c>
      <c r="L410" s="65">
        <v>6071.0</v>
      </c>
      <c r="M410" s="103">
        <v>0.2</v>
      </c>
      <c r="N410" s="65">
        <v>1214.2</v>
      </c>
      <c r="O410" s="65">
        <v>7285.2</v>
      </c>
      <c r="P410" s="101" t="s">
        <v>79</v>
      </c>
      <c r="Q410" s="65">
        <v>607.1</v>
      </c>
      <c r="R410" s="65">
        <v>7892.3</v>
      </c>
      <c r="S410" s="65">
        <v>4249.7</v>
      </c>
      <c r="T410" s="65">
        <v>7892.3</v>
      </c>
      <c r="U410" s="101" t="s">
        <v>80</v>
      </c>
      <c r="V410" s="45">
        <v>45702.0</v>
      </c>
      <c r="W410" s="65"/>
      <c r="X410" s="101"/>
      <c r="Y410" s="45"/>
      <c r="Z410" s="65"/>
      <c r="AA410" s="101"/>
      <c r="AB410" s="45"/>
      <c r="AC410" s="65"/>
      <c r="AD410" s="101"/>
      <c r="AE410" s="45"/>
      <c r="AF410" s="102"/>
      <c r="AG410" s="101"/>
      <c r="AH410" s="101"/>
      <c r="AI410" s="102"/>
    </row>
    <row r="411" ht="15.75" customHeight="1">
      <c r="A411" s="101" t="s">
        <v>219</v>
      </c>
      <c r="B411" s="101" t="s">
        <v>62</v>
      </c>
      <c r="C411" s="101" t="s">
        <v>63</v>
      </c>
      <c r="D411" s="101">
        <v>2.2004027E7</v>
      </c>
      <c r="E411" s="102" t="s">
        <v>762</v>
      </c>
      <c r="F411" s="45">
        <v>45714.0</v>
      </c>
      <c r="G411" s="45">
        <v>45712.0</v>
      </c>
      <c r="H411" s="101" t="s">
        <v>83</v>
      </c>
      <c r="I411" s="101" t="s">
        <v>76</v>
      </c>
      <c r="J411" s="101">
        <v>25.0</v>
      </c>
      <c r="K411" s="65">
        <v>72.68</v>
      </c>
      <c r="L411" s="65">
        <v>1817.0</v>
      </c>
      <c r="M411" s="103">
        <v>0.2</v>
      </c>
      <c r="N411" s="65">
        <v>363.4</v>
      </c>
      <c r="O411" s="65">
        <v>2180.4</v>
      </c>
      <c r="P411" s="101" t="s">
        <v>79</v>
      </c>
      <c r="Q411" s="65">
        <v>181.7</v>
      </c>
      <c r="R411" s="65">
        <v>2362.1</v>
      </c>
      <c r="S411" s="65">
        <v>1271.9</v>
      </c>
      <c r="T411" s="65">
        <v>2357.95</v>
      </c>
      <c r="U411" s="101" t="s">
        <v>85</v>
      </c>
      <c r="V411" s="45">
        <v>45722.0</v>
      </c>
      <c r="W411" s="65"/>
      <c r="X411" s="101"/>
      <c r="Y411" s="45"/>
      <c r="Z411" s="65"/>
      <c r="AA411" s="101"/>
      <c r="AB411" s="45"/>
      <c r="AC411" s="65">
        <v>177.45</v>
      </c>
      <c r="AD411" s="101" t="s">
        <v>85</v>
      </c>
      <c r="AE411" s="45">
        <v>45817.0</v>
      </c>
      <c r="AF411" s="102" t="s">
        <v>778</v>
      </c>
      <c r="AG411" s="101" t="s">
        <v>779</v>
      </c>
      <c r="AH411" s="101">
        <v>2.306999E7</v>
      </c>
      <c r="AI411" s="102"/>
    </row>
    <row r="412" ht="15.75" customHeight="1">
      <c r="A412" s="101" t="s">
        <v>219</v>
      </c>
      <c r="B412" s="101" t="s">
        <v>62</v>
      </c>
      <c r="C412" s="101" t="s">
        <v>63</v>
      </c>
      <c r="D412" s="101">
        <v>2.2004028E7</v>
      </c>
      <c r="E412" s="102" t="s">
        <v>362</v>
      </c>
      <c r="F412" s="45">
        <v>45742.0</v>
      </c>
      <c r="G412" s="45">
        <v>45715.0</v>
      </c>
      <c r="H412" s="101" t="s">
        <v>83</v>
      </c>
      <c r="I412" s="101" t="s">
        <v>76</v>
      </c>
      <c r="J412" s="101">
        <v>50.0</v>
      </c>
      <c r="K412" s="65">
        <v>32.546</v>
      </c>
      <c r="L412" s="65">
        <v>1627.3</v>
      </c>
      <c r="M412" s="103">
        <v>0.2</v>
      </c>
      <c r="N412" s="65">
        <v>325.46</v>
      </c>
      <c r="O412" s="65">
        <v>1952.76</v>
      </c>
      <c r="P412" s="101" t="s">
        <v>84</v>
      </c>
      <c r="Q412" s="65">
        <v>162.73</v>
      </c>
      <c r="R412" s="65">
        <v>1952.76</v>
      </c>
      <c r="S412" s="65">
        <v>1139.11</v>
      </c>
      <c r="T412" s="65">
        <v>1952.76</v>
      </c>
      <c r="U412" s="101" t="s">
        <v>80</v>
      </c>
      <c r="V412" s="45">
        <v>45726.0</v>
      </c>
      <c r="W412" s="65"/>
      <c r="X412" s="101"/>
      <c r="Y412" s="45"/>
      <c r="Z412" s="65"/>
      <c r="AA412" s="101"/>
      <c r="AB412" s="45"/>
      <c r="AC412" s="65">
        <v>165.0</v>
      </c>
      <c r="AD412" s="101" t="s">
        <v>80</v>
      </c>
      <c r="AE412" s="45">
        <v>45742.0</v>
      </c>
      <c r="AF412" s="102"/>
      <c r="AG412" s="101"/>
      <c r="AH412" s="101"/>
      <c r="AI412" s="102"/>
    </row>
    <row r="413" ht="15.75" customHeight="1">
      <c r="A413" s="101" t="s">
        <v>219</v>
      </c>
      <c r="B413" s="101" t="s">
        <v>62</v>
      </c>
      <c r="C413" s="101" t="s">
        <v>63</v>
      </c>
      <c r="D413" s="101">
        <v>2.2004029E7</v>
      </c>
      <c r="E413" s="102" t="s">
        <v>780</v>
      </c>
      <c r="F413" s="45">
        <v>45790.0</v>
      </c>
      <c r="G413" s="45">
        <v>45716.0</v>
      </c>
      <c r="H413" s="101" t="s">
        <v>83</v>
      </c>
      <c r="I413" s="101" t="s">
        <v>119</v>
      </c>
      <c r="J413" s="101">
        <v>25.0</v>
      </c>
      <c r="K413" s="65">
        <v>72.4</v>
      </c>
      <c r="L413" s="65">
        <v>1810.0</v>
      </c>
      <c r="M413" s="103">
        <v>0.2</v>
      </c>
      <c r="N413" s="65">
        <v>362.0</v>
      </c>
      <c r="O413" s="65">
        <v>2172.0</v>
      </c>
      <c r="P413" s="101" t="s">
        <v>79</v>
      </c>
      <c r="Q413" s="65">
        <v>181.0</v>
      </c>
      <c r="R413" s="65">
        <v>2353.0</v>
      </c>
      <c r="S413" s="65">
        <v>1267.0</v>
      </c>
      <c r="T413" s="65"/>
      <c r="U413" s="101"/>
      <c r="V413" s="45"/>
      <c r="W413" s="65"/>
      <c r="X413" s="101"/>
      <c r="Y413" s="45"/>
      <c r="Z413" s="65"/>
      <c r="AA413" s="101"/>
      <c r="AB413" s="45"/>
      <c r="AC413" s="65"/>
      <c r="AD413" s="101"/>
      <c r="AE413" s="45"/>
      <c r="AF413" s="102"/>
      <c r="AG413" s="101"/>
      <c r="AH413" s="101"/>
      <c r="AI413" s="102"/>
    </row>
    <row r="414" ht="15.75" customHeight="1">
      <c r="A414" s="101" t="s">
        <v>219</v>
      </c>
      <c r="B414" s="101" t="s">
        <v>62</v>
      </c>
      <c r="C414" s="101" t="s">
        <v>63</v>
      </c>
      <c r="D414" s="101">
        <v>2.200403E7</v>
      </c>
      <c r="E414" s="102" t="s">
        <v>781</v>
      </c>
      <c r="F414" s="45">
        <v>45724.0</v>
      </c>
      <c r="G414" s="45">
        <v>45719.0</v>
      </c>
      <c r="H414" s="101" t="s">
        <v>83</v>
      </c>
      <c r="I414" s="101" t="s">
        <v>76</v>
      </c>
      <c r="J414" s="101">
        <v>30.0</v>
      </c>
      <c r="K414" s="65">
        <v>35.85</v>
      </c>
      <c r="L414" s="65">
        <v>1075.5</v>
      </c>
      <c r="M414" s="103">
        <v>0.2</v>
      </c>
      <c r="N414" s="65">
        <v>215.1</v>
      </c>
      <c r="O414" s="65">
        <v>1290.6</v>
      </c>
      <c r="P414" s="101" t="s">
        <v>84</v>
      </c>
      <c r="Q414" s="65">
        <v>107.55</v>
      </c>
      <c r="R414" s="65">
        <v>1290.6</v>
      </c>
      <c r="S414" s="65">
        <v>752.85</v>
      </c>
      <c r="T414" s="65">
        <v>1290.6</v>
      </c>
      <c r="U414" s="101" t="s">
        <v>85</v>
      </c>
      <c r="V414" s="45">
        <v>45781.0</v>
      </c>
      <c r="W414" s="65"/>
      <c r="X414" s="101"/>
      <c r="Y414" s="45"/>
      <c r="Z414" s="65"/>
      <c r="AA414" s="101"/>
      <c r="AB414" s="45"/>
      <c r="AC414" s="65"/>
      <c r="AD414" s="101"/>
      <c r="AE414" s="45"/>
      <c r="AF414" s="102"/>
      <c r="AG414" s="101"/>
      <c r="AH414" s="101"/>
      <c r="AI414" s="102"/>
    </row>
    <row r="415" ht="15.75" customHeight="1">
      <c r="A415" s="101" t="s">
        <v>61</v>
      </c>
      <c r="B415" s="101" t="s">
        <v>62</v>
      </c>
      <c r="C415" s="101" t="s">
        <v>63</v>
      </c>
      <c r="D415" s="101">
        <v>2.2004031E7</v>
      </c>
      <c r="E415" s="102" t="s">
        <v>782</v>
      </c>
      <c r="F415" s="45">
        <v>45742.0</v>
      </c>
      <c r="G415" s="45">
        <v>45720.0</v>
      </c>
      <c r="H415" s="101" t="s">
        <v>83</v>
      </c>
      <c r="I415" s="101" t="s">
        <v>76</v>
      </c>
      <c r="J415" s="101">
        <v>100.0</v>
      </c>
      <c r="K415" s="65">
        <v>73.663</v>
      </c>
      <c r="L415" s="65">
        <v>7366.3</v>
      </c>
      <c r="M415" s="103">
        <v>0.2</v>
      </c>
      <c r="N415" s="65">
        <v>1473.26</v>
      </c>
      <c r="O415" s="65">
        <v>8839.56</v>
      </c>
      <c r="P415" s="101" t="s">
        <v>79</v>
      </c>
      <c r="Q415" s="65">
        <v>736.63</v>
      </c>
      <c r="R415" s="65">
        <v>9576.19</v>
      </c>
      <c r="S415" s="65">
        <v>5156.41</v>
      </c>
      <c r="T415" s="65">
        <v>2376.19</v>
      </c>
      <c r="U415" s="101" t="s">
        <v>80</v>
      </c>
      <c r="V415" s="45">
        <v>45726.0</v>
      </c>
      <c r="W415" s="65">
        <v>7200.0</v>
      </c>
      <c r="X415" s="101" t="s">
        <v>80</v>
      </c>
      <c r="Y415" s="45">
        <v>45726.0</v>
      </c>
      <c r="Z415" s="65"/>
      <c r="AA415" s="101"/>
      <c r="AB415" s="45"/>
      <c r="AC415" s="65"/>
      <c r="AD415" s="101" t="s">
        <v>80</v>
      </c>
      <c r="AE415" s="45">
        <v>45744.0</v>
      </c>
      <c r="AF415" s="102"/>
      <c r="AG415" s="101"/>
      <c r="AH415" s="101"/>
      <c r="AI415" s="102"/>
    </row>
    <row r="416" ht="15.75" customHeight="1">
      <c r="A416" s="101" t="s">
        <v>61</v>
      </c>
      <c r="B416" s="101" t="s">
        <v>62</v>
      </c>
      <c r="C416" s="101" t="s">
        <v>63</v>
      </c>
      <c r="D416" s="101">
        <v>2.2004032E7</v>
      </c>
      <c r="E416" s="102" t="s">
        <v>397</v>
      </c>
      <c r="F416" s="45">
        <v>45722.0</v>
      </c>
      <c r="G416" s="45">
        <v>45720.0</v>
      </c>
      <c r="H416" s="101" t="s">
        <v>83</v>
      </c>
      <c r="I416" s="101" t="s">
        <v>76</v>
      </c>
      <c r="J416" s="101">
        <v>60.0</v>
      </c>
      <c r="K416" s="65">
        <v>5.133333333</v>
      </c>
      <c r="L416" s="65">
        <v>308.0</v>
      </c>
      <c r="M416" s="103">
        <v>0.2</v>
      </c>
      <c r="N416" s="65">
        <v>61.6</v>
      </c>
      <c r="O416" s="65">
        <v>369.6</v>
      </c>
      <c r="P416" s="101" t="s">
        <v>84</v>
      </c>
      <c r="Q416" s="65">
        <v>30.8</v>
      </c>
      <c r="R416" s="65">
        <v>369.6</v>
      </c>
      <c r="S416" s="65">
        <v>215.6</v>
      </c>
      <c r="T416" s="65">
        <v>939.6</v>
      </c>
      <c r="U416" s="101" t="s">
        <v>80</v>
      </c>
      <c r="V416" s="45">
        <v>45721.0</v>
      </c>
      <c r="W416" s="65"/>
      <c r="X416" s="101"/>
      <c r="Y416" s="45"/>
      <c r="Z416" s="65"/>
      <c r="AA416" s="101"/>
      <c r="AB416" s="45"/>
      <c r="AC416" s="65"/>
      <c r="AD416" s="101"/>
      <c r="AE416" s="45"/>
      <c r="AF416" s="102"/>
      <c r="AG416" s="101"/>
      <c r="AH416" s="101"/>
      <c r="AI416" s="102"/>
    </row>
    <row r="417" ht="15.75" customHeight="1">
      <c r="A417" s="101" t="s">
        <v>61</v>
      </c>
      <c r="B417" s="101" t="s">
        <v>62</v>
      </c>
      <c r="C417" s="101" t="s">
        <v>63</v>
      </c>
      <c r="D417" s="101">
        <v>2.2004033E7</v>
      </c>
      <c r="E417" s="102" t="s">
        <v>783</v>
      </c>
      <c r="F417" s="45">
        <v>45748.0</v>
      </c>
      <c r="G417" s="45">
        <v>45721.0</v>
      </c>
      <c r="H417" s="101" t="s">
        <v>83</v>
      </c>
      <c r="I417" s="101" t="s">
        <v>76</v>
      </c>
      <c r="J417" s="101">
        <v>70.0</v>
      </c>
      <c r="K417" s="65">
        <v>59.03785714</v>
      </c>
      <c r="L417" s="65">
        <v>4132.65</v>
      </c>
      <c r="M417" s="103">
        <v>0.2</v>
      </c>
      <c r="N417" s="65">
        <v>826.53</v>
      </c>
      <c r="O417" s="65">
        <v>4959.18</v>
      </c>
      <c r="P417" s="101" t="s">
        <v>79</v>
      </c>
      <c r="Q417" s="65">
        <v>413.265</v>
      </c>
      <c r="R417" s="65">
        <v>5372.445</v>
      </c>
      <c r="S417" s="65">
        <v>2892.855</v>
      </c>
      <c r="T417" s="65">
        <v>4844.06</v>
      </c>
      <c r="U417" s="101" t="s">
        <v>85</v>
      </c>
      <c r="V417" s="45">
        <v>45740.0</v>
      </c>
      <c r="W417" s="65">
        <v>528.38</v>
      </c>
      <c r="X417" s="101" t="s">
        <v>85</v>
      </c>
      <c r="Y417" s="45">
        <v>45742.0</v>
      </c>
      <c r="Z417" s="65"/>
      <c r="AA417" s="101"/>
      <c r="AB417" s="45"/>
      <c r="AC417" s="65">
        <v>693.34</v>
      </c>
      <c r="AD417" s="101" t="s">
        <v>85</v>
      </c>
      <c r="AE417" s="45">
        <v>45748.0</v>
      </c>
      <c r="AF417" s="102"/>
      <c r="AG417" s="101"/>
      <c r="AH417" s="101"/>
      <c r="AI417" s="102"/>
    </row>
    <row r="418" ht="15.75" customHeight="1">
      <c r="A418" s="101" t="s">
        <v>61</v>
      </c>
      <c r="B418" s="101" t="s">
        <v>62</v>
      </c>
      <c r="C418" s="101" t="s">
        <v>63</v>
      </c>
      <c r="D418" s="101">
        <v>2.2004034E7</v>
      </c>
      <c r="E418" s="102" t="s">
        <v>784</v>
      </c>
      <c r="F418" s="45">
        <v>45742.0</v>
      </c>
      <c r="G418" s="45">
        <v>45726.0</v>
      </c>
      <c r="H418" s="101" t="s">
        <v>83</v>
      </c>
      <c r="I418" s="101" t="s">
        <v>76</v>
      </c>
      <c r="J418" s="101">
        <v>40.0</v>
      </c>
      <c r="K418" s="65">
        <v>58.6</v>
      </c>
      <c r="L418" s="65">
        <v>2344.0</v>
      </c>
      <c r="M418" s="103">
        <v>0.2</v>
      </c>
      <c r="N418" s="65">
        <v>468.8</v>
      </c>
      <c r="O418" s="65">
        <v>2812.8</v>
      </c>
      <c r="P418" s="101" t="s">
        <v>79</v>
      </c>
      <c r="Q418" s="65">
        <v>234.4</v>
      </c>
      <c r="R418" s="65">
        <v>3047.2</v>
      </c>
      <c r="S418" s="65">
        <v>1640.8</v>
      </c>
      <c r="T418" s="65">
        <v>3047.2</v>
      </c>
      <c r="U418" s="101" t="s">
        <v>85</v>
      </c>
      <c r="V418" s="45">
        <v>45733.0</v>
      </c>
      <c r="W418" s="65"/>
      <c r="X418" s="101"/>
      <c r="Y418" s="45"/>
      <c r="Z418" s="65"/>
      <c r="AA418" s="101"/>
      <c r="AB418" s="45"/>
      <c r="AC418" s="65"/>
      <c r="AD418" s="101"/>
      <c r="AE418" s="45"/>
      <c r="AF418" s="102"/>
      <c r="AG418" s="101"/>
      <c r="AH418" s="101"/>
      <c r="AI418" s="102"/>
    </row>
    <row r="419" ht="15.75" customHeight="1">
      <c r="A419" s="101" t="s">
        <v>61</v>
      </c>
      <c r="B419" s="101" t="s">
        <v>62</v>
      </c>
      <c r="C419" s="101" t="s">
        <v>63</v>
      </c>
      <c r="D419" s="101">
        <v>2.2004035E7</v>
      </c>
      <c r="E419" s="102" t="s">
        <v>785</v>
      </c>
      <c r="F419" s="45"/>
      <c r="G419" s="45">
        <v>45726.0</v>
      </c>
      <c r="H419" s="101" t="s">
        <v>73</v>
      </c>
      <c r="I419" s="101" t="s">
        <v>76</v>
      </c>
      <c r="J419" s="101">
        <v>25.0</v>
      </c>
      <c r="K419" s="65">
        <v>136.678</v>
      </c>
      <c r="L419" s="65">
        <v>3416.95</v>
      </c>
      <c r="M419" s="103">
        <v>0.2</v>
      </c>
      <c r="N419" s="65">
        <v>683.39</v>
      </c>
      <c r="O419" s="65">
        <v>4100.34</v>
      </c>
      <c r="P419" s="101" t="s">
        <v>84</v>
      </c>
      <c r="Q419" s="65">
        <v>341.695</v>
      </c>
      <c r="R419" s="65">
        <v>4100.34</v>
      </c>
      <c r="S419" s="65">
        <v>2391.865</v>
      </c>
      <c r="T419" s="65">
        <v>4100.34</v>
      </c>
      <c r="U419" s="101" t="s">
        <v>80</v>
      </c>
      <c r="V419" s="45">
        <v>45734.0</v>
      </c>
      <c r="W419" s="65"/>
      <c r="X419" s="101"/>
      <c r="Y419" s="45"/>
      <c r="Z419" s="65"/>
      <c r="AA419" s="101"/>
      <c r="AB419" s="45"/>
      <c r="AC419" s="65"/>
      <c r="AD419" s="101"/>
      <c r="AE419" s="45"/>
      <c r="AF419" s="102"/>
      <c r="AG419" s="101"/>
      <c r="AH419" s="101"/>
      <c r="AI419" s="102" t="s">
        <v>786</v>
      </c>
    </row>
    <row r="420" ht="15.75" customHeight="1">
      <c r="A420" s="101" t="s">
        <v>61</v>
      </c>
      <c r="B420" s="101" t="s">
        <v>62</v>
      </c>
      <c r="C420" s="101" t="s">
        <v>63</v>
      </c>
      <c r="D420" s="101">
        <v>2.2004036E7</v>
      </c>
      <c r="E420" s="102" t="s">
        <v>787</v>
      </c>
      <c r="F420" s="45">
        <v>45743.0</v>
      </c>
      <c r="G420" s="45">
        <v>45729.0</v>
      </c>
      <c r="H420" s="101" t="s">
        <v>73</v>
      </c>
      <c r="I420" s="101" t="s">
        <v>76</v>
      </c>
      <c r="J420" s="101">
        <v>100.0</v>
      </c>
      <c r="K420" s="65">
        <v>72.762</v>
      </c>
      <c r="L420" s="65">
        <v>7276.2</v>
      </c>
      <c r="M420" s="103">
        <v>0.2</v>
      </c>
      <c r="N420" s="65">
        <v>1455.24</v>
      </c>
      <c r="O420" s="65">
        <v>8731.44</v>
      </c>
      <c r="P420" s="101" t="s">
        <v>79</v>
      </c>
      <c r="Q420" s="65">
        <v>727.62</v>
      </c>
      <c r="R420" s="65">
        <v>9459.06</v>
      </c>
      <c r="S420" s="65">
        <v>5093.34</v>
      </c>
      <c r="T420" s="65">
        <v>4365.72</v>
      </c>
      <c r="U420" s="101" t="s">
        <v>85</v>
      </c>
      <c r="V420" s="45">
        <v>45733.0</v>
      </c>
      <c r="W420" s="65">
        <v>5566.44</v>
      </c>
      <c r="X420" s="101" t="s">
        <v>85</v>
      </c>
      <c r="Y420" s="45">
        <v>45740.0</v>
      </c>
      <c r="Z420" s="65">
        <v>827.68</v>
      </c>
      <c r="AA420" s="101" t="s">
        <v>85</v>
      </c>
      <c r="AB420" s="45">
        <v>45740.0</v>
      </c>
      <c r="AC420" s="65">
        <v>948.88</v>
      </c>
      <c r="AD420" s="101" t="s">
        <v>85</v>
      </c>
      <c r="AE420" s="45">
        <v>45744.0</v>
      </c>
      <c r="AF420" s="102" t="s">
        <v>787</v>
      </c>
      <c r="AG420" s="101" t="s">
        <v>788</v>
      </c>
      <c r="AH420" s="101" t="s">
        <v>789</v>
      </c>
      <c r="AI420" s="102"/>
    </row>
    <row r="421" ht="15.75" customHeight="1">
      <c r="A421" s="101" t="s">
        <v>61</v>
      </c>
      <c r="B421" s="101" t="s">
        <v>62</v>
      </c>
      <c r="C421" s="101" t="s">
        <v>63</v>
      </c>
      <c r="D421" s="101">
        <v>2.2004037E7</v>
      </c>
      <c r="E421" s="102" t="s">
        <v>790</v>
      </c>
      <c r="F421" s="45">
        <v>45735.0</v>
      </c>
      <c r="G421" s="45">
        <v>45730.0</v>
      </c>
      <c r="H421" s="101" t="s">
        <v>73</v>
      </c>
      <c r="I421" s="101" t="s">
        <v>76</v>
      </c>
      <c r="J421" s="101">
        <v>8.0</v>
      </c>
      <c r="K421" s="65">
        <v>142.2125</v>
      </c>
      <c r="L421" s="65">
        <v>1137.7</v>
      </c>
      <c r="M421" s="103">
        <v>0.2</v>
      </c>
      <c r="N421" s="65">
        <v>227.54</v>
      </c>
      <c r="O421" s="65">
        <v>1365.24</v>
      </c>
      <c r="P421" s="101" t="s">
        <v>79</v>
      </c>
      <c r="Q421" s="65">
        <v>113.77</v>
      </c>
      <c r="R421" s="65">
        <v>1479.01</v>
      </c>
      <c r="S421" s="65">
        <v>796.39</v>
      </c>
      <c r="T421" s="65">
        <v>1479.01</v>
      </c>
      <c r="U421" s="101" t="s">
        <v>85</v>
      </c>
      <c r="V421" s="45">
        <v>45734.0</v>
      </c>
      <c r="W421" s="65"/>
      <c r="X421" s="101"/>
      <c r="Y421" s="45"/>
      <c r="Z421" s="65"/>
      <c r="AA421" s="101"/>
      <c r="AB421" s="45"/>
      <c r="AC421" s="65">
        <v>8.77</v>
      </c>
      <c r="AD421" s="101" t="s">
        <v>85</v>
      </c>
      <c r="AE421" s="45">
        <v>45744.0</v>
      </c>
      <c r="AF421" s="102" t="s">
        <v>572</v>
      </c>
      <c r="AG421" s="128">
        <v>29364.0</v>
      </c>
      <c r="AH421" s="101">
        <v>1.8260492E7</v>
      </c>
      <c r="AI421" s="102"/>
    </row>
    <row r="422" ht="15.75" customHeight="1">
      <c r="A422" s="101" t="s">
        <v>61</v>
      </c>
      <c r="B422" s="101" t="s">
        <v>62</v>
      </c>
      <c r="C422" s="101" t="s">
        <v>63</v>
      </c>
      <c r="D422" s="101">
        <v>2.2004038E7</v>
      </c>
      <c r="E422" s="102" t="s">
        <v>342</v>
      </c>
      <c r="F422" s="45">
        <v>45740.0</v>
      </c>
      <c r="G422" s="45">
        <v>45730.0</v>
      </c>
      <c r="H422" s="101" t="s">
        <v>83</v>
      </c>
      <c r="I422" s="101" t="s">
        <v>76</v>
      </c>
      <c r="J422" s="101">
        <v>29.0</v>
      </c>
      <c r="K422" s="65">
        <v>87.00724138</v>
      </c>
      <c r="L422" s="65">
        <v>2523.21</v>
      </c>
      <c r="M422" s="103">
        <v>0.2</v>
      </c>
      <c r="N422" s="65">
        <v>504.642</v>
      </c>
      <c r="O422" s="65">
        <v>3027.852</v>
      </c>
      <c r="P422" s="101" t="s">
        <v>79</v>
      </c>
      <c r="Q422" s="65">
        <v>252.321</v>
      </c>
      <c r="R422" s="65">
        <v>3280.173</v>
      </c>
      <c r="S422" s="65">
        <v>1766.247</v>
      </c>
      <c r="T422" s="65">
        <v>3280.17</v>
      </c>
      <c r="U422" s="101" t="s">
        <v>80</v>
      </c>
      <c r="V422" s="45">
        <v>45734.0</v>
      </c>
      <c r="W422" s="65"/>
      <c r="X422" s="101"/>
      <c r="Y422" s="45"/>
      <c r="Z422" s="65"/>
      <c r="AA422" s="101"/>
      <c r="AB422" s="45"/>
      <c r="AC422" s="65">
        <v>1171.35</v>
      </c>
      <c r="AD422" s="101" t="s">
        <v>80</v>
      </c>
      <c r="AE422" s="45">
        <v>45741.0</v>
      </c>
      <c r="AF422" s="102"/>
      <c r="AG422" s="101"/>
      <c r="AH422" s="101"/>
      <c r="AI422" s="102"/>
    </row>
    <row r="423" ht="15.75" customHeight="1">
      <c r="A423" s="101" t="s">
        <v>61</v>
      </c>
      <c r="B423" s="101" t="s">
        <v>62</v>
      </c>
      <c r="C423" s="101" t="s">
        <v>63</v>
      </c>
      <c r="D423" s="101">
        <v>2.2004039E7</v>
      </c>
      <c r="E423" s="102" t="s">
        <v>791</v>
      </c>
      <c r="F423" s="45">
        <v>45741.0</v>
      </c>
      <c r="G423" s="45">
        <v>45735.0</v>
      </c>
      <c r="H423" s="101" t="s">
        <v>73</v>
      </c>
      <c r="I423" s="101" t="s">
        <v>76</v>
      </c>
      <c r="J423" s="101">
        <v>65.0</v>
      </c>
      <c r="K423" s="65">
        <v>83.98076923</v>
      </c>
      <c r="L423" s="65">
        <v>5458.75</v>
      </c>
      <c r="M423" s="103">
        <v>0.2</v>
      </c>
      <c r="N423" s="65">
        <v>1091.75</v>
      </c>
      <c r="O423" s="65">
        <v>6550.5</v>
      </c>
      <c r="P423" s="101" t="s">
        <v>79</v>
      </c>
      <c r="Q423" s="65">
        <v>545.875</v>
      </c>
      <c r="R423" s="65">
        <v>7096.375</v>
      </c>
      <c r="S423" s="65">
        <v>3821.125</v>
      </c>
      <c r="T423" s="65">
        <v>7096.38</v>
      </c>
      <c r="U423" s="101" t="s">
        <v>80</v>
      </c>
      <c r="V423" s="45">
        <v>45735.0</v>
      </c>
      <c r="W423" s="65"/>
      <c r="X423" s="101"/>
      <c r="Y423" s="45"/>
      <c r="Z423" s="65"/>
      <c r="AA423" s="101"/>
      <c r="AB423" s="45"/>
      <c r="AC423" s="65">
        <v>209.51</v>
      </c>
      <c r="AD423" s="101" t="s">
        <v>80</v>
      </c>
      <c r="AE423" s="45">
        <v>45742.0</v>
      </c>
      <c r="AF423" s="102"/>
      <c r="AG423" s="101"/>
      <c r="AH423" s="101"/>
      <c r="AI423" s="102"/>
    </row>
    <row r="424" ht="15.75" customHeight="1">
      <c r="A424" s="101" t="s">
        <v>61</v>
      </c>
      <c r="B424" s="101" t="s">
        <v>62</v>
      </c>
      <c r="C424" s="101" t="s">
        <v>63</v>
      </c>
      <c r="D424" s="101">
        <v>2.200404E7</v>
      </c>
      <c r="E424" s="102" t="s">
        <v>161</v>
      </c>
      <c r="F424" s="45">
        <v>45727.0</v>
      </c>
      <c r="G424" s="45">
        <v>45721.0</v>
      </c>
      <c r="H424" s="101" t="s">
        <v>83</v>
      </c>
      <c r="I424" s="101" t="s">
        <v>76</v>
      </c>
      <c r="J424" s="101">
        <v>15.0</v>
      </c>
      <c r="K424" s="65">
        <v>136.5333333</v>
      </c>
      <c r="L424" s="65">
        <v>2048.0</v>
      </c>
      <c r="M424" s="103">
        <v>0.2</v>
      </c>
      <c r="N424" s="65">
        <v>409.6</v>
      </c>
      <c r="O424" s="65">
        <v>2457.6</v>
      </c>
      <c r="P424" s="101" t="s">
        <v>79</v>
      </c>
      <c r="Q424" s="65">
        <v>204.8</v>
      </c>
      <c r="R424" s="65">
        <v>2662.4</v>
      </c>
      <c r="S424" s="65">
        <v>1433.6</v>
      </c>
      <c r="T424" s="65">
        <v>2662.4</v>
      </c>
      <c r="U424" s="101" t="s">
        <v>80</v>
      </c>
      <c r="V424" s="45">
        <v>45721.0</v>
      </c>
      <c r="W424" s="65"/>
      <c r="X424" s="101"/>
      <c r="Y424" s="45"/>
      <c r="Z424" s="65"/>
      <c r="AA424" s="101"/>
      <c r="AB424" s="45"/>
      <c r="AC424" s="65">
        <v>204.8</v>
      </c>
      <c r="AD424" s="101" t="s">
        <v>80</v>
      </c>
      <c r="AE424" s="45">
        <v>45736.0</v>
      </c>
      <c r="AF424" s="102"/>
      <c r="AG424" s="101"/>
      <c r="AH424" s="101"/>
      <c r="AI424" s="102"/>
    </row>
    <row r="425" ht="15.75" customHeight="1">
      <c r="A425" s="101" t="s">
        <v>219</v>
      </c>
      <c r="B425" s="101" t="s">
        <v>62</v>
      </c>
      <c r="C425" s="101" t="s">
        <v>278</v>
      </c>
      <c r="D425" s="101">
        <v>2.2004041E7</v>
      </c>
      <c r="E425" s="102" t="s">
        <v>792</v>
      </c>
      <c r="F425" s="45">
        <v>45857.0</v>
      </c>
      <c r="G425" s="45">
        <v>45737.0</v>
      </c>
      <c r="H425" s="101" t="s">
        <v>73</v>
      </c>
      <c r="I425" s="101" t="s">
        <v>119</v>
      </c>
      <c r="J425" s="101">
        <v>110.0</v>
      </c>
      <c r="K425" s="65">
        <v>131.6818182</v>
      </c>
      <c r="L425" s="65">
        <v>14485.0</v>
      </c>
      <c r="M425" s="103">
        <v>0.2</v>
      </c>
      <c r="N425" s="65">
        <v>2897.0</v>
      </c>
      <c r="O425" s="65">
        <v>17382.0</v>
      </c>
      <c r="P425" s="101" t="s">
        <v>79</v>
      </c>
      <c r="Q425" s="65">
        <v>1448.5</v>
      </c>
      <c r="R425" s="65">
        <v>18830.5</v>
      </c>
      <c r="S425" s="65">
        <v>10139.5</v>
      </c>
      <c r="T425" s="65"/>
      <c r="U425" s="101"/>
      <c r="V425" s="45"/>
      <c r="W425" s="65"/>
      <c r="X425" s="101"/>
      <c r="Y425" s="45"/>
      <c r="Z425" s="65"/>
      <c r="AA425" s="101"/>
      <c r="AB425" s="45"/>
      <c r="AC425" s="65"/>
      <c r="AD425" s="101"/>
      <c r="AE425" s="45"/>
      <c r="AF425" s="102"/>
      <c r="AG425" s="101"/>
      <c r="AH425" s="101"/>
      <c r="AI425" s="102"/>
    </row>
    <row r="426" ht="15.75" customHeight="1">
      <c r="A426" s="101" t="s">
        <v>219</v>
      </c>
      <c r="B426" s="101" t="s">
        <v>62</v>
      </c>
      <c r="C426" s="101" t="s">
        <v>63</v>
      </c>
      <c r="D426" s="101">
        <v>2.2004042E7</v>
      </c>
      <c r="E426" s="102" t="s">
        <v>387</v>
      </c>
      <c r="F426" s="45">
        <v>45755.0</v>
      </c>
      <c r="G426" s="45">
        <v>45742.0</v>
      </c>
      <c r="H426" s="101" t="s">
        <v>83</v>
      </c>
      <c r="I426" s="101" t="s">
        <v>76</v>
      </c>
      <c r="J426" s="101">
        <v>40.0</v>
      </c>
      <c r="K426" s="65">
        <v>79.365</v>
      </c>
      <c r="L426" s="65">
        <v>3174.6</v>
      </c>
      <c r="M426" s="103">
        <v>0.2</v>
      </c>
      <c r="N426" s="65">
        <v>634.92</v>
      </c>
      <c r="O426" s="65">
        <v>3809.52</v>
      </c>
      <c r="P426" s="101" t="s">
        <v>79</v>
      </c>
      <c r="Q426" s="65">
        <v>317.46</v>
      </c>
      <c r="R426" s="65">
        <v>4126.98</v>
      </c>
      <c r="S426" s="65">
        <v>2222.22</v>
      </c>
      <c r="T426" s="65">
        <v>3809.52</v>
      </c>
      <c r="U426" s="101" t="s">
        <v>85</v>
      </c>
      <c r="V426" s="45">
        <v>45756.0</v>
      </c>
      <c r="W426" s="65"/>
      <c r="X426" s="101"/>
      <c r="Y426" s="45"/>
      <c r="Z426" s="65"/>
      <c r="AA426" s="101"/>
      <c r="AB426" s="45"/>
      <c r="AC426" s="65"/>
      <c r="AD426" s="101"/>
      <c r="AE426" s="45"/>
      <c r="AF426" s="102"/>
      <c r="AG426" s="101"/>
      <c r="AH426" s="101"/>
      <c r="AI426" s="102"/>
    </row>
    <row r="427" ht="15.75" customHeight="1">
      <c r="A427" s="101" t="s">
        <v>219</v>
      </c>
      <c r="B427" s="101" t="s">
        <v>62</v>
      </c>
      <c r="C427" s="101" t="s">
        <v>278</v>
      </c>
      <c r="D427" s="101">
        <v>2.2004043E7</v>
      </c>
      <c r="E427" s="102" t="s">
        <v>793</v>
      </c>
      <c r="F427" s="45">
        <v>45899.0</v>
      </c>
      <c r="G427" s="45">
        <v>45739.0</v>
      </c>
      <c r="H427" s="101" t="s">
        <v>73</v>
      </c>
      <c r="I427" s="101" t="s">
        <v>119</v>
      </c>
      <c r="J427" s="101">
        <v>120.0</v>
      </c>
      <c r="K427" s="65">
        <v>102.3708333</v>
      </c>
      <c r="L427" s="65">
        <v>12284.5</v>
      </c>
      <c r="M427" s="103">
        <v>0.2</v>
      </c>
      <c r="N427" s="65">
        <v>2456.9</v>
      </c>
      <c r="O427" s="65">
        <v>14741.4</v>
      </c>
      <c r="P427" s="101" t="s">
        <v>79</v>
      </c>
      <c r="Q427" s="65">
        <v>1228.45</v>
      </c>
      <c r="R427" s="65">
        <v>15969.85</v>
      </c>
      <c r="S427" s="65">
        <v>8599.15</v>
      </c>
      <c r="T427" s="65"/>
      <c r="U427" s="101"/>
      <c r="V427" s="45"/>
      <c r="W427" s="65"/>
      <c r="X427" s="101"/>
      <c r="Y427" s="45"/>
      <c r="Z427" s="65"/>
      <c r="AA427" s="101"/>
      <c r="AB427" s="45"/>
      <c r="AC427" s="65"/>
      <c r="AD427" s="101"/>
      <c r="AE427" s="45"/>
      <c r="AF427" s="102"/>
      <c r="AG427" s="101"/>
      <c r="AH427" s="101"/>
      <c r="AI427" s="102"/>
    </row>
    <row r="428" ht="15.75" customHeight="1">
      <c r="A428" s="101" t="s">
        <v>61</v>
      </c>
      <c r="B428" s="101" t="s">
        <v>62</v>
      </c>
      <c r="C428" s="101" t="s">
        <v>63</v>
      </c>
      <c r="D428" s="101">
        <v>2.2004044E7</v>
      </c>
      <c r="E428" s="102" t="s">
        <v>794</v>
      </c>
      <c r="F428" s="45">
        <v>45762.0</v>
      </c>
      <c r="G428" s="45">
        <v>45742.0</v>
      </c>
      <c r="H428" s="101" t="s">
        <v>73</v>
      </c>
      <c r="I428" s="101" t="s">
        <v>76</v>
      </c>
      <c r="J428" s="101">
        <v>1.0</v>
      </c>
      <c r="K428" s="65">
        <v>165.0</v>
      </c>
      <c r="L428" s="65">
        <v>185.0</v>
      </c>
      <c r="M428" s="103">
        <v>0.2</v>
      </c>
      <c r="N428" s="65">
        <v>37.0</v>
      </c>
      <c r="O428" s="65">
        <v>222.0</v>
      </c>
      <c r="P428" s="101" t="s">
        <v>84</v>
      </c>
      <c r="Q428" s="65">
        <v>18.5</v>
      </c>
      <c r="R428" s="65">
        <v>222.0</v>
      </c>
      <c r="S428" s="65">
        <v>129.5</v>
      </c>
      <c r="T428" s="65">
        <v>198.0</v>
      </c>
      <c r="U428" s="101" t="s">
        <v>80</v>
      </c>
      <c r="V428" s="45">
        <v>45762.0</v>
      </c>
      <c r="W428" s="65"/>
      <c r="X428" s="101"/>
      <c r="Y428" s="45"/>
      <c r="Z428" s="65"/>
      <c r="AA428" s="101"/>
      <c r="AB428" s="45"/>
      <c r="AC428" s="65"/>
      <c r="AD428" s="101"/>
      <c r="AE428" s="45"/>
      <c r="AF428" s="102"/>
      <c r="AG428" s="101"/>
      <c r="AH428" s="101"/>
      <c r="AI428" s="102"/>
    </row>
    <row r="429" ht="15.75" customHeight="1">
      <c r="A429" s="101" t="s">
        <v>61</v>
      </c>
      <c r="B429" s="101" t="s">
        <v>62</v>
      </c>
      <c r="C429" s="101" t="s">
        <v>63</v>
      </c>
      <c r="D429" s="101">
        <v>2.2004045E7</v>
      </c>
      <c r="E429" s="102" t="s">
        <v>795</v>
      </c>
      <c r="F429" s="45">
        <v>45750.0</v>
      </c>
      <c r="G429" s="45">
        <v>45742.0</v>
      </c>
      <c r="H429" s="101" t="s">
        <v>83</v>
      </c>
      <c r="I429" s="101" t="s">
        <v>76</v>
      </c>
      <c r="J429" s="101">
        <v>25.0</v>
      </c>
      <c r="K429" s="65">
        <v>58.23</v>
      </c>
      <c r="L429" s="65">
        <v>1455.75</v>
      </c>
      <c r="M429" s="103">
        <v>0.2</v>
      </c>
      <c r="N429" s="65">
        <v>291.15</v>
      </c>
      <c r="O429" s="65">
        <v>1746.9</v>
      </c>
      <c r="P429" s="101" t="s">
        <v>79</v>
      </c>
      <c r="Q429" s="65">
        <v>145.575</v>
      </c>
      <c r="R429" s="65">
        <v>1892.475</v>
      </c>
      <c r="S429" s="65">
        <v>1019.025</v>
      </c>
      <c r="T429" s="65">
        <v>1892.48</v>
      </c>
      <c r="U429" s="101" t="s">
        <v>80</v>
      </c>
      <c r="V429" s="45">
        <v>45744.0</v>
      </c>
      <c r="W429" s="65"/>
      <c r="X429" s="101"/>
      <c r="Y429" s="45"/>
      <c r="Z429" s="65"/>
      <c r="AA429" s="101"/>
      <c r="AB429" s="45"/>
      <c r="AC429" s="65">
        <v>145.57</v>
      </c>
      <c r="AD429" s="101" t="s">
        <v>80</v>
      </c>
      <c r="AE429" s="45">
        <v>45761.0</v>
      </c>
      <c r="AF429" s="102"/>
      <c r="AG429" s="101"/>
      <c r="AH429" s="101"/>
      <c r="AI429" s="102"/>
    </row>
    <row r="430" ht="15.75" customHeight="1">
      <c r="A430" s="101" t="s">
        <v>61</v>
      </c>
      <c r="B430" s="101" t="s">
        <v>62</v>
      </c>
      <c r="C430" s="101" t="s">
        <v>63</v>
      </c>
      <c r="D430" s="101">
        <v>2.2004046E7</v>
      </c>
      <c r="E430" s="102" t="s">
        <v>176</v>
      </c>
      <c r="F430" s="45">
        <v>45756.0</v>
      </c>
      <c r="G430" s="45">
        <v>45742.0</v>
      </c>
      <c r="H430" s="101" t="s">
        <v>83</v>
      </c>
      <c r="I430" s="101" t="s">
        <v>119</v>
      </c>
      <c r="J430" s="101">
        <v>60.0</v>
      </c>
      <c r="K430" s="65">
        <v>0.0</v>
      </c>
      <c r="L430" s="65">
        <v>0.0</v>
      </c>
      <c r="M430" s="103">
        <v>0.2</v>
      </c>
      <c r="N430" s="65">
        <v>0.0</v>
      </c>
      <c r="O430" s="65">
        <v>0.0</v>
      </c>
      <c r="P430" s="101" t="s">
        <v>79</v>
      </c>
      <c r="Q430" s="65">
        <v>0.0</v>
      </c>
      <c r="R430" s="65">
        <v>0.0</v>
      </c>
      <c r="S430" s="65">
        <v>0.0</v>
      </c>
      <c r="T430" s="65"/>
      <c r="U430" s="101"/>
      <c r="V430" s="45"/>
      <c r="W430" s="65"/>
      <c r="X430" s="101"/>
      <c r="Y430" s="45"/>
      <c r="Z430" s="65"/>
      <c r="AA430" s="101"/>
      <c r="AB430" s="45"/>
      <c r="AC430" s="65"/>
      <c r="AD430" s="101"/>
      <c r="AE430" s="45"/>
      <c r="AF430" s="102"/>
      <c r="AG430" s="101"/>
      <c r="AH430" s="101"/>
      <c r="AI430" s="102"/>
    </row>
    <row r="431" ht="15.75" customHeight="1">
      <c r="A431" s="101" t="s">
        <v>61</v>
      </c>
      <c r="B431" s="101" t="s">
        <v>62</v>
      </c>
      <c r="C431" s="101" t="s">
        <v>63</v>
      </c>
      <c r="D431" s="101">
        <v>2.2004047E7</v>
      </c>
      <c r="E431" s="102" t="s">
        <v>796</v>
      </c>
      <c r="F431" s="45">
        <v>45785.0</v>
      </c>
      <c r="G431" s="45">
        <v>45742.0</v>
      </c>
      <c r="H431" s="101" t="s">
        <v>73</v>
      </c>
      <c r="I431" s="101" t="s">
        <v>76</v>
      </c>
      <c r="J431" s="101">
        <v>45.0</v>
      </c>
      <c r="K431" s="65">
        <v>48.68333333</v>
      </c>
      <c r="L431" s="65">
        <v>2190.75</v>
      </c>
      <c r="M431" s="103">
        <v>0.2</v>
      </c>
      <c r="N431" s="65">
        <v>438.15</v>
      </c>
      <c r="O431" s="65">
        <v>2628.9</v>
      </c>
      <c r="P431" s="101" t="s">
        <v>79</v>
      </c>
      <c r="Q431" s="65">
        <v>219.075</v>
      </c>
      <c r="R431" s="65">
        <v>2847.975</v>
      </c>
      <c r="S431" s="65">
        <v>1533.525</v>
      </c>
      <c r="T431" s="65">
        <v>2255.55</v>
      </c>
      <c r="U431" s="101" t="s">
        <v>80</v>
      </c>
      <c r="V431" s="45">
        <v>45771.0</v>
      </c>
      <c r="W431" s="65"/>
      <c r="X431" s="101"/>
      <c r="Y431" s="45"/>
      <c r="Z431" s="65"/>
      <c r="AA431" s="101"/>
      <c r="AB431" s="45"/>
      <c r="AC431" s="65">
        <v>205.05</v>
      </c>
      <c r="AD431" s="101" t="s">
        <v>80</v>
      </c>
      <c r="AE431" s="45">
        <v>45790.0</v>
      </c>
      <c r="AF431" s="102"/>
      <c r="AG431" s="101"/>
      <c r="AH431" s="101"/>
      <c r="AI431" s="102"/>
    </row>
    <row r="432" ht="15.75" customHeight="1">
      <c r="A432" s="101" t="s">
        <v>219</v>
      </c>
      <c r="B432" s="101" t="s">
        <v>62</v>
      </c>
      <c r="C432" s="101" t="s">
        <v>278</v>
      </c>
      <c r="D432" s="101">
        <v>2.2004048E7</v>
      </c>
      <c r="E432" s="102" t="s">
        <v>797</v>
      </c>
      <c r="F432" s="45">
        <v>46235.0</v>
      </c>
      <c r="G432" s="45">
        <v>45743.0</v>
      </c>
      <c r="H432" s="101" t="s">
        <v>73</v>
      </c>
      <c r="I432" s="101" t="s">
        <v>76</v>
      </c>
      <c r="J432" s="101">
        <v>127.0</v>
      </c>
      <c r="K432" s="65">
        <v>145.4566929</v>
      </c>
      <c r="L432" s="65">
        <v>18473.0</v>
      </c>
      <c r="M432" s="103">
        <v>0.2</v>
      </c>
      <c r="N432" s="65">
        <v>3694.6</v>
      </c>
      <c r="O432" s="65">
        <v>22167.6</v>
      </c>
      <c r="P432" s="101" t="s">
        <v>79</v>
      </c>
      <c r="Q432" s="65">
        <v>1847.3</v>
      </c>
      <c r="R432" s="65">
        <v>24014.9</v>
      </c>
      <c r="S432" s="65">
        <v>12931.1</v>
      </c>
      <c r="T432" s="65">
        <v>3440.04</v>
      </c>
      <c r="U432" s="101" t="s">
        <v>80</v>
      </c>
      <c r="V432" s="45">
        <v>45756.0</v>
      </c>
      <c r="W432" s="65">
        <v>15600.0</v>
      </c>
      <c r="X432" s="101" t="s">
        <v>80</v>
      </c>
      <c r="Y432" s="45">
        <v>46227.0</v>
      </c>
      <c r="Z432" s="65">
        <v>4794.86</v>
      </c>
      <c r="AA432" s="101" t="s">
        <v>80</v>
      </c>
      <c r="AB432" s="45">
        <v>46227.0</v>
      </c>
      <c r="AC432" s="65">
        <v>739.34</v>
      </c>
      <c r="AD432" s="101" t="s">
        <v>80</v>
      </c>
      <c r="AE432" s="45">
        <v>46241.0</v>
      </c>
      <c r="AF432" s="102"/>
      <c r="AG432" s="101"/>
      <c r="AH432" s="101"/>
      <c r="AI432" s="102"/>
    </row>
    <row r="433" ht="15.75" customHeight="1">
      <c r="A433" s="101" t="s">
        <v>167</v>
      </c>
      <c r="B433" s="101" t="s">
        <v>62</v>
      </c>
      <c r="C433" s="101" t="s">
        <v>63</v>
      </c>
      <c r="D433" s="101">
        <v>2.2004049E7</v>
      </c>
      <c r="E433" s="102" t="s">
        <v>147</v>
      </c>
      <c r="F433" s="45">
        <v>45378.0</v>
      </c>
      <c r="G433" s="45">
        <v>45744.0</v>
      </c>
      <c r="H433" s="101" t="s">
        <v>83</v>
      </c>
      <c r="I433" s="101" t="s">
        <v>76</v>
      </c>
      <c r="J433" s="101">
        <v>1.0</v>
      </c>
      <c r="K433" s="65">
        <v>950.0</v>
      </c>
      <c r="L433" s="65">
        <v>950.0</v>
      </c>
      <c r="M433" s="103">
        <v>0.2</v>
      </c>
      <c r="N433" s="65">
        <v>190.0</v>
      </c>
      <c r="O433" s="65">
        <v>1140.0</v>
      </c>
      <c r="P433" s="101" t="s">
        <v>84</v>
      </c>
      <c r="Q433" s="65">
        <v>95.0</v>
      </c>
      <c r="R433" s="65">
        <v>1140.0</v>
      </c>
      <c r="S433" s="65">
        <v>665.0</v>
      </c>
      <c r="T433" s="65">
        <v>1140.0</v>
      </c>
      <c r="U433" s="101" t="s">
        <v>85</v>
      </c>
      <c r="V433" s="45">
        <v>45770.0</v>
      </c>
      <c r="W433" s="65"/>
      <c r="X433" s="101"/>
      <c r="Y433" s="45"/>
      <c r="Z433" s="65"/>
      <c r="AA433" s="101"/>
      <c r="AB433" s="45"/>
      <c r="AC433" s="65"/>
      <c r="AD433" s="101"/>
      <c r="AE433" s="45"/>
      <c r="AF433" s="102"/>
      <c r="AG433" s="101"/>
      <c r="AH433" s="101"/>
      <c r="AI433" s="102"/>
    </row>
    <row r="434" ht="15.75" customHeight="1">
      <c r="A434" s="101" t="s">
        <v>219</v>
      </c>
      <c r="B434" s="101" t="s">
        <v>62</v>
      </c>
      <c r="C434" s="101" t="s">
        <v>63</v>
      </c>
      <c r="D434" s="101">
        <v>2.200405E7</v>
      </c>
      <c r="E434" s="102" t="s">
        <v>798</v>
      </c>
      <c r="F434" s="45">
        <v>45756.0</v>
      </c>
      <c r="G434" s="45">
        <v>45747.0</v>
      </c>
      <c r="H434" s="101" t="s">
        <v>73</v>
      </c>
      <c r="I434" s="101" t="s">
        <v>119</v>
      </c>
      <c r="J434" s="101">
        <v>45.0</v>
      </c>
      <c r="K434" s="65">
        <v>50.87333333</v>
      </c>
      <c r="L434" s="65">
        <v>2289.3</v>
      </c>
      <c r="M434" s="103">
        <v>0.2</v>
      </c>
      <c r="N434" s="65">
        <v>457.86</v>
      </c>
      <c r="O434" s="65">
        <v>2747.16</v>
      </c>
      <c r="P434" s="101" t="s">
        <v>79</v>
      </c>
      <c r="Q434" s="65">
        <v>228.93</v>
      </c>
      <c r="R434" s="65">
        <v>2976.09</v>
      </c>
      <c r="S434" s="65">
        <v>1602.51</v>
      </c>
      <c r="T434" s="65"/>
      <c r="U434" s="101"/>
      <c r="V434" s="45"/>
      <c r="W434" s="65"/>
      <c r="X434" s="101"/>
      <c r="Y434" s="45"/>
      <c r="Z434" s="65"/>
      <c r="AA434" s="101"/>
      <c r="AB434" s="45"/>
      <c r="AC434" s="65"/>
      <c r="AD434" s="101"/>
      <c r="AE434" s="45"/>
      <c r="AF434" s="102"/>
      <c r="AG434" s="101"/>
      <c r="AH434" s="101"/>
      <c r="AI434" s="102"/>
    </row>
    <row r="435" ht="15.75" customHeight="1">
      <c r="A435" s="101" t="s">
        <v>167</v>
      </c>
      <c r="B435" s="101" t="s">
        <v>62</v>
      </c>
      <c r="C435" s="101" t="s">
        <v>63</v>
      </c>
      <c r="D435" s="101">
        <v>2.2004051E7</v>
      </c>
      <c r="E435" s="102" t="s">
        <v>147</v>
      </c>
      <c r="F435" s="45">
        <v>45748.0</v>
      </c>
      <c r="G435" s="45">
        <v>45748.0</v>
      </c>
      <c r="H435" s="101" t="s">
        <v>83</v>
      </c>
      <c r="I435" s="101" t="s">
        <v>76</v>
      </c>
      <c r="J435" s="101">
        <v>19.0</v>
      </c>
      <c r="K435" s="65">
        <v>50.0</v>
      </c>
      <c r="L435" s="65">
        <v>950.0</v>
      </c>
      <c r="M435" s="103">
        <v>0.2</v>
      </c>
      <c r="N435" s="65">
        <v>190.0</v>
      </c>
      <c r="O435" s="65">
        <v>1140.0</v>
      </c>
      <c r="P435" s="101" t="s">
        <v>84</v>
      </c>
      <c r="Q435" s="65">
        <v>95.0</v>
      </c>
      <c r="R435" s="65">
        <v>1140.0</v>
      </c>
      <c r="S435" s="65">
        <v>665.0</v>
      </c>
      <c r="T435" s="65">
        <v>1140.0</v>
      </c>
      <c r="U435" s="101" t="s">
        <v>85</v>
      </c>
      <c r="V435" s="45">
        <v>45770.0</v>
      </c>
      <c r="W435" s="65"/>
      <c r="X435" s="101"/>
      <c r="Y435" s="45"/>
      <c r="Z435" s="65"/>
      <c r="AA435" s="101"/>
      <c r="AB435" s="45"/>
      <c r="AC435" s="65"/>
      <c r="AD435" s="101"/>
      <c r="AE435" s="45"/>
      <c r="AF435" s="102"/>
      <c r="AG435" s="101"/>
      <c r="AH435" s="101"/>
      <c r="AI435" s="102"/>
    </row>
    <row r="436" ht="15.75" customHeight="1">
      <c r="A436" s="101" t="s">
        <v>61</v>
      </c>
      <c r="B436" s="101" t="s">
        <v>62</v>
      </c>
      <c r="C436" s="101" t="s">
        <v>63</v>
      </c>
      <c r="D436" s="101">
        <v>2.2004052E7</v>
      </c>
      <c r="E436" s="102" t="s">
        <v>799</v>
      </c>
      <c r="F436" s="45">
        <v>45778.0</v>
      </c>
      <c r="G436" s="45">
        <v>45761.0</v>
      </c>
      <c r="H436" s="101" t="s">
        <v>83</v>
      </c>
      <c r="I436" s="101" t="s">
        <v>76</v>
      </c>
      <c r="J436" s="101">
        <v>100.0</v>
      </c>
      <c r="K436" s="65">
        <v>51.885</v>
      </c>
      <c r="L436" s="65">
        <v>5188.5</v>
      </c>
      <c r="M436" s="103">
        <v>0.2</v>
      </c>
      <c r="N436" s="65">
        <v>1037.7</v>
      </c>
      <c r="O436" s="65">
        <v>6226.2</v>
      </c>
      <c r="P436" s="101" t="s">
        <v>79</v>
      </c>
      <c r="Q436" s="65">
        <v>518.85</v>
      </c>
      <c r="R436" s="65">
        <v>6745.05</v>
      </c>
      <c r="S436" s="65">
        <v>3631.95</v>
      </c>
      <c r="T436" s="65">
        <v>6745.05</v>
      </c>
      <c r="U436" s="101" t="s">
        <v>85</v>
      </c>
      <c r="V436" s="45">
        <v>45777.0</v>
      </c>
      <c r="W436" s="65"/>
      <c r="X436" s="101"/>
      <c r="Y436" s="45"/>
      <c r="Z436" s="65"/>
      <c r="AA436" s="101"/>
      <c r="AB436" s="45"/>
      <c r="AC436" s="65">
        <v>518.85</v>
      </c>
      <c r="AD436" s="101" t="s">
        <v>85</v>
      </c>
      <c r="AE436" s="45"/>
      <c r="AF436" s="102" t="s">
        <v>800</v>
      </c>
      <c r="AG436" s="101">
        <v>7.6884917E7</v>
      </c>
      <c r="AH436" s="128">
        <v>46396.0</v>
      </c>
      <c r="AI436" s="102"/>
    </row>
    <row r="437" ht="15.75" customHeight="1">
      <c r="A437" s="101" t="s">
        <v>61</v>
      </c>
      <c r="B437" s="101" t="s">
        <v>62</v>
      </c>
      <c r="C437" s="101" t="s">
        <v>63</v>
      </c>
      <c r="D437" s="101">
        <v>2.2004053E7</v>
      </c>
      <c r="E437" s="102" t="s">
        <v>784</v>
      </c>
      <c r="F437" s="45">
        <v>45771.0</v>
      </c>
      <c r="G437" s="45">
        <v>45761.0</v>
      </c>
      <c r="H437" s="101" t="s">
        <v>83</v>
      </c>
      <c r="I437" s="101" t="s">
        <v>76</v>
      </c>
      <c r="J437" s="101">
        <v>40.0</v>
      </c>
      <c r="K437" s="65">
        <v>30.9</v>
      </c>
      <c r="L437" s="65">
        <v>1236.0</v>
      </c>
      <c r="M437" s="103">
        <v>0.2</v>
      </c>
      <c r="N437" s="65">
        <v>247.2</v>
      </c>
      <c r="O437" s="65">
        <v>1483.2</v>
      </c>
      <c r="P437" s="101" t="s">
        <v>79</v>
      </c>
      <c r="Q437" s="65">
        <v>123.6</v>
      </c>
      <c r="R437" s="65">
        <v>1606.8</v>
      </c>
      <c r="S437" s="65">
        <v>865.2</v>
      </c>
      <c r="T437" s="65">
        <v>1483.2</v>
      </c>
      <c r="U437" s="101" t="s">
        <v>85</v>
      </c>
      <c r="V437" s="45">
        <v>45764.0</v>
      </c>
      <c r="W437" s="65"/>
      <c r="X437" s="101"/>
      <c r="Y437" s="45"/>
      <c r="Z437" s="65"/>
      <c r="AA437" s="101"/>
      <c r="AB437" s="45"/>
      <c r="AC437" s="65">
        <v>234.4</v>
      </c>
      <c r="AD437" s="101" t="s">
        <v>85</v>
      </c>
      <c r="AE437" s="45">
        <v>45789.0</v>
      </c>
      <c r="AF437" s="102" t="s">
        <v>603</v>
      </c>
      <c r="AG437" s="101" t="s">
        <v>801</v>
      </c>
      <c r="AH437" s="101">
        <v>5.0297771E7</v>
      </c>
      <c r="AI437" s="102"/>
    </row>
    <row r="438" ht="15.75" customHeight="1">
      <c r="A438" s="101" t="s">
        <v>167</v>
      </c>
      <c r="B438" s="101" t="s">
        <v>62</v>
      </c>
      <c r="C438" s="101" t="s">
        <v>251</v>
      </c>
      <c r="D438" s="101">
        <v>2.2004054E7</v>
      </c>
      <c r="E438" s="102" t="s">
        <v>802</v>
      </c>
      <c r="F438" s="45">
        <v>45843.0</v>
      </c>
      <c r="G438" s="45">
        <v>45761.0</v>
      </c>
      <c r="H438" s="101" t="s">
        <v>73</v>
      </c>
      <c r="I438" s="101" t="s">
        <v>76</v>
      </c>
      <c r="J438" s="101">
        <v>150.0</v>
      </c>
      <c r="K438" s="65">
        <v>174.43</v>
      </c>
      <c r="L438" s="65">
        <v>26164.5</v>
      </c>
      <c r="M438" s="103">
        <v>0.2</v>
      </c>
      <c r="N438" s="65">
        <v>5232.9</v>
      </c>
      <c r="O438" s="65">
        <v>31397.4</v>
      </c>
      <c r="P438" s="101" t="s">
        <v>79</v>
      </c>
      <c r="Q438" s="65">
        <v>2616.45</v>
      </c>
      <c r="R438" s="65">
        <v>34013.85</v>
      </c>
      <c r="S438" s="65">
        <v>18315.15</v>
      </c>
      <c r="T438" s="65">
        <v>15698.7</v>
      </c>
      <c r="U438" s="101" t="s">
        <v>85</v>
      </c>
      <c r="V438" s="45">
        <v>45764.0</v>
      </c>
      <c r="W438" s="65">
        <v>18530.95</v>
      </c>
      <c r="X438" s="101" t="s">
        <v>85</v>
      </c>
      <c r="Y438" s="45">
        <v>45828.0</v>
      </c>
      <c r="Z438" s="65"/>
      <c r="AA438" s="101"/>
      <c r="AB438" s="45"/>
      <c r="AC438" s="65">
        <v>1736.09</v>
      </c>
      <c r="AD438" s="101" t="s">
        <v>85</v>
      </c>
      <c r="AE438" s="45">
        <v>45848.0</v>
      </c>
      <c r="AF438" s="102" t="s">
        <v>803</v>
      </c>
      <c r="AG438" s="101" t="s">
        <v>804</v>
      </c>
      <c r="AH438" s="101">
        <v>4.1632817E7</v>
      </c>
      <c r="AI438" s="102"/>
    </row>
    <row r="439" ht="15.75" customHeight="1">
      <c r="A439" s="101" t="s">
        <v>219</v>
      </c>
      <c r="B439" s="101" t="s">
        <v>62</v>
      </c>
      <c r="C439" s="101" t="s">
        <v>63</v>
      </c>
      <c r="D439" s="101">
        <v>2.2004055E7</v>
      </c>
      <c r="E439" s="102" t="s">
        <v>805</v>
      </c>
      <c r="F439" s="45">
        <v>45770.0</v>
      </c>
      <c r="G439" s="45">
        <v>45761.0</v>
      </c>
      <c r="H439" s="101" t="s">
        <v>83</v>
      </c>
      <c r="I439" s="101" t="s">
        <v>119</v>
      </c>
      <c r="J439" s="101">
        <v>80.0</v>
      </c>
      <c r="K439" s="65">
        <v>0.0</v>
      </c>
      <c r="L439" s="65"/>
      <c r="M439" s="103"/>
      <c r="N439" s="65"/>
      <c r="O439" s="65"/>
      <c r="P439" s="101"/>
      <c r="Q439" s="65">
        <v>0.0</v>
      </c>
      <c r="R439" s="65"/>
      <c r="S439" s="65">
        <v>0.0</v>
      </c>
      <c r="T439" s="65"/>
      <c r="U439" s="101"/>
      <c r="V439" s="45"/>
      <c r="W439" s="65"/>
      <c r="X439" s="101"/>
      <c r="Y439" s="45"/>
      <c r="Z439" s="65"/>
      <c r="AA439" s="101"/>
      <c r="AB439" s="45"/>
      <c r="AC439" s="65"/>
      <c r="AD439" s="101"/>
      <c r="AE439" s="45"/>
      <c r="AF439" s="102"/>
      <c r="AG439" s="101"/>
      <c r="AH439" s="101"/>
      <c r="AI439" s="102"/>
    </row>
    <row r="440" ht="15.75" customHeight="1">
      <c r="A440" s="101" t="s">
        <v>219</v>
      </c>
      <c r="B440" s="101" t="s">
        <v>62</v>
      </c>
      <c r="C440" s="101" t="s">
        <v>63</v>
      </c>
      <c r="D440" s="101">
        <v>2.2004056E7</v>
      </c>
      <c r="E440" s="102" t="s">
        <v>806</v>
      </c>
      <c r="F440" s="45">
        <v>45785.0</v>
      </c>
      <c r="G440" s="45">
        <v>45762.0</v>
      </c>
      <c r="H440" s="101" t="s">
        <v>83</v>
      </c>
      <c r="I440" s="101" t="s">
        <v>76</v>
      </c>
      <c r="J440" s="101">
        <v>60.0</v>
      </c>
      <c r="K440" s="65">
        <v>31.89166667</v>
      </c>
      <c r="L440" s="65">
        <v>1913.5</v>
      </c>
      <c r="M440" s="103">
        <v>0.2</v>
      </c>
      <c r="N440" s="65">
        <v>382.7</v>
      </c>
      <c r="O440" s="65">
        <v>2296.2</v>
      </c>
      <c r="P440" s="101" t="s">
        <v>79</v>
      </c>
      <c r="Q440" s="65">
        <v>191.35</v>
      </c>
      <c r="R440" s="65">
        <v>2487.55</v>
      </c>
      <c r="S440" s="65">
        <v>1339.45</v>
      </c>
      <c r="T440" s="65">
        <v>1612.81</v>
      </c>
      <c r="U440" s="101" t="s">
        <v>85</v>
      </c>
      <c r="V440" s="45">
        <v>45778.0</v>
      </c>
      <c r="W440" s="65"/>
      <c r="X440" s="101"/>
      <c r="Y440" s="45"/>
      <c r="Z440" s="65"/>
      <c r="AA440" s="101"/>
      <c r="AB440" s="45"/>
      <c r="AC440" s="65">
        <v>191.35</v>
      </c>
      <c r="AD440" s="101"/>
      <c r="AE440" s="45"/>
      <c r="AF440" s="102" t="s">
        <v>807</v>
      </c>
      <c r="AG440" s="101" t="s">
        <v>275</v>
      </c>
      <c r="AH440" s="101">
        <v>3.0161756E7</v>
      </c>
      <c r="AI440" s="102" t="s">
        <v>808</v>
      </c>
    </row>
    <row r="441" ht="15.75" customHeight="1">
      <c r="A441" s="101" t="s">
        <v>219</v>
      </c>
      <c r="B441" s="101" t="s">
        <v>62</v>
      </c>
      <c r="C441" s="101" t="s">
        <v>63</v>
      </c>
      <c r="D441" s="101">
        <v>2.2004057E7</v>
      </c>
      <c r="E441" s="102" t="s">
        <v>809</v>
      </c>
      <c r="F441" s="45">
        <v>45814.0</v>
      </c>
      <c r="G441" s="45">
        <v>45763.0</v>
      </c>
      <c r="H441" s="101" t="s">
        <v>83</v>
      </c>
      <c r="I441" s="101" t="s">
        <v>76</v>
      </c>
      <c r="J441" s="101">
        <v>50.0</v>
      </c>
      <c r="K441" s="65">
        <v>71.63</v>
      </c>
      <c r="L441" s="65">
        <v>3581.5</v>
      </c>
      <c r="M441" s="103">
        <v>0.2</v>
      </c>
      <c r="N441" s="65">
        <v>716.3</v>
      </c>
      <c r="O441" s="65">
        <v>4297.8</v>
      </c>
      <c r="P441" s="101" t="s">
        <v>79</v>
      </c>
      <c r="Q441" s="65">
        <v>358.15</v>
      </c>
      <c r="R441" s="65">
        <v>4655.95</v>
      </c>
      <c r="S441" s="65">
        <v>2507.05</v>
      </c>
      <c r="T441" s="65">
        <v>2030.1</v>
      </c>
      <c r="U441" s="101" t="s">
        <v>85</v>
      </c>
      <c r="V441" s="45">
        <v>45790.0</v>
      </c>
      <c r="W441" s="65">
        <v>3017.4</v>
      </c>
      <c r="X441" s="101" t="s">
        <v>85</v>
      </c>
      <c r="Y441" s="45">
        <v>44347.0</v>
      </c>
      <c r="Z441" s="65"/>
      <c r="AA441" s="101"/>
      <c r="AB441" s="45"/>
      <c r="AC441" s="65">
        <v>345.3</v>
      </c>
      <c r="AD441" s="101"/>
      <c r="AE441" s="45">
        <v>45852.0</v>
      </c>
      <c r="AF441" s="102" t="s">
        <v>420</v>
      </c>
      <c r="AG441" s="101" t="s">
        <v>421</v>
      </c>
      <c r="AH441" s="101">
        <v>1.7121523E7</v>
      </c>
      <c r="AI441" s="102"/>
    </row>
    <row r="442" ht="15.75" customHeight="1">
      <c r="A442" s="101" t="s">
        <v>219</v>
      </c>
      <c r="B442" s="101" t="s">
        <v>62</v>
      </c>
      <c r="C442" s="101" t="s">
        <v>63</v>
      </c>
      <c r="D442" s="101">
        <v>2.2004058E7</v>
      </c>
      <c r="E442" s="102" t="s">
        <v>181</v>
      </c>
      <c r="F442" s="45">
        <v>45827.0</v>
      </c>
      <c r="G442" s="45">
        <v>45764.0</v>
      </c>
      <c r="H442" s="101" t="s">
        <v>83</v>
      </c>
      <c r="I442" s="101" t="s">
        <v>119</v>
      </c>
      <c r="J442" s="101">
        <v>100.0</v>
      </c>
      <c r="K442" s="65">
        <v>69.19</v>
      </c>
      <c r="L442" s="65">
        <v>6919.0</v>
      </c>
      <c r="M442" s="103">
        <v>0.2</v>
      </c>
      <c r="N442" s="65">
        <v>1383.8</v>
      </c>
      <c r="O442" s="65">
        <v>8302.8</v>
      </c>
      <c r="P442" s="101" t="s">
        <v>79</v>
      </c>
      <c r="Q442" s="65">
        <v>691.9</v>
      </c>
      <c r="R442" s="65">
        <v>8994.7</v>
      </c>
      <c r="S442" s="65">
        <v>4843.3</v>
      </c>
      <c r="T442" s="65"/>
      <c r="U442" s="101"/>
      <c r="V442" s="45"/>
      <c r="W442" s="65"/>
      <c r="X442" s="101"/>
      <c r="Y442" s="45"/>
      <c r="Z442" s="65"/>
      <c r="AA442" s="101"/>
      <c r="AB442" s="45"/>
      <c r="AC442" s="65"/>
      <c r="AD442" s="101"/>
      <c r="AE442" s="45"/>
      <c r="AF442" s="102"/>
      <c r="AG442" s="101"/>
      <c r="AH442" s="101"/>
      <c r="AI442" s="102"/>
    </row>
    <row r="443" ht="15.75" customHeight="1">
      <c r="A443" s="101" t="s">
        <v>219</v>
      </c>
      <c r="B443" s="101" t="s">
        <v>62</v>
      </c>
      <c r="C443" s="101" t="s">
        <v>63</v>
      </c>
      <c r="D443" s="101">
        <v>2.2004059E7</v>
      </c>
      <c r="E443" s="102" t="s">
        <v>810</v>
      </c>
      <c r="F443" s="45">
        <v>45776.0</v>
      </c>
      <c r="G443" s="45">
        <v>45770.0</v>
      </c>
      <c r="H443" s="101" t="s">
        <v>83</v>
      </c>
      <c r="I443" s="101" t="s">
        <v>76</v>
      </c>
      <c r="J443" s="101">
        <v>80.0</v>
      </c>
      <c r="K443" s="65">
        <v>13.15</v>
      </c>
      <c r="L443" s="65">
        <v>1052.0</v>
      </c>
      <c r="M443" s="103">
        <v>0.2</v>
      </c>
      <c r="N443" s="65">
        <v>210.4</v>
      </c>
      <c r="O443" s="65">
        <v>1262.4</v>
      </c>
      <c r="P443" s="101" t="s">
        <v>79</v>
      </c>
      <c r="Q443" s="65">
        <v>105.2</v>
      </c>
      <c r="R443" s="65">
        <v>1367.6</v>
      </c>
      <c r="S443" s="65">
        <v>736.4</v>
      </c>
      <c r="T443" s="65"/>
      <c r="U443" s="101"/>
      <c r="V443" s="45"/>
      <c r="W443" s="65"/>
      <c r="X443" s="101"/>
      <c r="Y443" s="45"/>
      <c r="Z443" s="65"/>
      <c r="AA443" s="101"/>
      <c r="AB443" s="45"/>
      <c r="AC443" s="65"/>
      <c r="AD443" s="101"/>
      <c r="AE443" s="45"/>
      <c r="AF443" s="102"/>
      <c r="AG443" s="101"/>
      <c r="AH443" s="101"/>
      <c r="AI443" s="102"/>
    </row>
    <row r="444" ht="15.75" customHeight="1">
      <c r="A444" s="101" t="s">
        <v>219</v>
      </c>
      <c r="B444" s="101" t="s">
        <v>62</v>
      </c>
      <c r="C444" s="101" t="s">
        <v>63</v>
      </c>
      <c r="D444" s="101">
        <v>2.200406E7</v>
      </c>
      <c r="E444" s="102" t="s">
        <v>811</v>
      </c>
      <c r="F444" s="45">
        <v>45791.0</v>
      </c>
      <c r="G444" s="45">
        <v>45770.0</v>
      </c>
      <c r="H444" s="101" t="s">
        <v>83</v>
      </c>
      <c r="I444" s="101" t="s">
        <v>76</v>
      </c>
      <c r="J444" s="101">
        <v>30.0</v>
      </c>
      <c r="K444" s="65">
        <v>49.8</v>
      </c>
      <c r="L444" s="65">
        <v>1494.0</v>
      </c>
      <c r="M444" s="103">
        <v>0.2</v>
      </c>
      <c r="N444" s="65">
        <v>298.8</v>
      </c>
      <c r="O444" s="65">
        <v>1792.8</v>
      </c>
      <c r="P444" s="101" t="s">
        <v>79</v>
      </c>
      <c r="Q444" s="65">
        <v>149.4</v>
      </c>
      <c r="R444" s="65">
        <v>1942.2</v>
      </c>
      <c r="S444" s="65">
        <v>1045.8</v>
      </c>
      <c r="T444" s="65">
        <v>1942.2</v>
      </c>
      <c r="U444" s="101" t="s">
        <v>85</v>
      </c>
      <c r="V444" s="45">
        <v>45784.0</v>
      </c>
      <c r="W444" s="65"/>
      <c r="X444" s="101"/>
      <c r="Y444" s="45"/>
      <c r="Z444" s="65"/>
      <c r="AA444" s="101"/>
      <c r="AB444" s="45"/>
      <c r="AC444" s="65">
        <v>149.4</v>
      </c>
      <c r="AD444" s="101"/>
      <c r="AE444" s="45">
        <v>45809.0</v>
      </c>
      <c r="AF444" s="102" t="s">
        <v>763</v>
      </c>
      <c r="AG444" s="101" t="s">
        <v>275</v>
      </c>
      <c r="AH444" s="101">
        <v>7.3929515E7</v>
      </c>
      <c r="AI444" s="102"/>
    </row>
    <row r="445" ht="15.75" customHeight="1">
      <c r="A445" s="101" t="s">
        <v>61</v>
      </c>
      <c r="B445" s="101" t="s">
        <v>62</v>
      </c>
      <c r="C445" s="101" t="s">
        <v>63</v>
      </c>
      <c r="D445" s="101">
        <v>2.2004061E7</v>
      </c>
      <c r="E445" s="102" t="s">
        <v>178</v>
      </c>
      <c r="F445" s="45">
        <v>45841.0</v>
      </c>
      <c r="G445" s="45">
        <v>45772.0</v>
      </c>
      <c r="H445" s="101" t="s">
        <v>83</v>
      </c>
      <c r="I445" s="101" t="s">
        <v>76</v>
      </c>
      <c r="J445" s="101">
        <v>250.0</v>
      </c>
      <c r="K445" s="65">
        <v>120.314</v>
      </c>
      <c r="L445" s="65">
        <v>30078.5</v>
      </c>
      <c r="M445" s="103">
        <v>0.2</v>
      </c>
      <c r="N445" s="65">
        <v>6015.7</v>
      </c>
      <c r="O445" s="65">
        <v>36094.2</v>
      </c>
      <c r="P445" s="101" t="s">
        <v>79</v>
      </c>
      <c r="Q445" s="65">
        <v>3007.85</v>
      </c>
      <c r="R445" s="65">
        <v>39102.05</v>
      </c>
      <c r="S445" s="65">
        <v>21054.95</v>
      </c>
      <c r="T445" s="65">
        <v>21021.9</v>
      </c>
      <c r="U445" s="101" t="s">
        <v>80</v>
      </c>
      <c r="V445" s="45">
        <v>45783.0</v>
      </c>
      <c r="W445" s="65">
        <v>18080.15</v>
      </c>
      <c r="X445" s="101" t="s">
        <v>80</v>
      </c>
      <c r="Y445" s="45"/>
      <c r="Z445" s="65"/>
      <c r="AA445" s="101"/>
      <c r="AB445" s="45"/>
      <c r="AC445" s="65">
        <v>3007.85</v>
      </c>
      <c r="AD445" s="101" t="s">
        <v>80</v>
      </c>
      <c r="AE445" s="45">
        <v>45848.0</v>
      </c>
      <c r="AF445" s="102"/>
      <c r="AG445" s="101"/>
      <c r="AH445" s="101"/>
      <c r="AI445" s="102"/>
    </row>
    <row r="446" ht="15.75" customHeight="1">
      <c r="A446" s="101" t="s">
        <v>61</v>
      </c>
      <c r="B446" s="101" t="s">
        <v>62</v>
      </c>
      <c r="C446" s="101" t="s">
        <v>63</v>
      </c>
      <c r="D446" s="101">
        <v>2.2004062E7</v>
      </c>
      <c r="E446" s="102" t="s">
        <v>164</v>
      </c>
      <c r="F446" s="45">
        <v>45785.0</v>
      </c>
      <c r="G446" s="45">
        <v>45772.0</v>
      </c>
      <c r="H446" s="101" t="s">
        <v>83</v>
      </c>
      <c r="I446" s="101" t="s">
        <v>76</v>
      </c>
      <c r="J446" s="101">
        <v>22.0</v>
      </c>
      <c r="K446" s="65">
        <v>155.2772727</v>
      </c>
      <c r="L446" s="65">
        <v>3416.1</v>
      </c>
      <c r="M446" s="103">
        <v>0.2</v>
      </c>
      <c r="N446" s="65">
        <v>683.22</v>
      </c>
      <c r="O446" s="65">
        <v>4099.32</v>
      </c>
      <c r="P446" s="101" t="s">
        <v>79</v>
      </c>
      <c r="Q446" s="65">
        <v>341.61</v>
      </c>
      <c r="R446" s="65">
        <v>4440.93</v>
      </c>
      <c r="S446" s="65">
        <v>2391.27</v>
      </c>
      <c r="T446" s="65">
        <v>4089.93</v>
      </c>
      <c r="U446" s="101" t="s">
        <v>85</v>
      </c>
      <c r="V446" s="45">
        <v>45779.0</v>
      </c>
      <c r="W446" s="65"/>
      <c r="X446" s="101"/>
      <c r="Y446" s="45"/>
      <c r="Z446" s="65"/>
      <c r="AA446" s="101"/>
      <c r="AB446" s="45"/>
      <c r="AC446" s="65">
        <v>29.37</v>
      </c>
      <c r="AD446" s="101" t="s">
        <v>85</v>
      </c>
      <c r="AE446" s="45">
        <v>45809.0</v>
      </c>
      <c r="AF446" s="102" t="s">
        <v>812</v>
      </c>
      <c r="AG446" s="101">
        <v>300009.0</v>
      </c>
      <c r="AH446" s="101" t="s">
        <v>813</v>
      </c>
      <c r="AI446" s="102"/>
    </row>
    <row r="447" ht="15.75" customHeight="1">
      <c r="A447" s="101" t="s">
        <v>219</v>
      </c>
      <c r="B447" s="101" t="s">
        <v>62</v>
      </c>
      <c r="C447" s="101" t="s">
        <v>63</v>
      </c>
      <c r="D447" s="101">
        <v>2.2004063E7</v>
      </c>
      <c r="E447" s="102" t="s">
        <v>814</v>
      </c>
      <c r="F447" s="45">
        <v>45829.0</v>
      </c>
      <c r="G447" s="45">
        <v>45772.0</v>
      </c>
      <c r="H447" s="101" t="s">
        <v>73</v>
      </c>
      <c r="I447" s="101" t="s">
        <v>76</v>
      </c>
      <c r="J447" s="101">
        <v>24.0</v>
      </c>
      <c r="K447" s="65">
        <v>115.9158333</v>
      </c>
      <c r="L447" s="65">
        <v>2781.98</v>
      </c>
      <c r="M447" s="103">
        <v>0.2</v>
      </c>
      <c r="N447" s="65">
        <v>556.396</v>
      </c>
      <c r="O447" s="65">
        <v>3338.376</v>
      </c>
      <c r="P447" s="101" t="s">
        <v>79</v>
      </c>
      <c r="Q447" s="65">
        <v>278.198</v>
      </c>
      <c r="R447" s="65">
        <v>3616.574</v>
      </c>
      <c r="S447" s="65">
        <v>1947.386</v>
      </c>
      <c r="T447" s="65">
        <v>1145.05</v>
      </c>
      <c r="U447" s="101" t="s">
        <v>80</v>
      </c>
      <c r="V447" s="45"/>
      <c r="W447" s="65">
        <v>2242.51</v>
      </c>
      <c r="X447" s="101" t="s">
        <v>85</v>
      </c>
      <c r="Y447" s="45">
        <v>45819.0</v>
      </c>
      <c r="Z447" s="65"/>
      <c r="AA447" s="101"/>
      <c r="AB447" s="45"/>
      <c r="AC447" s="65">
        <v>362.19</v>
      </c>
      <c r="AD447" s="101" t="s">
        <v>80</v>
      </c>
      <c r="AE447" s="45">
        <v>45841.0</v>
      </c>
      <c r="AF447" s="102"/>
      <c r="AG447" s="101"/>
      <c r="AH447" s="101"/>
      <c r="AI447" s="102"/>
    </row>
    <row r="448" ht="15.75" customHeight="1">
      <c r="A448" s="101" t="s">
        <v>61</v>
      </c>
      <c r="B448" s="101" t="s">
        <v>62</v>
      </c>
      <c r="C448" s="101" t="s">
        <v>251</v>
      </c>
      <c r="D448" s="101">
        <v>2.2004064E7</v>
      </c>
      <c r="E448" s="102" t="s">
        <v>815</v>
      </c>
      <c r="F448" s="45">
        <v>45906.0</v>
      </c>
      <c r="G448" s="45">
        <v>45776.0</v>
      </c>
      <c r="H448" s="101" t="s">
        <v>83</v>
      </c>
      <c r="I448" s="101" t="s">
        <v>76</v>
      </c>
      <c r="J448" s="101">
        <v>80.0</v>
      </c>
      <c r="K448" s="65">
        <v>113.2125</v>
      </c>
      <c r="L448" s="65">
        <v>9057.0</v>
      </c>
      <c r="M448" s="103">
        <v>0.2</v>
      </c>
      <c r="N448" s="65">
        <v>1811.4</v>
      </c>
      <c r="O448" s="65">
        <v>10868.4</v>
      </c>
      <c r="P448" s="101" t="s">
        <v>79</v>
      </c>
      <c r="Q448" s="65">
        <v>905.7</v>
      </c>
      <c r="R448" s="65">
        <v>11774.1</v>
      </c>
      <c r="S448" s="65">
        <v>6339.9</v>
      </c>
      <c r="T448" s="65">
        <v>5697.3</v>
      </c>
      <c r="U448" s="101" t="s">
        <v>80</v>
      </c>
      <c r="V448" s="45">
        <v>45783.0</v>
      </c>
      <c r="W448" s="65">
        <v>6646.85</v>
      </c>
      <c r="X448" s="101" t="s">
        <v>85</v>
      </c>
      <c r="Y448" s="45">
        <v>45898.0</v>
      </c>
      <c r="Z448" s="65"/>
      <c r="AA448" s="101"/>
      <c r="AB448" s="45"/>
      <c r="AC448" s="65">
        <v>971.15</v>
      </c>
      <c r="AD448" s="101" t="s">
        <v>80</v>
      </c>
      <c r="AE448" s="45">
        <v>45916.0</v>
      </c>
      <c r="AF448" s="102"/>
      <c r="AG448" s="101"/>
      <c r="AH448" s="101"/>
      <c r="AI448" s="102"/>
    </row>
    <row r="449" ht="15.75" customHeight="1">
      <c r="A449" s="101" t="s">
        <v>61</v>
      </c>
      <c r="B449" s="101" t="s">
        <v>62</v>
      </c>
      <c r="C449" s="101" t="s">
        <v>63</v>
      </c>
      <c r="D449" s="101">
        <v>2.2004065E7</v>
      </c>
      <c r="E449" s="102" t="s">
        <v>816</v>
      </c>
      <c r="F449" s="45"/>
      <c r="G449" s="45">
        <v>45776.0</v>
      </c>
      <c r="H449" s="101" t="s">
        <v>83</v>
      </c>
      <c r="I449" s="101" t="s">
        <v>76</v>
      </c>
      <c r="J449" s="101">
        <v>72.0</v>
      </c>
      <c r="K449" s="65">
        <v>129.55</v>
      </c>
      <c r="L449" s="65">
        <v>9327.6</v>
      </c>
      <c r="M449" s="103">
        <v>0.2</v>
      </c>
      <c r="N449" s="65">
        <v>1865.52</v>
      </c>
      <c r="O449" s="65">
        <v>11193.12</v>
      </c>
      <c r="P449" s="101" t="s">
        <v>79</v>
      </c>
      <c r="Q449" s="65">
        <v>932.76</v>
      </c>
      <c r="R449" s="65">
        <v>12125.88</v>
      </c>
      <c r="S449" s="65">
        <v>6529.32</v>
      </c>
      <c r="T449" s="65">
        <v>5596.56</v>
      </c>
      <c r="U449" s="101" t="s">
        <v>85</v>
      </c>
      <c r="V449" s="45">
        <v>45798.0</v>
      </c>
      <c r="W449" s="65">
        <v>6062.94</v>
      </c>
      <c r="X449" s="101" t="s">
        <v>85</v>
      </c>
      <c r="Y449" s="45">
        <v>45810.0</v>
      </c>
      <c r="Z449" s="65"/>
      <c r="AA449" s="101"/>
      <c r="AB449" s="45"/>
      <c r="AC449" s="65">
        <v>277.58</v>
      </c>
      <c r="AD449" s="101" t="s">
        <v>85</v>
      </c>
      <c r="AE449" s="45">
        <v>45846.0</v>
      </c>
      <c r="AF449" s="102" t="s">
        <v>318</v>
      </c>
      <c r="AG449" s="101" t="s">
        <v>817</v>
      </c>
      <c r="AH449" s="101">
        <v>1.0793388E7</v>
      </c>
      <c r="AI449" s="102" t="s">
        <v>818</v>
      </c>
    </row>
    <row r="450" ht="15.75" customHeight="1">
      <c r="A450" s="101" t="s">
        <v>61</v>
      </c>
      <c r="B450" s="101" t="s">
        <v>62</v>
      </c>
      <c r="C450" s="101" t="s">
        <v>63</v>
      </c>
      <c r="D450" s="101">
        <v>2.2004066E7</v>
      </c>
      <c r="E450" s="102" t="s">
        <v>128</v>
      </c>
      <c r="F450" s="45">
        <v>45877.0</v>
      </c>
      <c r="G450" s="45">
        <v>45782.0</v>
      </c>
      <c r="H450" s="101" t="s">
        <v>83</v>
      </c>
      <c r="I450" s="101" t="s">
        <v>76</v>
      </c>
      <c r="J450" s="101">
        <v>40.0</v>
      </c>
      <c r="K450" s="65">
        <v>123.4125</v>
      </c>
      <c r="L450" s="65">
        <v>4936.5</v>
      </c>
      <c r="M450" s="103">
        <v>0.2</v>
      </c>
      <c r="N450" s="65">
        <v>987.3</v>
      </c>
      <c r="O450" s="65">
        <v>5923.8</v>
      </c>
      <c r="P450" s="101" t="s">
        <v>79</v>
      </c>
      <c r="Q450" s="65">
        <v>493.65</v>
      </c>
      <c r="R450" s="65">
        <v>6417.45</v>
      </c>
      <c r="S450" s="65">
        <v>3455.55</v>
      </c>
      <c r="T450" s="65">
        <v>2961.6</v>
      </c>
      <c r="U450" s="101" t="s">
        <v>85</v>
      </c>
      <c r="V450" s="45">
        <v>45800.0</v>
      </c>
      <c r="W450" s="65">
        <v>3455.2</v>
      </c>
      <c r="X450" s="101" t="s">
        <v>85</v>
      </c>
      <c r="Y450" s="45">
        <v>45868.0</v>
      </c>
      <c r="Z450" s="65"/>
      <c r="AA450" s="101"/>
      <c r="AB450" s="45"/>
      <c r="AC450" s="65">
        <v>493.6</v>
      </c>
      <c r="AD450" s="101" t="s">
        <v>85</v>
      </c>
      <c r="AE450" s="45">
        <v>45890.0</v>
      </c>
      <c r="AF450" s="102" t="s">
        <v>683</v>
      </c>
      <c r="AG450" s="101" t="s">
        <v>684</v>
      </c>
      <c r="AH450" s="101">
        <v>1.0967476E7</v>
      </c>
      <c r="AI450" s="102"/>
    </row>
    <row r="451" ht="15.75" customHeight="1">
      <c r="A451" s="101" t="s">
        <v>61</v>
      </c>
      <c r="B451" s="101" t="s">
        <v>62</v>
      </c>
      <c r="C451" s="101" t="s">
        <v>251</v>
      </c>
      <c r="D451" s="101">
        <v>2.2004067E7</v>
      </c>
      <c r="E451" s="102" t="s">
        <v>819</v>
      </c>
      <c r="F451" s="45">
        <v>45787.0</v>
      </c>
      <c r="G451" s="45">
        <v>45783.0</v>
      </c>
      <c r="H451" s="101" t="s">
        <v>73</v>
      </c>
      <c r="I451" s="101" t="s">
        <v>76</v>
      </c>
      <c r="J451" s="101">
        <v>25.0</v>
      </c>
      <c r="K451" s="65">
        <v>211.78</v>
      </c>
      <c r="L451" s="65">
        <v>5294.5</v>
      </c>
      <c r="M451" s="103">
        <v>0.2</v>
      </c>
      <c r="N451" s="65">
        <v>1058.9</v>
      </c>
      <c r="O451" s="65">
        <v>6353.4</v>
      </c>
      <c r="P451" s="101" t="s">
        <v>79</v>
      </c>
      <c r="Q451" s="65">
        <v>529.45</v>
      </c>
      <c r="R451" s="65">
        <v>6882.85</v>
      </c>
      <c r="S451" s="65">
        <v>3706.15</v>
      </c>
      <c r="T451" s="65">
        <v>6882.85</v>
      </c>
      <c r="U451" s="101" t="s">
        <v>80</v>
      </c>
      <c r="V451" s="45">
        <v>45783.0</v>
      </c>
      <c r="W451" s="65"/>
      <c r="X451" s="101"/>
      <c r="Y451" s="45"/>
      <c r="Z451" s="65"/>
      <c r="AA451" s="101"/>
      <c r="AB451" s="45"/>
      <c r="AC451" s="65">
        <v>129.85</v>
      </c>
      <c r="AD451" s="101" t="s">
        <v>80</v>
      </c>
      <c r="AE451" s="45">
        <v>45821.0</v>
      </c>
      <c r="AF451" s="102"/>
      <c r="AG451" s="101"/>
      <c r="AH451" s="101"/>
      <c r="AI451" s="102"/>
    </row>
    <row r="452" ht="15.75" customHeight="1">
      <c r="A452" s="101" t="s">
        <v>219</v>
      </c>
      <c r="B452" s="101" t="s">
        <v>62</v>
      </c>
      <c r="C452" s="101" t="s">
        <v>63</v>
      </c>
      <c r="D452" s="101">
        <v>2.2004068E7</v>
      </c>
      <c r="E452" s="102" t="s">
        <v>820</v>
      </c>
      <c r="F452" s="45"/>
      <c r="G452" s="45">
        <v>45786.0</v>
      </c>
      <c r="H452" s="101" t="s">
        <v>83</v>
      </c>
      <c r="I452" s="101" t="s">
        <v>119</v>
      </c>
      <c r="J452" s="101">
        <v>40.0</v>
      </c>
      <c r="K452" s="65">
        <v>55.4375</v>
      </c>
      <c r="L452" s="65">
        <v>2217.5</v>
      </c>
      <c r="M452" s="103">
        <v>0.2</v>
      </c>
      <c r="N452" s="65">
        <v>443.5</v>
      </c>
      <c r="O452" s="65">
        <v>2661.0</v>
      </c>
      <c r="P452" s="101" t="s">
        <v>79</v>
      </c>
      <c r="Q452" s="65">
        <v>221.75</v>
      </c>
      <c r="R452" s="65">
        <v>2882.75</v>
      </c>
      <c r="S452" s="65">
        <v>1552.25</v>
      </c>
      <c r="T452" s="65"/>
      <c r="U452" s="101"/>
      <c r="V452" s="45"/>
      <c r="W452" s="65"/>
      <c r="X452" s="101"/>
      <c r="Y452" s="45"/>
      <c r="Z452" s="65"/>
      <c r="AA452" s="101"/>
      <c r="AB452" s="45"/>
      <c r="AC452" s="65"/>
      <c r="AD452" s="101"/>
      <c r="AE452" s="45"/>
      <c r="AF452" s="102"/>
      <c r="AG452" s="101"/>
      <c r="AH452" s="101"/>
      <c r="AI452" s="102" t="s">
        <v>821</v>
      </c>
    </row>
    <row r="453" ht="15.75" customHeight="1">
      <c r="A453" s="101" t="s">
        <v>219</v>
      </c>
      <c r="B453" s="101" t="s">
        <v>62</v>
      </c>
      <c r="C453" s="101" t="s">
        <v>63</v>
      </c>
      <c r="D453" s="101">
        <v>2.2004069E7</v>
      </c>
      <c r="E453" s="102" t="s">
        <v>822</v>
      </c>
      <c r="F453" s="45">
        <v>45798.0</v>
      </c>
      <c r="G453" s="45">
        <v>45786.0</v>
      </c>
      <c r="H453" s="101" t="s">
        <v>83</v>
      </c>
      <c r="I453" s="101" t="s">
        <v>76</v>
      </c>
      <c r="J453" s="101">
        <v>60.0</v>
      </c>
      <c r="K453" s="65">
        <v>44.37</v>
      </c>
      <c r="L453" s="65">
        <v>2662.2</v>
      </c>
      <c r="M453" s="103">
        <v>0.2</v>
      </c>
      <c r="N453" s="65">
        <v>532.44</v>
      </c>
      <c r="O453" s="65">
        <v>3194.64</v>
      </c>
      <c r="P453" s="101" t="s">
        <v>79</v>
      </c>
      <c r="Q453" s="65">
        <v>266.22</v>
      </c>
      <c r="R453" s="65">
        <v>3460.86</v>
      </c>
      <c r="S453" s="65">
        <v>1863.54</v>
      </c>
      <c r="T453" s="65">
        <v>3460.86</v>
      </c>
      <c r="U453" s="101" t="s">
        <v>85</v>
      </c>
      <c r="V453" s="45"/>
      <c r="W453" s="65"/>
      <c r="X453" s="101"/>
      <c r="Y453" s="45"/>
      <c r="Z453" s="65"/>
      <c r="AA453" s="101"/>
      <c r="AB453" s="45"/>
      <c r="AC453" s="65">
        <v>375.3</v>
      </c>
      <c r="AD453" s="101" t="s">
        <v>85</v>
      </c>
      <c r="AE453" s="45">
        <v>45852.0</v>
      </c>
      <c r="AF453" s="102" t="s">
        <v>823</v>
      </c>
      <c r="AG453" s="101" t="s">
        <v>779</v>
      </c>
      <c r="AH453" s="101">
        <v>2.0581658E7</v>
      </c>
      <c r="AI453" s="102"/>
    </row>
    <row r="454" ht="15.75" customHeight="1">
      <c r="A454" s="101" t="s">
        <v>219</v>
      </c>
      <c r="B454" s="101" t="s">
        <v>62</v>
      </c>
      <c r="C454" s="101" t="s">
        <v>63</v>
      </c>
      <c r="D454" s="101">
        <v>2.200407E7</v>
      </c>
      <c r="E454" s="102" t="s">
        <v>86</v>
      </c>
      <c r="F454" s="45">
        <v>45824.0</v>
      </c>
      <c r="G454" s="45">
        <v>45789.0</v>
      </c>
      <c r="H454" s="101" t="s">
        <v>83</v>
      </c>
      <c r="I454" s="101" t="s">
        <v>76</v>
      </c>
      <c r="J454" s="101">
        <v>35.0</v>
      </c>
      <c r="K454" s="65">
        <v>30.52857143</v>
      </c>
      <c r="L454" s="65">
        <v>1068.5</v>
      </c>
      <c r="M454" s="103">
        <v>0.2</v>
      </c>
      <c r="N454" s="65">
        <v>213.7</v>
      </c>
      <c r="O454" s="65">
        <v>1282.2</v>
      </c>
      <c r="P454" s="101" t="s">
        <v>84</v>
      </c>
      <c r="Q454" s="65">
        <v>106.85</v>
      </c>
      <c r="R454" s="65">
        <v>1282.2</v>
      </c>
      <c r="S454" s="65">
        <v>747.95</v>
      </c>
      <c r="T454" s="65">
        <v>1282.2</v>
      </c>
      <c r="U454" s="101" t="s">
        <v>85</v>
      </c>
      <c r="V454" s="45"/>
      <c r="W454" s="65"/>
      <c r="X454" s="101"/>
      <c r="Y454" s="45"/>
      <c r="Z454" s="65"/>
      <c r="AA454" s="101"/>
      <c r="AB454" s="45"/>
      <c r="AC454" s="65"/>
      <c r="AD454" s="101"/>
      <c r="AE454" s="45"/>
      <c r="AF454" s="102"/>
      <c r="AG454" s="101"/>
      <c r="AH454" s="101"/>
      <c r="AI454" s="102"/>
    </row>
    <row r="455" ht="15.75" customHeight="1">
      <c r="A455" s="101" t="s">
        <v>61</v>
      </c>
      <c r="B455" s="101" t="s">
        <v>62</v>
      </c>
      <c r="C455" s="101" t="s">
        <v>63</v>
      </c>
      <c r="D455" s="101">
        <v>2.2004071E7</v>
      </c>
      <c r="E455" s="102" t="s">
        <v>824</v>
      </c>
      <c r="F455" s="45">
        <v>45820.0</v>
      </c>
      <c r="G455" s="45">
        <v>45791.0</v>
      </c>
      <c r="H455" s="101" t="s">
        <v>73</v>
      </c>
      <c r="I455" s="101" t="s">
        <v>76</v>
      </c>
      <c r="J455" s="101">
        <v>80.0</v>
      </c>
      <c r="K455" s="65">
        <v>60.16875</v>
      </c>
      <c r="L455" s="65">
        <v>4813.5</v>
      </c>
      <c r="M455" s="103">
        <v>0.2</v>
      </c>
      <c r="N455" s="65">
        <v>962.7</v>
      </c>
      <c r="O455" s="65">
        <v>5776.2</v>
      </c>
      <c r="P455" s="101" t="s">
        <v>79</v>
      </c>
      <c r="Q455" s="65">
        <v>481.35</v>
      </c>
      <c r="R455" s="65">
        <v>6257.55</v>
      </c>
      <c r="S455" s="65">
        <v>3369.45</v>
      </c>
      <c r="T455" s="65">
        <v>2881.1</v>
      </c>
      <c r="U455" s="101" t="s">
        <v>80</v>
      </c>
      <c r="V455" s="45">
        <v>45799.0</v>
      </c>
      <c r="W455" s="65">
        <v>3369.45</v>
      </c>
      <c r="X455" s="101" t="s">
        <v>80</v>
      </c>
      <c r="Y455" s="45">
        <v>45811.0</v>
      </c>
      <c r="Z455" s="65"/>
      <c r="AA455" s="101"/>
      <c r="AB455" s="45"/>
      <c r="AC455" s="65">
        <v>456.45</v>
      </c>
      <c r="AD455" s="101" t="s">
        <v>80</v>
      </c>
      <c r="AE455" s="45">
        <v>45833.0</v>
      </c>
      <c r="AF455" s="102"/>
      <c r="AG455" s="101"/>
      <c r="AH455" s="101"/>
      <c r="AI455" s="102"/>
    </row>
    <row r="456" ht="15.75" customHeight="1">
      <c r="A456" s="101" t="s">
        <v>219</v>
      </c>
      <c r="B456" s="101" t="s">
        <v>62</v>
      </c>
      <c r="C456" s="101" t="s">
        <v>63</v>
      </c>
      <c r="D456" s="101">
        <v>2.2004072E7</v>
      </c>
      <c r="E456" s="102" t="s">
        <v>205</v>
      </c>
      <c r="F456" s="45">
        <v>45813.0</v>
      </c>
      <c r="G456" s="45">
        <v>45791.0</v>
      </c>
      <c r="H456" s="101" t="s">
        <v>83</v>
      </c>
      <c r="I456" s="101" t="s">
        <v>76</v>
      </c>
      <c r="J456" s="101">
        <v>25.0</v>
      </c>
      <c r="K456" s="65">
        <v>76.46</v>
      </c>
      <c r="L456" s="65">
        <v>1911.5</v>
      </c>
      <c r="M456" s="103">
        <v>0.2</v>
      </c>
      <c r="N456" s="65">
        <v>382.3</v>
      </c>
      <c r="O456" s="65">
        <v>2293.8</v>
      </c>
      <c r="P456" s="101" t="s">
        <v>79</v>
      </c>
      <c r="Q456" s="65">
        <v>191.15</v>
      </c>
      <c r="R456" s="65">
        <v>2484.95</v>
      </c>
      <c r="S456" s="65">
        <v>1338.05</v>
      </c>
      <c r="T456" s="65">
        <v>2484.35</v>
      </c>
      <c r="U456" s="101" t="s">
        <v>85</v>
      </c>
      <c r="V456" s="45">
        <v>45798.0</v>
      </c>
      <c r="W456" s="65"/>
      <c r="X456" s="101"/>
      <c r="Y456" s="45"/>
      <c r="Z456" s="65"/>
      <c r="AA456" s="101"/>
      <c r="AB456" s="45"/>
      <c r="AC456" s="65">
        <v>264.83</v>
      </c>
      <c r="AD456" s="101"/>
      <c r="AE456" s="45">
        <v>45820.0</v>
      </c>
      <c r="AF456" s="102" t="s">
        <v>825</v>
      </c>
      <c r="AG456" s="101" t="s">
        <v>472</v>
      </c>
      <c r="AH456" s="101">
        <v>2.0527322E7</v>
      </c>
      <c r="AI456" s="102"/>
    </row>
    <row r="457" ht="15.75" customHeight="1">
      <c r="A457" s="101" t="s">
        <v>61</v>
      </c>
      <c r="B457" s="101" t="s">
        <v>62</v>
      </c>
      <c r="C457" s="101" t="s">
        <v>63</v>
      </c>
      <c r="D457" s="101">
        <v>2.2004073E7</v>
      </c>
      <c r="E457" s="102" t="s">
        <v>826</v>
      </c>
      <c r="F457" s="45">
        <v>45805.0</v>
      </c>
      <c r="G457" s="45">
        <v>45793.0</v>
      </c>
      <c r="H457" s="101" t="s">
        <v>73</v>
      </c>
      <c r="I457" s="101" t="s">
        <v>76</v>
      </c>
      <c r="J457" s="101">
        <v>20.0</v>
      </c>
      <c r="K457" s="65">
        <v>97.55</v>
      </c>
      <c r="L457" s="65">
        <v>1951.0</v>
      </c>
      <c r="M457" s="103">
        <v>0.2</v>
      </c>
      <c r="N457" s="65">
        <v>390.2</v>
      </c>
      <c r="O457" s="65">
        <v>2341.2</v>
      </c>
      <c r="P457" s="101" t="s">
        <v>79</v>
      </c>
      <c r="Q457" s="65">
        <v>195.1</v>
      </c>
      <c r="R457" s="65">
        <v>2536.3</v>
      </c>
      <c r="S457" s="65">
        <v>1365.7</v>
      </c>
      <c r="T457" s="65">
        <v>2536.3</v>
      </c>
      <c r="U457" s="101" t="s">
        <v>80</v>
      </c>
      <c r="V457" s="45">
        <v>45797.0</v>
      </c>
      <c r="W457" s="65"/>
      <c r="X457" s="101"/>
      <c r="Y457" s="45"/>
      <c r="Z457" s="65"/>
      <c r="AA457" s="101"/>
      <c r="AB457" s="45"/>
      <c r="AC457" s="65">
        <v>195.1</v>
      </c>
      <c r="AD457" s="101" t="s">
        <v>80</v>
      </c>
      <c r="AE457" s="45">
        <v>45821.0</v>
      </c>
      <c r="AF457" s="102"/>
      <c r="AG457" s="101"/>
      <c r="AH457" s="101"/>
      <c r="AI457" s="102"/>
    </row>
    <row r="458" ht="15.75" customHeight="1">
      <c r="A458" s="101" t="s">
        <v>219</v>
      </c>
      <c r="B458" s="101" t="s">
        <v>62</v>
      </c>
      <c r="C458" s="101" t="s">
        <v>278</v>
      </c>
      <c r="D458" s="101">
        <v>2.2004074E7</v>
      </c>
      <c r="E458" s="102" t="s">
        <v>827</v>
      </c>
      <c r="F458" s="45">
        <v>45920.0</v>
      </c>
      <c r="G458" s="45">
        <v>45793.0</v>
      </c>
      <c r="H458" s="101" t="s">
        <v>73</v>
      </c>
      <c r="I458" s="101" t="s">
        <v>76</v>
      </c>
      <c r="J458" s="101">
        <v>176.0</v>
      </c>
      <c r="K458" s="65">
        <v>94.86534091</v>
      </c>
      <c r="L458" s="65">
        <v>16696.3</v>
      </c>
      <c r="M458" s="103">
        <v>0.2</v>
      </c>
      <c r="N458" s="65">
        <v>3339.26</v>
      </c>
      <c r="O458" s="65">
        <v>20035.56</v>
      </c>
      <c r="P458" s="101" t="s">
        <v>79</v>
      </c>
      <c r="Q458" s="65">
        <v>1669.63</v>
      </c>
      <c r="R458" s="65">
        <v>21705.19</v>
      </c>
      <c r="S458" s="65">
        <v>11687.41</v>
      </c>
      <c r="T458" s="65">
        <v>3170.88</v>
      </c>
      <c r="U458" s="101" t="s">
        <v>80</v>
      </c>
      <c r="V458" s="45">
        <v>45802.0</v>
      </c>
      <c r="W458" s="65">
        <v>18352.09</v>
      </c>
      <c r="X458" s="101" t="s">
        <v>80</v>
      </c>
      <c r="Y458" s="45">
        <v>45901.0</v>
      </c>
      <c r="Z458" s="65"/>
      <c r="AA458" s="101"/>
      <c r="AB458" s="45"/>
      <c r="AC458" s="65">
        <v>663.29</v>
      </c>
      <c r="AD458" s="101" t="s">
        <v>85</v>
      </c>
      <c r="AE458" s="45">
        <v>45937.0</v>
      </c>
      <c r="AF458" s="102" t="s">
        <v>828</v>
      </c>
      <c r="AG458" s="101">
        <v>608371.0</v>
      </c>
      <c r="AH458" s="101">
        <v>6.5706689E7</v>
      </c>
      <c r="AI458" s="102"/>
    </row>
    <row r="459" ht="15.75" customHeight="1">
      <c r="A459" s="101" t="s">
        <v>219</v>
      </c>
      <c r="B459" s="101" t="s">
        <v>62</v>
      </c>
      <c r="C459" s="101" t="s">
        <v>63</v>
      </c>
      <c r="D459" s="101">
        <v>2.2004075E7</v>
      </c>
      <c r="E459" s="102" t="s">
        <v>829</v>
      </c>
      <c r="F459" s="45">
        <v>45808.0</v>
      </c>
      <c r="G459" s="45">
        <v>45797.0</v>
      </c>
      <c r="H459" s="101" t="s">
        <v>83</v>
      </c>
      <c r="I459" s="101" t="s">
        <v>76</v>
      </c>
      <c r="J459" s="101">
        <v>40.0</v>
      </c>
      <c r="K459" s="65">
        <v>47.8375</v>
      </c>
      <c r="L459" s="65">
        <v>1913.5</v>
      </c>
      <c r="M459" s="103">
        <v>0.2</v>
      </c>
      <c r="N459" s="65">
        <v>382.7</v>
      </c>
      <c r="O459" s="65">
        <v>2296.2</v>
      </c>
      <c r="P459" s="101" t="s">
        <v>79</v>
      </c>
      <c r="Q459" s="65">
        <v>191.35</v>
      </c>
      <c r="R459" s="65">
        <v>2487.55</v>
      </c>
      <c r="S459" s="65">
        <v>1339.45</v>
      </c>
      <c r="T459" s="65">
        <v>2487.55</v>
      </c>
      <c r="U459" s="101" t="s">
        <v>85</v>
      </c>
      <c r="V459" s="45"/>
      <c r="W459" s="65"/>
      <c r="X459" s="101"/>
      <c r="Y459" s="45"/>
      <c r="Z459" s="65"/>
      <c r="AA459" s="101"/>
      <c r="AB459" s="45"/>
      <c r="AC459" s="65">
        <v>191.35</v>
      </c>
      <c r="AD459" s="101"/>
      <c r="AE459" s="45"/>
      <c r="AF459" s="102"/>
      <c r="AG459" s="101"/>
      <c r="AH459" s="101"/>
      <c r="AI459" s="102"/>
    </row>
    <row r="460" ht="15.75" customHeight="1">
      <c r="A460" s="101" t="s">
        <v>61</v>
      </c>
      <c r="B460" s="101" t="s">
        <v>62</v>
      </c>
      <c r="C460" s="101" t="s">
        <v>63</v>
      </c>
      <c r="D460" s="101">
        <v>2.2004076E7</v>
      </c>
      <c r="E460" s="102" t="s">
        <v>830</v>
      </c>
      <c r="F460" s="45">
        <v>45811.0</v>
      </c>
      <c r="G460" s="45">
        <v>45798.0</v>
      </c>
      <c r="H460" s="101" t="s">
        <v>83</v>
      </c>
      <c r="I460" s="101" t="s">
        <v>76</v>
      </c>
      <c r="J460" s="101">
        <v>15.0</v>
      </c>
      <c r="K460" s="65">
        <v>158.6966667</v>
      </c>
      <c r="L460" s="65">
        <v>2380.45</v>
      </c>
      <c r="M460" s="103">
        <v>0.2</v>
      </c>
      <c r="N460" s="65">
        <v>476.09</v>
      </c>
      <c r="O460" s="65">
        <v>2856.54</v>
      </c>
      <c r="P460" s="101" t="s">
        <v>79</v>
      </c>
      <c r="Q460" s="65">
        <v>238.045</v>
      </c>
      <c r="R460" s="65">
        <v>3094.585</v>
      </c>
      <c r="S460" s="65">
        <v>1666.315</v>
      </c>
      <c r="T460" s="65">
        <v>3094.59</v>
      </c>
      <c r="U460" s="101" t="s">
        <v>80</v>
      </c>
      <c r="V460" s="45">
        <v>45804.0</v>
      </c>
      <c r="W460" s="65"/>
      <c r="X460" s="101"/>
      <c r="Y460" s="45"/>
      <c r="Z460" s="65"/>
      <c r="AA460" s="101"/>
      <c r="AB460" s="45"/>
      <c r="AC460" s="65"/>
      <c r="AD460" s="101"/>
      <c r="AE460" s="45"/>
      <c r="AF460" s="102"/>
      <c r="AG460" s="101"/>
      <c r="AH460" s="101"/>
      <c r="AI460" s="102"/>
    </row>
    <row r="461" ht="15.75" customHeight="1">
      <c r="A461" s="101" t="s">
        <v>61</v>
      </c>
      <c r="B461" s="101" t="s">
        <v>62</v>
      </c>
      <c r="C461" s="101" t="s">
        <v>63</v>
      </c>
      <c r="D461" s="101">
        <v>2.2004077E7</v>
      </c>
      <c r="E461" s="102" t="s">
        <v>708</v>
      </c>
      <c r="F461" s="45">
        <v>45804.0</v>
      </c>
      <c r="G461" s="45">
        <v>45798.0</v>
      </c>
      <c r="H461" s="101" t="s">
        <v>83</v>
      </c>
      <c r="I461" s="101" t="s">
        <v>76</v>
      </c>
      <c r="J461" s="101">
        <v>20.0</v>
      </c>
      <c r="K461" s="65">
        <v>127.8</v>
      </c>
      <c r="L461" s="65">
        <v>2556.0</v>
      </c>
      <c r="M461" s="103">
        <v>0.2</v>
      </c>
      <c r="N461" s="65">
        <v>511.2</v>
      </c>
      <c r="O461" s="65">
        <v>3067.2</v>
      </c>
      <c r="P461" s="101" t="s">
        <v>79</v>
      </c>
      <c r="Q461" s="65">
        <v>255.6</v>
      </c>
      <c r="R461" s="65">
        <v>3322.8</v>
      </c>
      <c r="S461" s="65">
        <v>1789.2</v>
      </c>
      <c r="T461" s="65">
        <v>3322.8</v>
      </c>
      <c r="U461" s="101" t="s">
        <v>80</v>
      </c>
      <c r="V461" s="45">
        <v>45800.0</v>
      </c>
      <c r="W461" s="65"/>
      <c r="X461" s="101"/>
      <c r="Y461" s="45"/>
      <c r="Z461" s="65"/>
      <c r="AA461" s="101"/>
      <c r="AB461" s="45"/>
      <c r="AC461" s="65">
        <v>255.6</v>
      </c>
      <c r="AD461" s="101" t="s">
        <v>80</v>
      </c>
      <c r="AE461" s="45">
        <v>45821.0</v>
      </c>
      <c r="AF461" s="102"/>
      <c r="AG461" s="101"/>
      <c r="AH461" s="101"/>
      <c r="AI461" s="102"/>
    </row>
    <row r="462" ht="15.75" customHeight="1">
      <c r="A462" s="101" t="s">
        <v>61</v>
      </c>
      <c r="B462" s="101" t="s">
        <v>62</v>
      </c>
      <c r="C462" s="101" t="s">
        <v>63</v>
      </c>
      <c r="D462" s="101">
        <v>2.2004078E7</v>
      </c>
      <c r="E462" s="102" t="s">
        <v>268</v>
      </c>
      <c r="F462" s="45">
        <v>45808.0</v>
      </c>
      <c r="G462" s="45">
        <v>45800.0</v>
      </c>
      <c r="H462" s="101" t="s">
        <v>83</v>
      </c>
      <c r="I462" s="101" t="s">
        <v>76</v>
      </c>
      <c r="J462" s="101">
        <v>20.0</v>
      </c>
      <c r="K462" s="65">
        <v>136.85</v>
      </c>
      <c r="L462" s="65">
        <v>2737.0</v>
      </c>
      <c r="M462" s="103">
        <v>0.2</v>
      </c>
      <c r="N462" s="65">
        <v>547.4</v>
      </c>
      <c r="O462" s="65">
        <v>3284.4</v>
      </c>
      <c r="P462" s="101" t="s">
        <v>79</v>
      </c>
      <c r="Q462" s="65">
        <v>273.7</v>
      </c>
      <c r="R462" s="65">
        <v>3558.1</v>
      </c>
      <c r="S462" s="65">
        <v>1915.9</v>
      </c>
      <c r="T462" s="65">
        <v>3480.1</v>
      </c>
      <c r="U462" s="101" t="s">
        <v>80</v>
      </c>
      <c r="V462" s="45">
        <v>45805.0</v>
      </c>
      <c r="W462" s="65"/>
      <c r="X462" s="101"/>
      <c r="Y462" s="45"/>
      <c r="Z462" s="65"/>
      <c r="AA462" s="101"/>
      <c r="AB462" s="45"/>
      <c r="AC462" s="65"/>
      <c r="AD462" s="101"/>
      <c r="AE462" s="45"/>
      <c r="AF462" s="102"/>
      <c r="AG462" s="101"/>
      <c r="AH462" s="101"/>
      <c r="AI462" s="102"/>
    </row>
    <row r="463" ht="15.75" customHeight="1">
      <c r="A463" s="101" t="s">
        <v>61</v>
      </c>
      <c r="B463" s="101" t="s">
        <v>62</v>
      </c>
      <c r="C463" s="101" t="s">
        <v>63</v>
      </c>
      <c r="D463" s="101">
        <v>2.2004079E7</v>
      </c>
      <c r="E463" s="102" t="s">
        <v>86</v>
      </c>
      <c r="F463" s="45">
        <v>45834.0</v>
      </c>
      <c r="G463" s="45">
        <v>45800.0</v>
      </c>
      <c r="H463" s="101" t="s">
        <v>83</v>
      </c>
      <c r="I463" s="101" t="s">
        <v>76</v>
      </c>
      <c r="J463" s="101">
        <v>60.0</v>
      </c>
      <c r="K463" s="65">
        <v>77.73333333</v>
      </c>
      <c r="L463" s="65">
        <v>4664.0</v>
      </c>
      <c r="M463" s="103">
        <v>0.2</v>
      </c>
      <c r="N463" s="65">
        <v>932.8</v>
      </c>
      <c r="O463" s="65">
        <v>5596.8</v>
      </c>
      <c r="P463" s="101" t="s">
        <v>79</v>
      </c>
      <c r="Q463" s="65">
        <v>466.4</v>
      </c>
      <c r="R463" s="65">
        <v>6063.2</v>
      </c>
      <c r="S463" s="65">
        <v>3264.8</v>
      </c>
      <c r="T463" s="65">
        <v>6063.2</v>
      </c>
      <c r="U463" s="101" t="s">
        <v>85</v>
      </c>
      <c r="V463" s="45">
        <v>45824.0</v>
      </c>
      <c r="W463" s="65"/>
      <c r="X463" s="101"/>
      <c r="Y463" s="45"/>
      <c r="Z463" s="65"/>
      <c r="AA463" s="101"/>
      <c r="AB463" s="45"/>
      <c r="AC463" s="65">
        <v>466.4</v>
      </c>
      <c r="AD463" s="101" t="s">
        <v>85</v>
      </c>
      <c r="AE463" s="45">
        <v>45865.0</v>
      </c>
      <c r="AF463" s="102" t="s">
        <v>87</v>
      </c>
      <c r="AG463" s="101">
        <v>9.62211009E8</v>
      </c>
      <c r="AH463" s="101">
        <v>5.005E7</v>
      </c>
      <c r="AI463" s="102"/>
    </row>
    <row r="464" ht="15.75" customHeight="1">
      <c r="A464" s="101" t="s">
        <v>61</v>
      </c>
      <c r="B464" s="101" t="s">
        <v>62</v>
      </c>
      <c r="C464" s="101" t="s">
        <v>63</v>
      </c>
      <c r="D464" s="101">
        <v>2.200408E7</v>
      </c>
      <c r="E464" s="102" t="s">
        <v>386</v>
      </c>
      <c r="F464" s="45">
        <v>45833.0</v>
      </c>
      <c r="G464" s="45">
        <v>45804.0</v>
      </c>
      <c r="H464" s="101" t="s">
        <v>83</v>
      </c>
      <c r="I464" s="101" t="s">
        <v>76</v>
      </c>
      <c r="J464" s="101">
        <v>60.0</v>
      </c>
      <c r="K464" s="65">
        <v>71.6475</v>
      </c>
      <c r="L464" s="65">
        <v>4298.85</v>
      </c>
      <c r="M464" s="103">
        <v>0.2</v>
      </c>
      <c r="N464" s="65">
        <v>859.77</v>
      </c>
      <c r="O464" s="65">
        <v>5158.62</v>
      </c>
      <c r="P464" s="101" t="s">
        <v>79</v>
      </c>
      <c r="Q464" s="65">
        <v>429.885</v>
      </c>
      <c r="R464" s="65">
        <v>5588.505</v>
      </c>
      <c r="S464" s="65">
        <v>3009.195</v>
      </c>
      <c r="T464" s="65">
        <v>2196.78</v>
      </c>
      <c r="U464" s="101" t="s">
        <v>80</v>
      </c>
      <c r="V464" s="45">
        <v>45807.0</v>
      </c>
      <c r="W464" s="65">
        <v>3391.66</v>
      </c>
      <c r="X464" s="101" t="s">
        <v>80</v>
      </c>
      <c r="Y464" s="45">
        <v>45819.0</v>
      </c>
      <c r="Z464" s="65"/>
      <c r="AA464" s="101"/>
      <c r="AB464" s="45"/>
      <c r="AC464" s="65">
        <v>406.36</v>
      </c>
      <c r="AD464" s="101" t="s">
        <v>80</v>
      </c>
      <c r="AE464" s="45">
        <v>45834.0</v>
      </c>
      <c r="AF464" s="102"/>
      <c r="AG464" s="101"/>
      <c r="AH464" s="101"/>
      <c r="AI464" s="102"/>
    </row>
    <row r="465" ht="15.75" customHeight="1">
      <c r="A465" s="101" t="s">
        <v>167</v>
      </c>
      <c r="B465" s="101" t="s">
        <v>62</v>
      </c>
      <c r="C465" s="101" t="s">
        <v>251</v>
      </c>
      <c r="D465" s="101">
        <v>2.2004081E7</v>
      </c>
      <c r="E465" s="102" t="s">
        <v>831</v>
      </c>
      <c r="F465" s="45">
        <v>45844.0</v>
      </c>
      <c r="G465" s="45">
        <v>45804.0</v>
      </c>
      <c r="H465" s="101" t="s">
        <v>73</v>
      </c>
      <c r="I465" s="101" t="s">
        <v>76</v>
      </c>
      <c r="J465" s="101">
        <v>60.0</v>
      </c>
      <c r="K465" s="65">
        <v>132.0766667</v>
      </c>
      <c r="L465" s="65">
        <v>7924.6</v>
      </c>
      <c r="M465" s="103">
        <v>0.2</v>
      </c>
      <c r="N465" s="65">
        <v>1584.92</v>
      </c>
      <c r="O465" s="65">
        <v>9509.52</v>
      </c>
      <c r="P465" s="101" t="s">
        <v>79</v>
      </c>
      <c r="Q465" s="65">
        <v>792.46</v>
      </c>
      <c r="R465" s="65">
        <v>10301.98</v>
      </c>
      <c r="S465" s="65">
        <v>5547.22</v>
      </c>
      <c r="T465" s="65">
        <v>4035.6</v>
      </c>
      <c r="U465" s="101" t="s">
        <v>80</v>
      </c>
      <c r="V465" s="45">
        <v>45806.0</v>
      </c>
      <c r="W465" s="65">
        <v>5477.38</v>
      </c>
      <c r="X465" s="101" t="s">
        <v>80</v>
      </c>
      <c r="Y465" s="45">
        <v>45842.0</v>
      </c>
      <c r="Z465" s="65"/>
      <c r="AA465" s="101"/>
      <c r="AB465" s="45"/>
      <c r="AC465" s="65">
        <v>729.46</v>
      </c>
      <c r="AD465" s="101" t="s">
        <v>80</v>
      </c>
      <c r="AE465" s="45">
        <v>45845.0</v>
      </c>
      <c r="AF465" s="102"/>
      <c r="AG465" s="101"/>
      <c r="AH465" s="101"/>
      <c r="AI465" s="102"/>
    </row>
    <row r="466" ht="15.75" customHeight="1">
      <c r="A466" s="101" t="s">
        <v>61</v>
      </c>
      <c r="B466" s="101" t="s">
        <v>62</v>
      </c>
      <c r="C466" s="101" t="s">
        <v>63</v>
      </c>
      <c r="D466" s="101">
        <v>2.2004082E7</v>
      </c>
      <c r="E466" s="102" t="s">
        <v>833</v>
      </c>
      <c r="F466" s="45">
        <v>45818.0</v>
      </c>
      <c r="G466" s="45">
        <v>45804.0</v>
      </c>
      <c r="H466" s="101" t="s">
        <v>73</v>
      </c>
      <c r="I466" s="101" t="s">
        <v>119</v>
      </c>
      <c r="J466" s="101">
        <v>40.0</v>
      </c>
      <c r="K466" s="65">
        <v>93.5475</v>
      </c>
      <c r="L466" s="65">
        <v>3741.9</v>
      </c>
      <c r="M466" s="103">
        <v>0.2</v>
      </c>
      <c r="N466" s="65">
        <v>748.38</v>
      </c>
      <c r="O466" s="65">
        <v>4490.28</v>
      </c>
      <c r="P466" s="101" t="s">
        <v>79</v>
      </c>
      <c r="Q466" s="65">
        <v>374.19</v>
      </c>
      <c r="R466" s="65">
        <v>4864.47</v>
      </c>
      <c r="S466" s="65">
        <v>2619.33</v>
      </c>
      <c r="T466" s="65"/>
      <c r="U466" s="101"/>
      <c r="V466" s="45"/>
      <c r="W466" s="65"/>
      <c r="X466" s="101"/>
      <c r="Y466" s="45"/>
      <c r="Z466" s="65"/>
      <c r="AA466" s="101"/>
      <c r="AB466" s="45"/>
      <c r="AC466" s="65"/>
      <c r="AD466" s="101"/>
      <c r="AE466" s="45"/>
      <c r="AF466" s="102"/>
      <c r="AG466" s="101"/>
      <c r="AH466" s="101"/>
      <c r="AI466" s="102"/>
    </row>
    <row r="467" ht="15.75" customHeight="1">
      <c r="A467" s="101" t="s">
        <v>167</v>
      </c>
      <c r="B467" s="101" t="s">
        <v>62</v>
      </c>
      <c r="C467" s="101"/>
      <c r="D467" s="101">
        <v>2.2004083E7</v>
      </c>
      <c r="E467" s="102" t="s">
        <v>834</v>
      </c>
      <c r="F467" s="45">
        <v>45804.0</v>
      </c>
      <c r="G467" s="45"/>
      <c r="H467" s="101"/>
      <c r="I467" s="101" t="s">
        <v>76</v>
      </c>
      <c r="J467" s="101">
        <v>1.0</v>
      </c>
      <c r="K467" s="65">
        <v>1001.68</v>
      </c>
      <c r="L467" s="65">
        <v>1001.68</v>
      </c>
      <c r="M467" s="103">
        <v>0.0</v>
      </c>
      <c r="N467" s="65">
        <v>0.0</v>
      </c>
      <c r="O467" s="65">
        <v>1001.68</v>
      </c>
      <c r="P467" s="101" t="s">
        <v>84</v>
      </c>
      <c r="Q467" s="65">
        <v>100.168</v>
      </c>
      <c r="R467" s="65">
        <v>1001.68</v>
      </c>
      <c r="S467" s="65">
        <v>601.008</v>
      </c>
      <c r="T467" s="65"/>
      <c r="U467" s="101"/>
      <c r="V467" s="45"/>
      <c r="W467" s="65"/>
      <c r="X467" s="101"/>
      <c r="Y467" s="45"/>
      <c r="Z467" s="65"/>
      <c r="AA467" s="101"/>
      <c r="AB467" s="45"/>
      <c r="AC467" s="65"/>
      <c r="AD467" s="101"/>
      <c r="AE467" s="45"/>
      <c r="AF467" s="102"/>
      <c r="AG467" s="101"/>
      <c r="AH467" s="101"/>
      <c r="AI467" s="102"/>
    </row>
    <row r="468" ht="15.75" customHeight="1">
      <c r="A468" s="101" t="s">
        <v>61</v>
      </c>
      <c r="B468" s="101" t="s">
        <v>62</v>
      </c>
      <c r="C468" s="101" t="s">
        <v>251</v>
      </c>
      <c r="D468" s="101">
        <v>2.2004084E7</v>
      </c>
      <c r="E468" s="102" t="s">
        <v>835</v>
      </c>
      <c r="F468" s="45">
        <v>45812.0</v>
      </c>
      <c r="G468" s="45">
        <v>45805.0</v>
      </c>
      <c r="H468" s="101" t="s">
        <v>73</v>
      </c>
      <c r="I468" s="101" t="s">
        <v>76</v>
      </c>
      <c r="J468" s="101">
        <v>2.0</v>
      </c>
      <c r="K468" s="65">
        <v>75.0</v>
      </c>
      <c r="L468" s="65">
        <v>150.0</v>
      </c>
      <c r="M468" s="103">
        <v>0.2</v>
      </c>
      <c r="N468" s="65">
        <v>30.0</v>
      </c>
      <c r="O468" s="65">
        <v>180.0</v>
      </c>
      <c r="P468" s="101" t="s">
        <v>84</v>
      </c>
      <c r="Q468" s="65">
        <v>15.0</v>
      </c>
      <c r="R468" s="65">
        <v>180.0</v>
      </c>
      <c r="S468" s="65">
        <v>105.0</v>
      </c>
      <c r="T468" s="65">
        <v>180.0</v>
      </c>
      <c r="U468" s="101" t="s">
        <v>80</v>
      </c>
      <c r="V468" s="45">
        <v>45806.0</v>
      </c>
      <c r="W468" s="65"/>
      <c r="X468" s="101"/>
      <c r="Y468" s="45"/>
      <c r="Z468" s="65"/>
      <c r="AA468" s="101"/>
      <c r="AB468" s="45"/>
      <c r="AC468" s="65"/>
      <c r="AD468" s="101"/>
      <c r="AE468" s="45"/>
      <c r="AF468" s="102"/>
      <c r="AG468" s="101"/>
      <c r="AH468" s="101"/>
      <c r="AI468" s="102"/>
    </row>
    <row r="469" ht="15.75" customHeight="1">
      <c r="A469" s="101" t="s">
        <v>61</v>
      </c>
      <c r="B469" s="101" t="s">
        <v>62</v>
      </c>
      <c r="C469" s="101" t="s">
        <v>63</v>
      </c>
      <c r="D469" s="101">
        <v>2.2004085E7</v>
      </c>
      <c r="E469" s="102" t="s">
        <v>826</v>
      </c>
      <c r="F469" s="45">
        <v>45820.0</v>
      </c>
      <c r="G469" s="45">
        <v>45806.0</v>
      </c>
      <c r="H469" s="101" t="s">
        <v>73</v>
      </c>
      <c r="I469" s="101" t="s">
        <v>76</v>
      </c>
      <c r="J469" s="101">
        <v>60.0</v>
      </c>
      <c r="K469" s="65">
        <v>68.82</v>
      </c>
      <c r="L469" s="65">
        <v>4129.2</v>
      </c>
      <c r="M469" s="103">
        <v>0.2</v>
      </c>
      <c r="N469" s="65">
        <v>825.84</v>
      </c>
      <c r="O469" s="65">
        <v>4955.04</v>
      </c>
      <c r="P469" s="101" t="s">
        <v>79</v>
      </c>
      <c r="Q469" s="65">
        <v>412.92</v>
      </c>
      <c r="R469" s="65">
        <v>5367.96</v>
      </c>
      <c r="S469" s="65">
        <v>2890.44</v>
      </c>
      <c r="T469" s="65">
        <v>5367.96</v>
      </c>
      <c r="U469" s="101" t="s">
        <v>80</v>
      </c>
      <c r="V469" s="45">
        <v>45812.0</v>
      </c>
      <c r="W469" s="65"/>
      <c r="X469" s="101"/>
      <c r="Y469" s="45"/>
      <c r="Z469" s="65"/>
      <c r="AA469" s="101"/>
      <c r="AB469" s="45"/>
      <c r="AC469" s="65">
        <v>624.6</v>
      </c>
      <c r="AD469" s="101" t="s">
        <v>80</v>
      </c>
      <c r="AE469" s="45">
        <v>45821.0</v>
      </c>
      <c r="AF469" s="102"/>
      <c r="AG469" s="101"/>
      <c r="AH469" s="101"/>
      <c r="AI469" s="102"/>
    </row>
    <row r="470" ht="15.75" customHeight="1">
      <c r="A470" s="101" t="s">
        <v>219</v>
      </c>
      <c r="B470" s="101" t="s">
        <v>62</v>
      </c>
      <c r="C470" s="101" t="s">
        <v>63</v>
      </c>
      <c r="D470" s="101">
        <v>2.2004086E7</v>
      </c>
      <c r="E470" s="102" t="s">
        <v>836</v>
      </c>
      <c r="F470" s="45">
        <v>45819.0</v>
      </c>
      <c r="G470" s="45">
        <v>45807.0</v>
      </c>
      <c r="H470" s="101" t="s">
        <v>83</v>
      </c>
      <c r="I470" s="101" t="s">
        <v>76</v>
      </c>
      <c r="J470" s="101">
        <v>15.0</v>
      </c>
      <c r="K470" s="65">
        <v>105.8033333</v>
      </c>
      <c r="L470" s="65">
        <v>1587.05</v>
      </c>
      <c r="M470" s="103">
        <v>0.2</v>
      </c>
      <c r="N470" s="65">
        <v>317.41</v>
      </c>
      <c r="O470" s="65">
        <v>1904.46</v>
      </c>
      <c r="P470" s="101" t="s">
        <v>79</v>
      </c>
      <c r="Q470" s="65">
        <v>158.705</v>
      </c>
      <c r="R470" s="65">
        <v>2063.165</v>
      </c>
      <c r="S470" s="65">
        <v>1110.935</v>
      </c>
      <c r="T470" s="65">
        <v>2063.17</v>
      </c>
      <c r="U470" s="101" t="s">
        <v>85</v>
      </c>
      <c r="V470" s="45"/>
      <c r="W470" s="65"/>
      <c r="X470" s="101"/>
      <c r="Y470" s="45"/>
      <c r="Z470" s="65"/>
      <c r="AA470" s="101"/>
      <c r="AB470" s="45"/>
      <c r="AC470" s="65">
        <v>158.71</v>
      </c>
      <c r="AD470" s="101" t="s">
        <v>85</v>
      </c>
      <c r="AE470" s="45">
        <v>45852.0</v>
      </c>
      <c r="AF470" s="102" t="s">
        <v>837</v>
      </c>
      <c r="AG470" s="101" t="s">
        <v>275</v>
      </c>
      <c r="AH470" s="101">
        <v>7.3929515E7</v>
      </c>
      <c r="AI470" s="102"/>
    </row>
    <row r="471" ht="15.75" customHeight="1">
      <c r="A471" s="101" t="s">
        <v>219</v>
      </c>
      <c r="B471" s="101" t="s">
        <v>62</v>
      </c>
      <c r="C471" s="101" t="s">
        <v>63</v>
      </c>
      <c r="D471" s="101">
        <v>2.2004087E7</v>
      </c>
      <c r="E471" s="102" t="s">
        <v>205</v>
      </c>
      <c r="F471" s="45">
        <v>45825.0</v>
      </c>
      <c r="G471" s="45">
        <v>45811.0</v>
      </c>
      <c r="H471" s="101" t="s">
        <v>83</v>
      </c>
      <c r="I471" s="101" t="s">
        <v>76</v>
      </c>
      <c r="J471" s="101">
        <v>25.0</v>
      </c>
      <c r="K471" s="65">
        <v>78.32</v>
      </c>
      <c r="L471" s="65">
        <v>1958.0</v>
      </c>
      <c r="M471" s="103">
        <v>0.2</v>
      </c>
      <c r="N471" s="65">
        <v>391.6</v>
      </c>
      <c r="O471" s="65">
        <v>2349.6</v>
      </c>
      <c r="P471" s="101" t="s">
        <v>79</v>
      </c>
      <c r="Q471" s="65">
        <v>195.8</v>
      </c>
      <c r="R471" s="65">
        <v>2545.4</v>
      </c>
      <c r="S471" s="65">
        <v>1370.6</v>
      </c>
      <c r="T471" s="65">
        <v>2545.4</v>
      </c>
      <c r="U471" s="101" t="s">
        <v>85</v>
      </c>
      <c r="V471" s="45">
        <v>45814.0</v>
      </c>
      <c r="W471" s="65"/>
      <c r="X471" s="101"/>
      <c r="Y471" s="45"/>
      <c r="Z471" s="65"/>
      <c r="AA471" s="101"/>
      <c r="AB471" s="45"/>
      <c r="AC471" s="65">
        <v>195.8</v>
      </c>
      <c r="AD471" s="101" t="s">
        <v>85</v>
      </c>
      <c r="AE471" s="45">
        <v>45846.0</v>
      </c>
      <c r="AF471" s="102" t="s">
        <v>825</v>
      </c>
      <c r="AG471" s="101" t="s">
        <v>472</v>
      </c>
      <c r="AH471" s="101">
        <v>2.0527322E7</v>
      </c>
      <c r="AI471" s="102"/>
    </row>
    <row r="472" ht="15.75" customHeight="1">
      <c r="A472" s="101" t="s">
        <v>61</v>
      </c>
      <c r="B472" s="101" t="s">
        <v>62</v>
      </c>
      <c r="C472" s="101" t="s">
        <v>63</v>
      </c>
      <c r="D472" s="101">
        <v>2.2004088E7</v>
      </c>
      <c r="E472" s="102" t="s">
        <v>838</v>
      </c>
      <c r="F472" s="45">
        <v>45826.0</v>
      </c>
      <c r="G472" s="45">
        <v>45817.0</v>
      </c>
      <c r="H472" s="101" t="s">
        <v>83</v>
      </c>
      <c r="I472" s="101" t="s">
        <v>119</v>
      </c>
      <c r="J472" s="101">
        <v>20.0</v>
      </c>
      <c r="K472" s="65">
        <v>41.675</v>
      </c>
      <c r="L472" s="65">
        <v>833.5</v>
      </c>
      <c r="M472" s="103">
        <v>0.2</v>
      </c>
      <c r="N472" s="65">
        <v>166.7</v>
      </c>
      <c r="O472" s="65">
        <v>1000.2</v>
      </c>
      <c r="P472" s="101" t="s">
        <v>84</v>
      </c>
      <c r="Q472" s="65">
        <v>83.35</v>
      </c>
      <c r="R472" s="65">
        <v>1000.2</v>
      </c>
      <c r="S472" s="65">
        <v>583.45</v>
      </c>
      <c r="T472" s="65">
        <v>1000.2</v>
      </c>
      <c r="U472" s="101" t="s">
        <v>80</v>
      </c>
      <c r="V472" s="45">
        <v>45819.0</v>
      </c>
      <c r="W472" s="65"/>
      <c r="X472" s="101"/>
      <c r="Y472" s="45"/>
      <c r="Z472" s="65"/>
      <c r="AA472" s="101"/>
      <c r="AB472" s="45"/>
      <c r="AC472" s="65">
        <v>1000.2</v>
      </c>
      <c r="AD472" s="101" t="s">
        <v>80</v>
      </c>
      <c r="AE472" s="45"/>
      <c r="AF472" s="102"/>
      <c r="AG472" s="101"/>
      <c r="AH472" s="101"/>
      <c r="AI472" s="102"/>
    </row>
    <row r="473" ht="15.75" customHeight="1">
      <c r="A473" s="101" t="s">
        <v>61</v>
      </c>
      <c r="B473" s="101" t="s">
        <v>62</v>
      </c>
      <c r="C473" s="101" t="s">
        <v>63</v>
      </c>
      <c r="D473" s="101">
        <v>2.2004089E7</v>
      </c>
      <c r="E473" s="102" t="s">
        <v>839</v>
      </c>
      <c r="F473" s="45">
        <v>45826.0</v>
      </c>
      <c r="G473" s="45">
        <v>45817.0</v>
      </c>
      <c r="H473" s="101" t="s">
        <v>83</v>
      </c>
      <c r="I473" s="101" t="s">
        <v>76</v>
      </c>
      <c r="J473" s="101">
        <v>200.0</v>
      </c>
      <c r="K473" s="65">
        <v>67.349</v>
      </c>
      <c r="L473" s="65">
        <v>13469.8</v>
      </c>
      <c r="M473" s="103">
        <v>0.2</v>
      </c>
      <c r="N473" s="65">
        <v>2693.96</v>
      </c>
      <c r="O473" s="65">
        <v>16163.76</v>
      </c>
      <c r="P473" s="101" t="s">
        <v>84</v>
      </c>
      <c r="Q473" s="65">
        <v>1346.98</v>
      </c>
      <c r="R473" s="65">
        <v>16163.76</v>
      </c>
      <c r="S473" s="65">
        <v>9428.86</v>
      </c>
      <c r="T473" s="65">
        <v>16163.76</v>
      </c>
      <c r="U473" s="101" t="s">
        <v>80</v>
      </c>
      <c r="V473" s="45">
        <v>45819.0</v>
      </c>
      <c r="W473" s="65">
        <v>1099.44</v>
      </c>
      <c r="X473" s="101" t="s">
        <v>80</v>
      </c>
      <c r="Y473" s="45">
        <v>45840.0</v>
      </c>
      <c r="Z473" s="65"/>
      <c r="AA473" s="101"/>
      <c r="AB473" s="45"/>
      <c r="AC473" s="65">
        <v>84.7</v>
      </c>
      <c r="AD473" s="101" t="s">
        <v>80</v>
      </c>
      <c r="AE473" s="45">
        <v>45848.0</v>
      </c>
      <c r="AF473" s="102"/>
      <c r="AG473" s="101"/>
      <c r="AH473" s="101"/>
      <c r="AI473" s="102"/>
    </row>
    <row r="474" ht="15.75" customHeight="1">
      <c r="A474" s="101" t="s">
        <v>61</v>
      </c>
      <c r="B474" s="101" t="s">
        <v>62</v>
      </c>
      <c r="C474" s="101" t="s">
        <v>251</v>
      </c>
      <c r="D474" s="101">
        <v>2.200409E7</v>
      </c>
      <c r="E474" s="102" t="s">
        <v>840</v>
      </c>
      <c r="F474" s="45">
        <v>45841.0</v>
      </c>
      <c r="G474" s="45">
        <v>45818.0</v>
      </c>
      <c r="H474" s="101" t="s">
        <v>73</v>
      </c>
      <c r="I474" s="101" t="s">
        <v>119</v>
      </c>
      <c r="J474" s="101">
        <v>60.0</v>
      </c>
      <c r="K474" s="65">
        <v>101.4833333</v>
      </c>
      <c r="L474" s="65">
        <v>6089.0</v>
      </c>
      <c r="M474" s="103">
        <v>0.2</v>
      </c>
      <c r="N474" s="65">
        <v>1217.8</v>
      </c>
      <c r="O474" s="65">
        <v>7306.8</v>
      </c>
      <c r="P474" s="101" t="s">
        <v>79</v>
      </c>
      <c r="Q474" s="65">
        <v>608.9</v>
      </c>
      <c r="R474" s="65">
        <v>7915.7</v>
      </c>
      <c r="S474" s="65">
        <v>4262.3</v>
      </c>
      <c r="T474" s="65"/>
      <c r="U474" s="101"/>
      <c r="V474" s="45"/>
      <c r="W474" s="65"/>
      <c r="X474" s="101"/>
      <c r="Y474" s="45"/>
      <c r="Z474" s="65"/>
      <c r="AA474" s="101"/>
      <c r="AB474" s="45"/>
      <c r="AC474" s="65"/>
      <c r="AD474" s="101"/>
      <c r="AE474" s="45"/>
      <c r="AF474" s="102"/>
      <c r="AG474" s="101"/>
      <c r="AH474" s="101"/>
      <c r="AI474" s="102"/>
    </row>
    <row r="475" ht="15.75" customHeight="1">
      <c r="A475" s="101" t="s">
        <v>61</v>
      </c>
      <c r="B475" s="101" t="s">
        <v>62</v>
      </c>
      <c r="C475" s="101" t="s">
        <v>63</v>
      </c>
      <c r="D475" s="101">
        <v>2.2004091E7</v>
      </c>
      <c r="E475" s="102" t="s">
        <v>841</v>
      </c>
      <c r="F475" s="45">
        <v>45841.0</v>
      </c>
      <c r="G475" s="45">
        <v>45818.0</v>
      </c>
      <c r="H475" s="101" t="s">
        <v>83</v>
      </c>
      <c r="I475" s="101" t="s">
        <v>76</v>
      </c>
      <c r="J475" s="101">
        <v>70.0</v>
      </c>
      <c r="K475" s="65">
        <v>28.41428571</v>
      </c>
      <c r="L475" s="65">
        <v>1989.0</v>
      </c>
      <c r="M475" s="103">
        <v>0.2</v>
      </c>
      <c r="N475" s="65">
        <v>397.8</v>
      </c>
      <c r="O475" s="65">
        <v>2386.8</v>
      </c>
      <c r="P475" s="101" t="s">
        <v>84</v>
      </c>
      <c r="Q475" s="65">
        <v>198.9</v>
      </c>
      <c r="R475" s="65">
        <v>2386.8</v>
      </c>
      <c r="S475" s="65">
        <v>1392.3</v>
      </c>
      <c r="T475" s="65">
        <v>2394.35</v>
      </c>
      <c r="U475" s="101" t="s">
        <v>85</v>
      </c>
      <c r="V475" s="45"/>
      <c r="W475" s="65"/>
      <c r="X475" s="101"/>
      <c r="Y475" s="45"/>
      <c r="Z475" s="65"/>
      <c r="AA475" s="101"/>
      <c r="AB475" s="45"/>
      <c r="AC475" s="65">
        <v>7.55</v>
      </c>
      <c r="AD475" s="101"/>
      <c r="AE475" s="45"/>
      <c r="AF475" s="102"/>
      <c r="AG475" s="101"/>
      <c r="AH475" s="101"/>
      <c r="AI475" s="102"/>
    </row>
    <row r="476" ht="15.75" customHeight="1">
      <c r="A476" s="101" t="s">
        <v>61</v>
      </c>
      <c r="B476" s="101" t="s">
        <v>62</v>
      </c>
      <c r="C476" s="101" t="s">
        <v>251</v>
      </c>
      <c r="D476" s="101">
        <v>2.2004092E7</v>
      </c>
      <c r="E476" s="102" t="s">
        <v>842</v>
      </c>
      <c r="F476" s="45">
        <v>45836.0</v>
      </c>
      <c r="G476" s="45">
        <v>45821.0</v>
      </c>
      <c r="H476" s="101" t="s">
        <v>73</v>
      </c>
      <c r="I476" s="101" t="s">
        <v>76</v>
      </c>
      <c r="J476" s="101">
        <v>40.0</v>
      </c>
      <c r="K476" s="65">
        <v>36.2375</v>
      </c>
      <c r="L476" s="65">
        <v>1449.5</v>
      </c>
      <c r="M476" s="103">
        <v>0.2</v>
      </c>
      <c r="N476" s="65">
        <v>289.9</v>
      </c>
      <c r="O476" s="65">
        <v>1739.4</v>
      </c>
      <c r="P476" s="101" t="s">
        <v>79</v>
      </c>
      <c r="Q476" s="65">
        <v>144.95</v>
      </c>
      <c r="R476" s="65">
        <v>1884.35</v>
      </c>
      <c r="S476" s="65">
        <v>1014.65</v>
      </c>
      <c r="T476" s="65">
        <v>1884.35</v>
      </c>
      <c r="U476" s="101"/>
      <c r="V476" s="45">
        <v>45827.0</v>
      </c>
      <c r="W476" s="65"/>
      <c r="X476" s="101"/>
      <c r="Y476" s="45"/>
      <c r="Z476" s="65"/>
      <c r="AA476" s="101"/>
      <c r="AB476" s="45"/>
      <c r="AC476" s="65">
        <v>163.55</v>
      </c>
      <c r="AD476" s="101" t="s">
        <v>80</v>
      </c>
      <c r="AE476" s="45">
        <v>45839.0</v>
      </c>
      <c r="AF476" s="102"/>
      <c r="AG476" s="101"/>
      <c r="AH476" s="101"/>
      <c r="AI476" s="102"/>
    </row>
    <row r="477" ht="15.75" customHeight="1">
      <c r="A477" s="101" t="s">
        <v>61</v>
      </c>
      <c r="B477" s="101" t="s">
        <v>62</v>
      </c>
      <c r="C477" s="101" t="s">
        <v>63</v>
      </c>
      <c r="D477" s="101">
        <v>2.2004093E7</v>
      </c>
      <c r="E477" s="102" t="s">
        <v>843</v>
      </c>
      <c r="F477" s="45">
        <v>45840.0</v>
      </c>
      <c r="G477" s="45">
        <v>45821.0</v>
      </c>
      <c r="H477" s="101" t="s">
        <v>73</v>
      </c>
      <c r="I477" s="101" t="s">
        <v>76</v>
      </c>
      <c r="J477" s="101">
        <v>100.0</v>
      </c>
      <c r="K477" s="65">
        <v>21.51</v>
      </c>
      <c r="L477" s="65">
        <v>2151.0</v>
      </c>
      <c r="M477" s="103">
        <v>0.2</v>
      </c>
      <c r="N477" s="65">
        <v>430.2</v>
      </c>
      <c r="O477" s="65">
        <v>2581.2</v>
      </c>
      <c r="P477" s="101" t="s">
        <v>79</v>
      </c>
      <c r="Q477" s="65">
        <v>215.1</v>
      </c>
      <c r="R477" s="65">
        <v>2796.3</v>
      </c>
      <c r="S477" s="65">
        <v>1505.7</v>
      </c>
      <c r="T477" s="65">
        <v>2796.3</v>
      </c>
      <c r="U477" s="101" t="s">
        <v>85</v>
      </c>
      <c r="V477" s="45">
        <v>45834.0</v>
      </c>
      <c r="W477" s="65"/>
      <c r="X477" s="101"/>
      <c r="Y477" s="45"/>
      <c r="Z477" s="65"/>
      <c r="AA477" s="101"/>
      <c r="AB477" s="45"/>
      <c r="AC477" s="65">
        <v>167.58</v>
      </c>
      <c r="AD477" s="101" t="s">
        <v>85</v>
      </c>
      <c r="AE477" s="45"/>
      <c r="AF477" s="102" t="s">
        <v>439</v>
      </c>
      <c r="AG477" s="101"/>
      <c r="AH477" s="101"/>
      <c r="AI477" s="102"/>
    </row>
    <row r="478" ht="15.75" customHeight="1">
      <c r="A478" s="101" t="s">
        <v>61</v>
      </c>
      <c r="B478" s="101" t="s">
        <v>62</v>
      </c>
      <c r="C478" s="101" t="s">
        <v>63</v>
      </c>
      <c r="D478" s="101">
        <v>2.2004094E7</v>
      </c>
      <c r="E478" s="102" t="s">
        <v>844</v>
      </c>
      <c r="F478" s="45">
        <v>45832.0</v>
      </c>
      <c r="G478" s="45">
        <v>45821.0</v>
      </c>
      <c r="H478" s="101" t="s">
        <v>73</v>
      </c>
      <c r="I478" s="101" t="s">
        <v>76</v>
      </c>
      <c r="J478" s="101">
        <v>200.0</v>
      </c>
      <c r="K478" s="65">
        <v>12.47</v>
      </c>
      <c r="L478" s="65">
        <v>2494.0</v>
      </c>
      <c r="M478" s="103">
        <v>0.2</v>
      </c>
      <c r="N478" s="65">
        <v>498.8</v>
      </c>
      <c r="O478" s="65">
        <v>2992.8</v>
      </c>
      <c r="P478" s="101" t="s">
        <v>84</v>
      </c>
      <c r="Q478" s="65">
        <v>249.4</v>
      </c>
      <c r="R478" s="65">
        <v>2992.8</v>
      </c>
      <c r="S478" s="65">
        <v>1745.8</v>
      </c>
      <c r="T478" s="65">
        <v>2992.8</v>
      </c>
      <c r="U478" s="101" t="s">
        <v>85</v>
      </c>
      <c r="V478" s="45">
        <v>45828.0</v>
      </c>
      <c r="W478" s="65"/>
      <c r="X478" s="101"/>
      <c r="Y478" s="45"/>
      <c r="Z478" s="65"/>
      <c r="AA478" s="101"/>
      <c r="AB478" s="45"/>
      <c r="AC478" s="65"/>
      <c r="AD478" s="101"/>
      <c r="AE478" s="45"/>
      <c r="AF478" s="102"/>
      <c r="AG478" s="101"/>
      <c r="AH478" s="101"/>
      <c r="AI478" s="102"/>
    </row>
    <row r="479" ht="15.75" customHeight="1">
      <c r="A479" s="101" t="s">
        <v>61</v>
      </c>
      <c r="B479" s="101" t="s">
        <v>62</v>
      </c>
      <c r="C479" s="101" t="s">
        <v>63</v>
      </c>
      <c r="D479" s="101">
        <v>2.2004095E7</v>
      </c>
      <c r="E479" s="102" t="s">
        <v>845</v>
      </c>
      <c r="F479" s="45">
        <v>45832.0</v>
      </c>
      <c r="G479" s="45">
        <v>45824.0</v>
      </c>
      <c r="H479" s="101" t="s">
        <v>83</v>
      </c>
      <c r="I479" s="101" t="s">
        <v>76</v>
      </c>
      <c r="J479" s="101">
        <v>150.0</v>
      </c>
      <c r="K479" s="65">
        <v>6.5</v>
      </c>
      <c r="L479" s="65">
        <v>975.0</v>
      </c>
      <c r="M479" s="103">
        <v>0.2</v>
      </c>
      <c r="N479" s="65">
        <v>195.0</v>
      </c>
      <c r="O479" s="65">
        <v>1170.0</v>
      </c>
      <c r="P479" s="101" t="s">
        <v>84</v>
      </c>
      <c r="Q479" s="65">
        <v>97.5</v>
      </c>
      <c r="R479" s="65">
        <v>1170.0</v>
      </c>
      <c r="S479" s="65">
        <v>682.5</v>
      </c>
      <c r="T479" s="65">
        <v>1170.0</v>
      </c>
      <c r="U479" s="101" t="s">
        <v>80</v>
      </c>
      <c r="V479" s="45">
        <v>45827.0</v>
      </c>
      <c r="W479" s="65"/>
      <c r="X479" s="101"/>
      <c r="Y479" s="45"/>
      <c r="Z479" s="65"/>
      <c r="AA479" s="101"/>
      <c r="AB479" s="45"/>
      <c r="AC479" s="65"/>
      <c r="AD479" s="101"/>
      <c r="AE479" s="45"/>
      <c r="AF479" s="102"/>
      <c r="AG479" s="101"/>
      <c r="AH479" s="101"/>
      <c r="AI479" s="102"/>
    </row>
    <row r="480" ht="15.75" customHeight="1">
      <c r="A480" s="101" t="s">
        <v>61</v>
      </c>
      <c r="B480" s="101" t="s">
        <v>62</v>
      </c>
      <c r="C480" s="101" t="s">
        <v>251</v>
      </c>
      <c r="D480" s="101">
        <v>2.2004096E7</v>
      </c>
      <c r="E480" s="102" t="s">
        <v>846</v>
      </c>
      <c r="F480" s="45">
        <v>45865.0</v>
      </c>
      <c r="G480" s="45">
        <v>45825.0</v>
      </c>
      <c r="H480" s="101" t="s">
        <v>73</v>
      </c>
      <c r="I480" s="101" t="s">
        <v>76</v>
      </c>
      <c r="J480" s="101">
        <v>23.0</v>
      </c>
      <c r="K480" s="65">
        <v>38.50434783</v>
      </c>
      <c r="L480" s="65">
        <v>885.6</v>
      </c>
      <c r="M480" s="103">
        <v>0.2</v>
      </c>
      <c r="N480" s="65">
        <v>177.12</v>
      </c>
      <c r="O480" s="65">
        <v>1062.72</v>
      </c>
      <c r="P480" s="101" t="s">
        <v>79</v>
      </c>
      <c r="Q480" s="65">
        <v>88.56</v>
      </c>
      <c r="R480" s="65">
        <v>1151.28</v>
      </c>
      <c r="S480" s="65">
        <v>619.92</v>
      </c>
      <c r="T480" s="65">
        <v>1062.72</v>
      </c>
      <c r="U480" s="101" t="s">
        <v>85</v>
      </c>
      <c r="V480" s="45">
        <v>45832.0</v>
      </c>
      <c r="W480" s="65"/>
      <c r="X480" s="101"/>
      <c r="Y480" s="45"/>
      <c r="Z480" s="65"/>
      <c r="AA480" s="101"/>
      <c r="AB480" s="45"/>
      <c r="AC480" s="65"/>
      <c r="AD480" s="101"/>
      <c r="AE480" s="45"/>
      <c r="AF480" s="102"/>
      <c r="AG480" s="101"/>
      <c r="AH480" s="101"/>
      <c r="AI480" s="102"/>
    </row>
    <row r="481" ht="15.75" customHeight="1">
      <c r="A481" s="101" t="s">
        <v>61</v>
      </c>
      <c r="B481" s="101" t="s">
        <v>62</v>
      </c>
      <c r="C481" s="101" t="s">
        <v>63</v>
      </c>
      <c r="D481" s="101">
        <v>2.2004097E7</v>
      </c>
      <c r="E481" s="102" t="s">
        <v>755</v>
      </c>
      <c r="F481" s="45">
        <v>45828.0</v>
      </c>
      <c r="G481" s="45">
        <v>45825.0</v>
      </c>
      <c r="H481" s="101" t="s">
        <v>83</v>
      </c>
      <c r="I481" s="101" t="s">
        <v>76</v>
      </c>
      <c r="J481" s="101">
        <v>15.0</v>
      </c>
      <c r="K481" s="65">
        <v>36.622</v>
      </c>
      <c r="L481" s="65">
        <v>549.33</v>
      </c>
      <c r="M481" s="103">
        <v>0.2</v>
      </c>
      <c r="N481" s="65">
        <v>109.866</v>
      </c>
      <c r="O481" s="65">
        <v>659.196</v>
      </c>
      <c r="P481" s="101" t="s">
        <v>84</v>
      </c>
      <c r="Q481" s="65">
        <v>54.933</v>
      </c>
      <c r="R481" s="65">
        <v>659.196</v>
      </c>
      <c r="S481" s="65">
        <v>384.531</v>
      </c>
      <c r="T481" s="65">
        <v>659.1</v>
      </c>
      <c r="U481" s="101"/>
      <c r="V481" s="45"/>
      <c r="W481" s="65"/>
      <c r="X481" s="101"/>
      <c r="Y481" s="45"/>
      <c r="Z481" s="65"/>
      <c r="AA481" s="101"/>
      <c r="AB481" s="45"/>
      <c r="AC481" s="65"/>
      <c r="AD481" s="101"/>
      <c r="AE481" s="45"/>
      <c r="AF481" s="102" t="s">
        <v>848</v>
      </c>
      <c r="AG481" s="101"/>
      <c r="AH481" s="101"/>
      <c r="AI481" s="102"/>
    </row>
    <row r="482" ht="15.75" customHeight="1">
      <c r="A482" s="101" t="s">
        <v>61</v>
      </c>
      <c r="B482" s="101" t="s">
        <v>62</v>
      </c>
      <c r="C482" s="101" t="s">
        <v>251</v>
      </c>
      <c r="D482" s="101">
        <v>2.2004098E7</v>
      </c>
      <c r="E482" s="102" t="s">
        <v>849</v>
      </c>
      <c r="F482" s="45">
        <v>45899.0</v>
      </c>
      <c r="G482" s="45">
        <v>45825.0</v>
      </c>
      <c r="H482" s="101" t="s">
        <v>73</v>
      </c>
      <c r="I482" s="101" t="s">
        <v>76</v>
      </c>
      <c r="J482" s="101">
        <v>50.0</v>
      </c>
      <c r="K482" s="65">
        <v>73.04</v>
      </c>
      <c r="L482" s="65">
        <v>3652.0</v>
      </c>
      <c r="M482" s="103">
        <v>0.2</v>
      </c>
      <c r="N482" s="65">
        <v>730.4</v>
      </c>
      <c r="O482" s="65">
        <v>4382.4</v>
      </c>
      <c r="P482" s="101" t="s">
        <v>79</v>
      </c>
      <c r="Q482" s="65">
        <v>365.2</v>
      </c>
      <c r="R482" s="65">
        <v>4747.6</v>
      </c>
      <c r="S482" s="65">
        <v>2556.4</v>
      </c>
      <c r="T482" s="65">
        <v>4552.6</v>
      </c>
      <c r="U482" s="101" t="s">
        <v>80</v>
      </c>
      <c r="V482" s="45">
        <v>45894.0</v>
      </c>
      <c r="W482" s="65"/>
      <c r="X482" s="101"/>
      <c r="Y482" s="45"/>
      <c r="Z482" s="65"/>
      <c r="AA482" s="101"/>
      <c r="AB482" s="45"/>
      <c r="AC482" s="65">
        <v>25.6</v>
      </c>
      <c r="AD482" s="101" t="s">
        <v>80</v>
      </c>
      <c r="AE482" s="45">
        <v>45901.0</v>
      </c>
      <c r="AF482" s="102"/>
      <c r="AG482" s="101"/>
      <c r="AH482" s="101"/>
      <c r="AI482" s="102"/>
    </row>
    <row r="483" ht="15.75" customHeight="1">
      <c r="A483" s="101" t="s">
        <v>61</v>
      </c>
      <c r="B483" s="101" t="s">
        <v>62</v>
      </c>
      <c r="C483" s="101" t="s">
        <v>251</v>
      </c>
      <c r="D483" s="101">
        <v>2.2004099E7</v>
      </c>
      <c r="E483" s="102" t="s">
        <v>850</v>
      </c>
      <c r="F483" s="45">
        <v>45856.0</v>
      </c>
      <c r="G483" s="45">
        <v>45832.0</v>
      </c>
      <c r="H483" s="101" t="s">
        <v>83</v>
      </c>
      <c r="I483" s="101" t="s">
        <v>76</v>
      </c>
      <c r="J483" s="101">
        <v>3.0</v>
      </c>
      <c r="K483" s="65">
        <v>85.66666667</v>
      </c>
      <c r="L483" s="65">
        <v>257.0</v>
      </c>
      <c r="M483" s="103">
        <v>0.2</v>
      </c>
      <c r="N483" s="65">
        <v>51.4</v>
      </c>
      <c r="O483" s="65">
        <v>308.4</v>
      </c>
      <c r="P483" s="101" t="s">
        <v>84</v>
      </c>
      <c r="Q483" s="65">
        <v>25.7</v>
      </c>
      <c r="R483" s="65">
        <v>308.4</v>
      </c>
      <c r="S483" s="65">
        <v>179.9</v>
      </c>
      <c r="T483" s="65">
        <v>308.4</v>
      </c>
      <c r="U483" s="101" t="s">
        <v>80</v>
      </c>
      <c r="V483" s="45">
        <v>45835.0</v>
      </c>
      <c r="W483" s="65"/>
      <c r="X483" s="101"/>
      <c r="Y483" s="45"/>
      <c r="Z483" s="65"/>
      <c r="AA483" s="101"/>
      <c r="AB483" s="45"/>
      <c r="AC483" s="65"/>
      <c r="AD483" s="101"/>
      <c r="AE483" s="45"/>
      <c r="AF483" s="102"/>
      <c r="AG483" s="101"/>
      <c r="AH483" s="101"/>
      <c r="AI483" s="102"/>
    </row>
    <row r="484" ht="15.75" customHeight="1">
      <c r="A484" s="101" t="s">
        <v>219</v>
      </c>
      <c r="B484" s="101" t="s">
        <v>62</v>
      </c>
      <c r="C484" s="101" t="s">
        <v>63</v>
      </c>
      <c r="D484" s="101">
        <v>2.20041E7</v>
      </c>
      <c r="E484" s="102" t="s">
        <v>751</v>
      </c>
      <c r="F484" s="45">
        <v>45860.0</v>
      </c>
      <c r="G484" s="45">
        <v>45833.0</v>
      </c>
      <c r="H484" s="101" t="s">
        <v>83</v>
      </c>
      <c r="I484" s="101" t="s">
        <v>76</v>
      </c>
      <c r="J484" s="101">
        <v>28.0</v>
      </c>
      <c r="K484" s="65">
        <v>88.56428571</v>
      </c>
      <c r="L484" s="65">
        <v>2479.8</v>
      </c>
      <c r="M484" s="103">
        <v>0.2</v>
      </c>
      <c r="N484" s="65">
        <v>495.96</v>
      </c>
      <c r="O484" s="65">
        <v>2975.76</v>
      </c>
      <c r="P484" s="101" t="s">
        <v>79</v>
      </c>
      <c r="Q484" s="65">
        <v>247.98</v>
      </c>
      <c r="R484" s="65">
        <v>3223.74</v>
      </c>
      <c r="S484" s="65">
        <v>1735.86</v>
      </c>
      <c r="T484" s="65">
        <v>3223.74</v>
      </c>
      <c r="U484" s="101" t="s">
        <v>80</v>
      </c>
      <c r="V484" s="45">
        <v>45845.0</v>
      </c>
      <c r="W484" s="65"/>
      <c r="X484" s="101"/>
      <c r="Y484" s="45"/>
      <c r="Z484" s="65"/>
      <c r="AA484" s="101"/>
      <c r="AB484" s="45"/>
      <c r="AC484" s="65">
        <v>247.98</v>
      </c>
      <c r="AD484" s="101" t="s">
        <v>85</v>
      </c>
      <c r="AE484" s="45">
        <v>45898.0</v>
      </c>
      <c r="AF484" s="102" t="s">
        <v>851</v>
      </c>
      <c r="AG484" s="101" t="s">
        <v>852</v>
      </c>
      <c r="AH484" s="101">
        <v>9.3296458E7</v>
      </c>
      <c r="AI484" s="102"/>
    </row>
    <row r="485" ht="15.75" customHeight="1">
      <c r="A485" s="101" t="s">
        <v>61</v>
      </c>
      <c r="B485" s="101" t="s">
        <v>62</v>
      </c>
      <c r="C485" s="101" t="s">
        <v>63</v>
      </c>
      <c r="D485" s="101">
        <v>2.2004101E7</v>
      </c>
      <c r="E485" s="102" t="s">
        <v>853</v>
      </c>
      <c r="F485" s="45">
        <v>45841.0</v>
      </c>
      <c r="G485" s="45">
        <v>45839.0</v>
      </c>
      <c r="H485" s="101" t="s">
        <v>83</v>
      </c>
      <c r="I485" s="101" t="s">
        <v>76</v>
      </c>
      <c r="J485" s="101">
        <v>45.0</v>
      </c>
      <c r="K485" s="65">
        <v>21.11111111</v>
      </c>
      <c r="L485" s="65">
        <v>950.0</v>
      </c>
      <c r="M485" s="103">
        <v>0.2</v>
      </c>
      <c r="N485" s="65">
        <v>190.0</v>
      </c>
      <c r="O485" s="65">
        <v>1140.0</v>
      </c>
      <c r="P485" s="101" t="s">
        <v>84</v>
      </c>
      <c r="Q485" s="65">
        <v>95.0</v>
      </c>
      <c r="R485" s="65">
        <v>1140.0</v>
      </c>
      <c r="S485" s="65">
        <v>665.0</v>
      </c>
      <c r="T485" s="65"/>
      <c r="U485" s="101"/>
      <c r="V485" s="45"/>
      <c r="W485" s="65"/>
      <c r="X485" s="101"/>
      <c r="Y485" s="45"/>
      <c r="Z485" s="65"/>
      <c r="AA485" s="101"/>
      <c r="AB485" s="45"/>
      <c r="AC485" s="65"/>
      <c r="AD485" s="101"/>
      <c r="AE485" s="45"/>
      <c r="AF485" s="102"/>
      <c r="AG485" s="101"/>
      <c r="AH485" s="101"/>
      <c r="AI485" s="102"/>
    </row>
    <row r="486" ht="15.75" customHeight="1">
      <c r="A486" s="101" t="s">
        <v>61</v>
      </c>
      <c r="B486" s="101" t="s">
        <v>62</v>
      </c>
      <c r="C486" s="101" t="s">
        <v>63</v>
      </c>
      <c r="D486" s="101">
        <v>2.2004102E7</v>
      </c>
      <c r="E486" s="102" t="s">
        <v>854</v>
      </c>
      <c r="F486" s="45">
        <v>45845.0</v>
      </c>
      <c r="G486" s="45">
        <v>45840.0</v>
      </c>
      <c r="H486" s="101" t="s">
        <v>73</v>
      </c>
      <c r="I486" s="101" t="s">
        <v>76</v>
      </c>
      <c r="J486" s="101">
        <v>20.0</v>
      </c>
      <c r="K486" s="65">
        <v>65.1</v>
      </c>
      <c r="L486" s="65">
        <v>1302.0</v>
      </c>
      <c r="M486" s="103">
        <v>0.2</v>
      </c>
      <c r="N486" s="65">
        <v>260.4</v>
      </c>
      <c r="O486" s="65">
        <v>1562.4</v>
      </c>
      <c r="P486" s="101" t="s">
        <v>84</v>
      </c>
      <c r="Q486" s="65">
        <v>130.2</v>
      </c>
      <c r="R486" s="65">
        <v>1562.4</v>
      </c>
      <c r="S486" s="65">
        <v>911.4</v>
      </c>
      <c r="T486" s="65">
        <v>1562.4</v>
      </c>
      <c r="U486" s="101" t="s">
        <v>80</v>
      </c>
      <c r="V486" s="45">
        <v>45840.0</v>
      </c>
      <c r="W486" s="65"/>
      <c r="X486" s="101"/>
      <c r="Y486" s="45"/>
      <c r="Z486" s="65"/>
      <c r="AA486" s="101"/>
      <c r="AB486" s="45"/>
      <c r="AC486" s="65"/>
      <c r="AD486" s="101"/>
      <c r="AE486" s="45"/>
      <c r="AF486" s="102"/>
      <c r="AG486" s="101"/>
      <c r="AH486" s="101"/>
      <c r="AI486" s="102"/>
    </row>
    <row r="487" ht="15.75" customHeight="1">
      <c r="A487" s="101" t="s">
        <v>61</v>
      </c>
      <c r="B487" s="101" t="s">
        <v>62</v>
      </c>
      <c r="C487" s="101" t="s">
        <v>278</v>
      </c>
      <c r="D487" s="101">
        <v>2.2004103E7</v>
      </c>
      <c r="E487" s="102" t="s">
        <v>855</v>
      </c>
      <c r="F487" s="45">
        <v>45906.0</v>
      </c>
      <c r="G487" s="45">
        <v>45840.0</v>
      </c>
      <c r="H487" s="101" t="s">
        <v>83</v>
      </c>
      <c r="I487" s="101" t="s">
        <v>76</v>
      </c>
      <c r="J487" s="101">
        <v>2.0</v>
      </c>
      <c r="K487" s="65">
        <v>250.0</v>
      </c>
      <c r="L487" s="65">
        <v>500.0</v>
      </c>
      <c r="M487" s="103">
        <v>0.0</v>
      </c>
      <c r="N487" s="65">
        <v>0.0</v>
      </c>
      <c r="O487" s="65">
        <v>500.0</v>
      </c>
      <c r="P487" s="101" t="s">
        <v>84</v>
      </c>
      <c r="Q487" s="65">
        <v>50.0</v>
      </c>
      <c r="R487" s="65">
        <v>500.0</v>
      </c>
      <c r="S487" s="65">
        <v>300.0</v>
      </c>
      <c r="T487" s="65">
        <v>500.0</v>
      </c>
      <c r="U487" s="101" t="s">
        <v>80</v>
      </c>
      <c r="V487" s="45">
        <v>45855.0</v>
      </c>
      <c r="W487" s="65"/>
      <c r="X487" s="101"/>
      <c r="Y487" s="45"/>
      <c r="Z487" s="65"/>
      <c r="AA487" s="101"/>
      <c r="AB487" s="45"/>
      <c r="AC487" s="65"/>
      <c r="AD487" s="101"/>
      <c r="AE487" s="45"/>
      <c r="AF487" s="102"/>
      <c r="AG487" s="101"/>
      <c r="AH487" s="101"/>
      <c r="AI487" s="102"/>
    </row>
    <row r="488" ht="15.75" customHeight="1">
      <c r="A488" s="101" t="s">
        <v>61</v>
      </c>
      <c r="B488" s="101" t="s">
        <v>62</v>
      </c>
      <c r="C488" s="101" t="s">
        <v>63</v>
      </c>
      <c r="D488" s="101">
        <v>2.2004104E7</v>
      </c>
      <c r="E488" s="102" t="s">
        <v>856</v>
      </c>
      <c r="F488" s="45">
        <v>45846.0</v>
      </c>
      <c r="G488" s="45">
        <v>45841.0</v>
      </c>
      <c r="H488" s="101" t="s">
        <v>73</v>
      </c>
      <c r="I488" s="101" t="s">
        <v>119</v>
      </c>
      <c r="J488" s="101">
        <v>65.0</v>
      </c>
      <c r="K488" s="65">
        <v>28.90769231</v>
      </c>
      <c r="L488" s="65">
        <v>1879.0</v>
      </c>
      <c r="M488" s="103">
        <v>0.2</v>
      </c>
      <c r="N488" s="65">
        <v>375.8</v>
      </c>
      <c r="O488" s="65">
        <v>2254.8</v>
      </c>
      <c r="P488" s="101" t="s">
        <v>84</v>
      </c>
      <c r="Q488" s="65">
        <v>187.9</v>
      </c>
      <c r="R488" s="65">
        <v>2254.8</v>
      </c>
      <c r="S488" s="65">
        <v>1315.3</v>
      </c>
      <c r="T488" s="65"/>
      <c r="U488" s="101"/>
      <c r="V488" s="45"/>
      <c r="W488" s="65"/>
      <c r="X488" s="101"/>
      <c r="Y488" s="45"/>
      <c r="Z488" s="65"/>
      <c r="AA488" s="101"/>
      <c r="AB488" s="45"/>
      <c r="AC488" s="65"/>
      <c r="AD488" s="101"/>
      <c r="AE488" s="45"/>
      <c r="AF488" s="102"/>
      <c r="AG488" s="101"/>
      <c r="AH488" s="101"/>
      <c r="AI488" s="102"/>
    </row>
    <row r="489" ht="15.75" customHeight="1">
      <c r="A489" s="101" t="s">
        <v>61</v>
      </c>
      <c r="B489" s="101" t="s">
        <v>62</v>
      </c>
      <c r="C489" s="101" t="s">
        <v>63</v>
      </c>
      <c r="D489" s="101">
        <v>2.2004105E7</v>
      </c>
      <c r="E489" s="102" t="s">
        <v>188</v>
      </c>
      <c r="F489" s="45">
        <v>45952.0</v>
      </c>
      <c r="G489" s="45">
        <v>45845.0</v>
      </c>
      <c r="H489" s="101" t="s">
        <v>83</v>
      </c>
      <c r="I489" s="101" t="s">
        <v>76</v>
      </c>
      <c r="J489" s="101">
        <v>25.0</v>
      </c>
      <c r="K489" s="65">
        <v>82.7</v>
      </c>
      <c r="L489" s="65">
        <v>2067.5</v>
      </c>
      <c r="M489" s="103">
        <v>0.2</v>
      </c>
      <c r="N489" s="65">
        <v>413.5</v>
      </c>
      <c r="O489" s="65">
        <v>2481.0</v>
      </c>
      <c r="P489" s="101" t="s">
        <v>79</v>
      </c>
      <c r="Q489" s="65">
        <v>206.75</v>
      </c>
      <c r="R489" s="65">
        <v>2687.75</v>
      </c>
      <c r="S489" s="65">
        <v>1447.25</v>
      </c>
      <c r="T489" s="65">
        <v>1240.34</v>
      </c>
      <c r="U489" s="101" t="s">
        <v>80</v>
      </c>
      <c r="V489" s="45">
        <v>45856.0</v>
      </c>
      <c r="W489" s="65">
        <v>1447.08</v>
      </c>
      <c r="X489" s="101" t="s">
        <v>80</v>
      </c>
      <c r="Y489" s="45">
        <v>45951.0</v>
      </c>
      <c r="Z489" s="65"/>
      <c r="AA489" s="101"/>
      <c r="AB489" s="45"/>
      <c r="AC489" s="65">
        <v>206.72</v>
      </c>
      <c r="AD489" s="101" t="s">
        <v>80</v>
      </c>
      <c r="AE489" s="45">
        <v>45958.0</v>
      </c>
      <c r="AF489" s="102"/>
      <c r="AG489" s="101"/>
      <c r="AH489" s="101"/>
      <c r="AI489" s="102"/>
    </row>
    <row r="490" ht="15.75" customHeight="1">
      <c r="A490" s="101" t="s">
        <v>61</v>
      </c>
      <c r="B490" s="101" t="s">
        <v>62</v>
      </c>
      <c r="C490" s="101" t="s">
        <v>63</v>
      </c>
      <c r="D490" s="101">
        <v>2.2004106E7</v>
      </c>
      <c r="E490" s="102" t="s">
        <v>629</v>
      </c>
      <c r="F490" s="45">
        <v>45853.0</v>
      </c>
      <c r="G490" s="45">
        <v>45845.0</v>
      </c>
      <c r="H490" s="101" t="s">
        <v>83</v>
      </c>
      <c r="I490" s="101" t="s">
        <v>76</v>
      </c>
      <c r="J490" s="101">
        <v>20.0</v>
      </c>
      <c r="K490" s="65">
        <v>65.6</v>
      </c>
      <c r="L490" s="65">
        <v>1312.0</v>
      </c>
      <c r="M490" s="103">
        <v>0.2</v>
      </c>
      <c r="N490" s="65">
        <v>262.4</v>
      </c>
      <c r="O490" s="65">
        <v>1574.4</v>
      </c>
      <c r="P490" s="101" t="s">
        <v>84</v>
      </c>
      <c r="Q490" s="65">
        <v>131.2</v>
      </c>
      <c r="R490" s="65">
        <v>1574.4</v>
      </c>
      <c r="S490" s="65">
        <v>918.4</v>
      </c>
      <c r="T490" s="65">
        <v>1574.4</v>
      </c>
      <c r="U490" s="101" t="s">
        <v>80</v>
      </c>
      <c r="V490" s="45">
        <v>45849.0</v>
      </c>
      <c r="W490" s="65"/>
      <c r="X490" s="101"/>
      <c r="Y490" s="45"/>
      <c r="Z490" s="65"/>
      <c r="AA490" s="101"/>
      <c r="AB490" s="45"/>
      <c r="AC490" s="65"/>
      <c r="AD490" s="101"/>
      <c r="AE490" s="45"/>
      <c r="AF490" s="102"/>
      <c r="AG490" s="101"/>
      <c r="AH490" s="101"/>
      <c r="AI490" s="102"/>
    </row>
    <row r="491" ht="15.75" customHeight="1">
      <c r="A491" s="101" t="s">
        <v>61</v>
      </c>
      <c r="B491" s="101" t="s">
        <v>62</v>
      </c>
      <c r="C491" s="101" t="s">
        <v>63</v>
      </c>
      <c r="D491" s="101">
        <v>2.2004107E7</v>
      </c>
      <c r="E491" s="102" t="s">
        <v>630</v>
      </c>
      <c r="F491" s="45">
        <v>45854.0</v>
      </c>
      <c r="G491" s="45">
        <v>45845.0</v>
      </c>
      <c r="H491" s="101" t="s">
        <v>83</v>
      </c>
      <c r="I491" s="101" t="s">
        <v>76</v>
      </c>
      <c r="J491" s="101">
        <v>22.0</v>
      </c>
      <c r="K491" s="65">
        <v>66.64545455</v>
      </c>
      <c r="L491" s="65">
        <v>1466.2</v>
      </c>
      <c r="M491" s="103">
        <v>0.2</v>
      </c>
      <c r="N491" s="65">
        <v>293.24</v>
      </c>
      <c r="O491" s="65">
        <v>1759.44</v>
      </c>
      <c r="P491" s="101" t="s">
        <v>84</v>
      </c>
      <c r="Q491" s="65">
        <v>146.62</v>
      </c>
      <c r="R491" s="65">
        <v>1759.44</v>
      </c>
      <c r="S491" s="65">
        <v>1026.34</v>
      </c>
      <c r="T491" s="65">
        <v>1759.44</v>
      </c>
      <c r="U491" s="101" t="s">
        <v>80</v>
      </c>
      <c r="V491" s="45">
        <v>45849.0</v>
      </c>
      <c r="W491" s="65"/>
      <c r="X491" s="101"/>
      <c r="Y491" s="45"/>
      <c r="Z491" s="65"/>
      <c r="AA491" s="101"/>
      <c r="AB491" s="45"/>
      <c r="AC491" s="65"/>
      <c r="AD491" s="101"/>
      <c r="AE491" s="45"/>
      <c r="AF491" s="102"/>
      <c r="AG491" s="101"/>
      <c r="AH491" s="101"/>
      <c r="AI491" s="102"/>
    </row>
    <row r="492" ht="15.75" customHeight="1">
      <c r="A492" s="101" t="s">
        <v>61</v>
      </c>
      <c r="B492" s="101" t="s">
        <v>62</v>
      </c>
      <c r="C492" s="101" t="s">
        <v>63</v>
      </c>
      <c r="D492" s="101">
        <v>2.2004108E7</v>
      </c>
      <c r="E492" s="102" t="s">
        <v>328</v>
      </c>
      <c r="F492" s="45">
        <v>45862.0</v>
      </c>
      <c r="G492" s="45">
        <v>45848.0</v>
      </c>
      <c r="H492" s="101" t="s">
        <v>83</v>
      </c>
      <c r="I492" s="101" t="s">
        <v>76</v>
      </c>
      <c r="J492" s="101">
        <v>73.0</v>
      </c>
      <c r="K492" s="65">
        <v>39.31</v>
      </c>
      <c r="L492" s="65">
        <v>2391.2</v>
      </c>
      <c r="M492" s="103">
        <v>0.2</v>
      </c>
      <c r="N492" s="65">
        <v>478.24</v>
      </c>
      <c r="O492" s="65">
        <v>2869.44</v>
      </c>
      <c r="P492" s="101" t="s">
        <v>84</v>
      </c>
      <c r="Q492" s="65">
        <v>239.12</v>
      </c>
      <c r="R492" s="65">
        <v>2869.44</v>
      </c>
      <c r="S492" s="65">
        <v>1673.84</v>
      </c>
      <c r="T492" s="65">
        <v>2869.32</v>
      </c>
      <c r="U492" s="101" t="s">
        <v>85</v>
      </c>
      <c r="V492" s="45">
        <v>45860.0</v>
      </c>
      <c r="W492" s="65"/>
      <c r="X492" s="101"/>
      <c r="Y492" s="45"/>
      <c r="Z492" s="65"/>
      <c r="AA492" s="101"/>
      <c r="AB492" s="45"/>
      <c r="AC492" s="65"/>
      <c r="AD492" s="101"/>
      <c r="AE492" s="45"/>
      <c r="AF492" s="102"/>
      <c r="AG492" s="101"/>
      <c r="AH492" s="101"/>
      <c r="AI492" s="102"/>
    </row>
    <row r="493" ht="15.75" customHeight="1">
      <c r="A493" s="101" t="s">
        <v>167</v>
      </c>
      <c r="B493" s="101" t="s">
        <v>62</v>
      </c>
      <c r="C493" s="101"/>
      <c r="D493" s="101">
        <v>2.2004109E7</v>
      </c>
      <c r="E493" s="102" t="s">
        <v>147</v>
      </c>
      <c r="F493" s="45">
        <v>45847.0</v>
      </c>
      <c r="G493" s="45">
        <v>45847.0</v>
      </c>
      <c r="H493" s="101" t="s">
        <v>83</v>
      </c>
      <c r="I493" s="101" t="s">
        <v>76</v>
      </c>
      <c r="J493" s="101">
        <v>35.0</v>
      </c>
      <c r="K493" s="65">
        <v>50.0</v>
      </c>
      <c r="L493" s="65">
        <v>1750.0</v>
      </c>
      <c r="M493" s="103">
        <v>0.2</v>
      </c>
      <c r="N493" s="65">
        <v>350.0</v>
      </c>
      <c r="O493" s="65">
        <v>2100.0</v>
      </c>
      <c r="P493" s="101" t="s">
        <v>84</v>
      </c>
      <c r="Q493" s="65">
        <v>175.0</v>
      </c>
      <c r="R493" s="65">
        <v>2100.0</v>
      </c>
      <c r="S493" s="65">
        <v>1225.0</v>
      </c>
      <c r="T493" s="65"/>
      <c r="U493" s="101"/>
      <c r="V493" s="45"/>
      <c r="W493" s="65"/>
      <c r="X493" s="101"/>
      <c r="Y493" s="45"/>
      <c r="Z493" s="65"/>
      <c r="AA493" s="101"/>
      <c r="AB493" s="45"/>
      <c r="AC493" s="65"/>
      <c r="AD493" s="101"/>
      <c r="AE493" s="45"/>
      <c r="AF493" s="102"/>
      <c r="AG493" s="101"/>
      <c r="AH493" s="101"/>
      <c r="AI493" s="102"/>
    </row>
    <row r="494" ht="15.75" customHeight="1">
      <c r="A494" s="101" t="s">
        <v>61</v>
      </c>
      <c r="B494" s="101" t="s">
        <v>62</v>
      </c>
      <c r="C494" s="101" t="s">
        <v>251</v>
      </c>
      <c r="D494" s="101"/>
      <c r="E494" s="102" t="s">
        <v>857</v>
      </c>
      <c r="F494" s="45">
        <v>45906.0</v>
      </c>
      <c r="G494" s="45">
        <v>45856.0</v>
      </c>
      <c r="H494" s="101" t="s">
        <v>73</v>
      </c>
      <c r="I494" s="101" t="s">
        <v>76</v>
      </c>
      <c r="J494" s="101">
        <v>50.0</v>
      </c>
      <c r="K494" s="65">
        <v>117.43</v>
      </c>
      <c r="L494" s="65">
        <v>5871.5</v>
      </c>
      <c r="M494" s="103">
        <v>0.2</v>
      </c>
      <c r="N494" s="65">
        <v>1174.3</v>
      </c>
      <c r="O494" s="65">
        <v>7045.8</v>
      </c>
      <c r="P494" s="101" t="s">
        <v>79</v>
      </c>
      <c r="Q494" s="65">
        <v>587.15</v>
      </c>
      <c r="R494" s="65">
        <v>7632.95</v>
      </c>
      <c r="S494" s="65">
        <v>4110.05</v>
      </c>
      <c r="T494" s="65">
        <v>3708.0</v>
      </c>
      <c r="U494" s="101" t="s">
        <v>80</v>
      </c>
      <c r="V494" s="45">
        <v>45873.0</v>
      </c>
      <c r="W494" s="65">
        <v>3924.95</v>
      </c>
      <c r="X494" s="101" t="s">
        <v>80</v>
      </c>
      <c r="Y494" s="45">
        <v>45900.0</v>
      </c>
      <c r="Z494" s="65"/>
      <c r="AA494" s="101"/>
      <c r="AB494" s="45"/>
      <c r="AC494" s="65">
        <v>252.35</v>
      </c>
      <c r="AD494" s="101" t="s">
        <v>80</v>
      </c>
      <c r="AE494" s="45">
        <v>45909.0</v>
      </c>
      <c r="AF494" s="102"/>
      <c r="AG494" s="101"/>
      <c r="AH494" s="101"/>
      <c r="AI494" s="102"/>
    </row>
    <row r="495" ht="15.75" customHeight="1">
      <c r="A495" s="101" t="s">
        <v>61</v>
      </c>
      <c r="B495" s="101" t="s">
        <v>62</v>
      </c>
      <c r="C495" s="101" t="s">
        <v>251</v>
      </c>
      <c r="D495" s="101"/>
      <c r="E495" s="102" t="s">
        <v>858</v>
      </c>
      <c r="F495" s="45">
        <v>45884.0</v>
      </c>
      <c r="G495" s="45">
        <v>45859.0</v>
      </c>
      <c r="H495" s="101" t="s">
        <v>73</v>
      </c>
      <c r="I495" s="101" t="s">
        <v>119</v>
      </c>
      <c r="J495" s="101">
        <v>14.0</v>
      </c>
      <c r="K495" s="65">
        <v>115.9857143</v>
      </c>
      <c r="L495" s="65">
        <v>1623.8</v>
      </c>
      <c r="M495" s="103">
        <v>0.2</v>
      </c>
      <c r="N495" s="65">
        <v>324.76</v>
      </c>
      <c r="O495" s="65">
        <v>1948.56</v>
      </c>
      <c r="P495" s="101" t="s">
        <v>79</v>
      </c>
      <c r="Q495" s="65">
        <v>162.38</v>
      </c>
      <c r="R495" s="65">
        <v>2110.94</v>
      </c>
      <c r="S495" s="65">
        <v>1136.66</v>
      </c>
      <c r="T495" s="65"/>
      <c r="U495" s="101"/>
      <c r="V495" s="45"/>
      <c r="W495" s="65"/>
      <c r="X495" s="101"/>
      <c r="Y495" s="45"/>
      <c r="Z495" s="65"/>
      <c r="AA495" s="101"/>
      <c r="AB495" s="45"/>
      <c r="AC495" s="65"/>
      <c r="AD495" s="101"/>
      <c r="AE495" s="45"/>
      <c r="AF495" s="102"/>
      <c r="AG495" s="101"/>
      <c r="AH495" s="101"/>
      <c r="AI495" s="102"/>
    </row>
    <row r="496" ht="15.75" customHeight="1">
      <c r="A496" s="101" t="s">
        <v>61</v>
      </c>
      <c r="B496" s="101" t="s">
        <v>62</v>
      </c>
      <c r="C496" s="101" t="s">
        <v>63</v>
      </c>
      <c r="D496" s="101"/>
      <c r="E496" s="102" t="s">
        <v>859</v>
      </c>
      <c r="F496" s="45">
        <v>45862.0</v>
      </c>
      <c r="G496" s="45">
        <v>45860.0</v>
      </c>
      <c r="H496" s="101" t="s">
        <v>73</v>
      </c>
      <c r="I496" s="101" t="s">
        <v>76</v>
      </c>
      <c r="J496" s="101">
        <v>3.0</v>
      </c>
      <c r="K496" s="65">
        <v>118.8</v>
      </c>
      <c r="L496" s="65">
        <v>356.4</v>
      </c>
      <c r="M496" s="103">
        <v>0.2</v>
      </c>
      <c r="N496" s="65">
        <v>71.28</v>
      </c>
      <c r="O496" s="65">
        <v>427.68</v>
      </c>
      <c r="P496" s="101" t="s">
        <v>84</v>
      </c>
      <c r="Q496" s="65">
        <v>35.64</v>
      </c>
      <c r="R496" s="65">
        <v>427.68</v>
      </c>
      <c r="S496" s="65">
        <v>249.48</v>
      </c>
      <c r="T496" s="65">
        <v>427.68</v>
      </c>
      <c r="U496" s="101" t="s">
        <v>80</v>
      </c>
      <c r="V496" s="45">
        <v>45860.0</v>
      </c>
      <c r="W496" s="65"/>
      <c r="X496" s="101"/>
      <c r="Y496" s="45"/>
      <c r="Z496" s="65"/>
      <c r="AA496" s="101"/>
      <c r="AB496" s="45"/>
      <c r="AC496" s="65"/>
      <c r="AD496" s="101"/>
      <c r="AE496" s="45"/>
      <c r="AF496" s="102"/>
      <c r="AG496" s="101"/>
      <c r="AH496" s="101"/>
      <c r="AI496" s="102"/>
    </row>
    <row r="497" ht="15.75" customHeight="1">
      <c r="A497" s="101" t="s">
        <v>61</v>
      </c>
      <c r="B497" s="101" t="s">
        <v>62</v>
      </c>
      <c r="C497" s="101" t="s">
        <v>63</v>
      </c>
      <c r="D497" s="101"/>
      <c r="E497" s="102" t="s">
        <v>477</v>
      </c>
      <c r="F497" s="45">
        <v>45910.0</v>
      </c>
      <c r="G497" s="45">
        <v>45862.0</v>
      </c>
      <c r="H497" s="101" t="s">
        <v>83</v>
      </c>
      <c r="I497" s="101" t="s">
        <v>76</v>
      </c>
      <c r="J497" s="101">
        <v>21.0</v>
      </c>
      <c r="K497" s="65">
        <v>140.047619</v>
      </c>
      <c r="L497" s="65">
        <v>2941.0</v>
      </c>
      <c r="M497" s="103">
        <v>0.2</v>
      </c>
      <c r="N497" s="65">
        <v>588.2</v>
      </c>
      <c r="O497" s="65">
        <v>3529.2</v>
      </c>
      <c r="P497" s="101" t="s">
        <v>79</v>
      </c>
      <c r="Q497" s="65">
        <v>294.1</v>
      </c>
      <c r="R497" s="65">
        <v>3823.3</v>
      </c>
      <c r="S497" s="65">
        <v>2058.7</v>
      </c>
      <c r="T497" s="65">
        <v>1764.6</v>
      </c>
      <c r="U497" s="101" t="s">
        <v>80</v>
      </c>
      <c r="V497" s="45">
        <v>45870.0</v>
      </c>
      <c r="W497" s="65">
        <v>1764.6</v>
      </c>
      <c r="X497" s="101" t="s">
        <v>80</v>
      </c>
      <c r="Y497" s="45">
        <v>45904.0</v>
      </c>
      <c r="Z497" s="65"/>
      <c r="AA497" s="101"/>
      <c r="AB497" s="45"/>
      <c r="AC497" s="65">
        <v>90.1</v>
      </c>
      <c r="AD497" s="101" t="s">
        <v>80</v>
      </c>
      <c r="AE497" s="45"/>
      <c r="AF497" s="102"/>
      <c r="AG497" s="101"/>
      <c r="AH497" s="101"/>
      <c r="AI497" s="102"/>
    </row>
    <row r="498" ht="15.75" customHeight="1">
      <c r="A498" s="101" t="s">
        <v>167</v>
      </c>
      <c r="B498" s="101" t="s">
        <v>62</v>
      </c>
      <c r="C498" s="101" t="s">
        <v>63</v>
      </c>
      <c r="D498" s="101"/>
      <c r="E498" s="102" t="s">
        <v>859</v>
      </c>
      <c r="F498" s="45">
        <v>45869.0</v>
      </c>
      <c r="G498" s="45">
        <v>45867.0</v>
      </c>
      <c r="H498" s="101" t="s">
        <v>83</v>
      </c>
      <c r="I498" s="101" t="s">
        <v>76</v>
      </c>
      <c r="J498" s="101">
        <v>50.0</v>
      </c>
      <c r="K498" s="65">
        <v>27.9</v>
      </c>
      <c r="L498" s="65">
        <v>1395.0</v>
      </c>
      <c r="M498" s="103">
        <v>0.2</v>
      </c>
      <c r="N498" s="65">
        <v>279.0</v>
      </c>
      <c r="O498" s="65">
        <v>1674.0</v>
      </c>
      <c r="P498" s="101" t="s">
        <v>84</v>
      </c>
      <c r="Q498" s="65">
        <v>139.5</v>
      </c>
      <c r="R498" s="65">
        <v>1674.0</v>
      </c>
      <c r="S498" s="65">
        <v>976.5</v>
      </c>
      <c r="T498" s="65"/>
      <c r="U498" s="101"/>
      <c r="V498" s="45"/>
      <c r="W498" s="65"/>
      <c r="X498" s="101"/>
      <c r="Y498" s="45"/>
      <c r="Z498" s="65"/>
      <c r="AA498" s="101"/>
      <c r="AB498" s="45"/>
      <c r="AC498" s="65"/>
      <c r="AD498" s="101"/>
      <c r="AE498" s="45"/>
      <c r="AF498" s="102"/>
      <c r="AG498" s="101"/>
      <c r="AH498" s="101"/>
      <c r="AI498" s="102"/>
    </row>
    <row r="499" ht="15.75" customHeight="1">
      <c r="A499" s="101" t="s">
        <v>167</v>
      </c>
      <c r="B499" s="101" t="s">
        <v>62</v>
      </c>
      <c r="C499" s="101" t="s">
        <v>251</v>
      </c>
      <c r="D499" s="101"/>
      <c r="E499" s="102" t="s">
        <v>860</v>
      </c>
      <c r="F499" s="45">
        <v>45906.0</v>
      </c>
      <c r="G499" s="45">
        <v>45870.0</v>
      </c>
      <c r="H499" s="101" t="s">
        <v>73</v>
      </c>
      <c r="I499" s="101" t="s">
        <v>76</v>
      </c>
      <c r="J499" s="101">
        <v>38.0</v>
      </c>
      <c r="K499" s="65">
        <v>114.2763158</v>
      </c>
      <c r="L499" s="65">
        <v>4342.5</v>
      </c>
      <c r="M499" s="103">
        <v>0.2</v>
      </c>
      <c r="N499" s="65">
        <v>868.5</v>
      </c>
      <c r="O499" s="65">
        <v>5211.0</v>
      </c>
      <c r="P499" s="101" t="s">
        <v>84</v>
      </c>
      <c r="Q499" s="65">
        <v>434.25</v>
      </c>
      <c r="R499" s="65">
        <v>5211.0</v>
      </c>
      <c r="S499" s="65">
        <v>3039.75</v>
      </c>
      <c r="T499" s="65">
        <v>5211.0</v>
      </c>
      <c r="U499" s="101" t="s">
        <v>80</v>
      </c>
      <c r="V499" s="45">
        <v>45876.0</v>
      </c>
      <c r="W499" s="65"/>
      <c r="X499" s="101"/>
      <c r="Y499" s="45"/>
      <c r="Z499" s="65"/>
      <c r="AA499" s="101"/>
      <c r="AB499" s="45"/>
      <c r="AC499" s="65"/>
      <c r="AD499" s="101"/>
      <c r="AE499" s="45"/>
      <c r="AF499" s="102"/>
      <c r="AG499" s="101"/>
      <c r="AH499" s="101"/>
      <c r="AI499" s="102"/>
    </row>
    <row r="500" ht="15.75" customHeight="1">
      <c r="A500" s="101" t="s">
        <v>61</v>
      </c>
      <c r="B500" s="101" t="s">
        <v>62</v>
      </c>
      <c r="C500" s="101" t="s">
        <v>63</v>
      </c>
      <c r="D500" s="101"/>
      <c r="E500" s="102" t="s">
        <v>158</v>
      </c>
      <c r="F500" s="45">
        <v>45938.0</v>
      </c>
      <c r="G500" s="45">
        <v>45881.0</v>
      </c>
      <c r="H500" s="101" t="s">
        <v>73</v>
      </c>
      <c r="I500" s="101" t="s">
        <v>76</v>
      </c>
      <c r="J500" s="101">
        <v>40.0</v>
      </c>
      <c r="K500" s="65">
        <v>86.665</v>
      </c>
      <c r="L500" s="65">
        <v>3466.6</v>
      </c>
      <c r="M500" s="103">
        <v>0.2</v>
      </c>
      <c r="N500" s="65">
        <v>693.32</v>
      </c>
      <c r="O500" s="65">
        <v>4159.92</v>
      </c>
      <c r="P500" s="101" t="s">
        <v>79</v>
      </c>
      <c r="Q500" s="65">
        <v>346.66</v>
      </c>
      <c r="R500" s="65">
        <v>4506.58</v>
      </c>
      <c r="S500" s="65">
        <v>2426.62</v>
      </c>
      <c r="T500" s="65">
        <v>2079.96</v>
      </c>
      <c r="U500" s="101" t="s">
        <v>80</v>
      </c>
      <c r="V500" s="45">
        <v>45882.0</v>
      </c>
      <c r="W500" s="65">
        <v>2462.62</v>
      </c>
      <c r="X500" s="101" t="s">
        <v>80</v>
      </c>
      <c r="Y500" s="45">
        <v>45929.0</v>
      </c>
      <c r="Z500" s="65"/>
      <c r="AA500" s="101"/>
      <c r="AB500" s="45"/>
      <c r="AC500" s="65">
        <v>346.66</v>
      </c>
      <c r="AD500" s="101" t="s">
        <v>80</v>
      </c>
      <c r="AE500" s="45">
        <v>45939.0</v>
      </c>
      <c r="AF500" s="102"/>
      <c r="AG500" s="101"/>
      <c r="AH500" s="101"/>
      <c r="AI500" s="102"/>
    </row>
    <row r="501" ht="15.75" customHeight="1">
      <c r="A501" s="101" t="s">
        <v>61</v>
      </c>
      <c r="B501" s="101" t="s">
        <v>62</v>
      </c>
      <c r="C501" s="101" t="s">
        <v>278</v>
      </c>
      <c r="D501" s="101"/>
      <c r="E501" s="102" t="s">
        <v>861</v>
      </c>
      <c r="F501" s="45">
        <v>45984.0</v>
      </c>
      <c r="G501" s="45">
        <v>45883.0</v>
      </c>
      <c r="H501" s="101" t="s">
        <v>73</v>
      </c>
      <c r="I501" s="101" t="s">
        <v>76</v>
      </c>
      <c r="J501" s="101">
        <v>95.0</v>
      </c>
      <c r="K501" s="65">
        <v>19.18421053</v>
      </c>
      <c r="L501" s="65">
        <v>1822.5</v>
      </c>
      <c r="M501" s="103">
        <v>0.2</v>
      </c>
      <c r="N501" s="65">
        <v>364.5</v>
      </c>
      <c r="O501" s="65">
        <v>2187.0</v>
      </c>
      <c r="P501" s="101" t="s">
        <v>79</v>
      </c>
      <c r="Q501" s="65">
        <v>182.25</v>
      </c>
      <c r="R501" s="65">
        <v>2369.25</v>
      </c>
      <c r="S501" s="65">
        <v>1275.75</v>
      </c>
      <c r="T501" s="65">
        <v>1093.5</v>
      </c>
      <c r="U501" s="101" t="s">
        <v>80</v>
      </c>
      <c r="V501" s="45">
        <v>45894.0</v>
      </c>
      <c r="W501" s="65">
        <v>1275.75</v>
      </c>
      <c r="X501" s="101" t="s">
        <v>80</v>
      </c>
      <c r="Y501" s="45">
        <v>45967.0</v>
      </c>
      <c r="Z501" s="65"/>
      <c r="AA501" s="101"/>
      <c r="AB501" s="45"/>
      <c r="AC501" s="65">
        <v>344.25</v>
      </c>
      <c r="AD501" s="101" t="s">
        <v>80</v>
      </c>
      <c r="AE501" s="45">
        <v>45985.0</v>
      </c>
      <c r="AF501" s="102"/>
      <c r="AG501" s="101"/>
      <c r="AH501" s="101"/>
      <c r="AI501" s="102"/>
    </row>
    <row r="502" ht="15.75" customHeight="1">
      <c r="A502" s="101" t="s">
        <v>61</v>
      </c>
      <c r="B502" s="101" t="s">
        <v>62</v>
      </c>
      <c r="C502" s="101" t="s">
        <v>251</v>
      </c>
      <c r="D502" s="101"/>
      <c r="E502" s="102" t="s">
        <v>189</v>
      </c>
      <c r="F502" s="45">
        <v>45894.0</v>
      </c>
      <c r="G502" s="45">
        <v>45883.0</v>
      </c>
      <c r="H502" s="101" t="s">
        <v>83</v>
      </c>
      <c r="I502" s="101" t="s">
        <v>76</v>
      </c>
      <c r="J502" s="101">
        <v>33.0</v>
      </c>
      <c r="K502" s="65">
        <v>74.01515152</v>
      </c>
      <c r="L502" s="65">
        <v>2442.5</v>
      </c>
      <c r="M502" s="103">
        <v>0.2</v>
      </c>
      <c r="N502" s="65">
        <v>488.5</v>
      </c>
      <c r="O502" s="65">
        <v>2931.0</v>
      </c>
      <c r="P502" s="101" t="s">
        <v>79</v>
      </c>
      <c r="Q502" s="65">
        <v>244.25</v>
      </c>
      <c r="R502" s="65">
        <v>3175.25</v>
      </c>
      <c r="S502" s="65">
        <v>1709.75</v>
      </c>
      <c r="T502" s="65">
        <v>3175.25</v>
      </c>
      <c r="U502" s="101" t="s">
        <v>85</v>
      </c>
      <c r="V502" s="45">
        <v>45886.0</v>
      </c>
      <c r="W502" s="65"/>
      <c r="X502" s="101"/>
      <c r="Y502" s="45"/>
      <c r="Z502" s="65"/>
      <c r="AA502" s="101"/>
      <c r="AB502" s="45"/>
      <c r="AC502" s="65">
        <v>285.89</v>
      </c>
      <c r="AD502" s="101" t="s">
        <v>85</v>
      </c>
      <c r="AE502" s="45">
        <v>45901.0</v>
      </c>
      <c r="AF502" s="102" t="s">
        <v>862</v>
      </c>
      <c r="AG502" s="101" t="s">
        <v>863</v>
      </c>
      <c r="AH502" s="101" t="s">
        <v>864</v>
      </c>
      <c r="AI502" s="102"/>
    </row>
    <row r="503" ht="15.75" customHeight="1">
      <c r="A503" s="101" t="s">
        <v>61</v>
      </c>
      <c r="B503" s="101" t="s">
        <v>62</v>
      </c>
      <c r="C503" s="101" t="s">
        <v>63</v>
      </c>
      <c r="D503" s="101"/>
      <c r="E503" s="102" t="s">
        <v>865</v>
      </c>
      <c r="F503" s="45">
        <v>45919.0</v>
      </c>
      <c r="G503" s="45">
        <v>45883.0</v>
      </c>
      <c r="H503" s="101" t="s">
        <v>83</v>
      </c>
      <c r="I503" s="101" t="s">
        <v>76</v>
      </c>
      <c r="J503" s="101">
        <v>1.0</v>
      </c>
      <c r="K503" s="65">
        <v>50.0</v>
      </c>
      <c r="L503" s="65">
        <v>50.0</v>
      </c>
      <c r="M503" s="103">
        <v>0.2</v>
      </c>
      <c r="N503" s="65">
        <v>10.0</v>
      </c>
      <c r="O503" s="65">
        <v>60.0</v>
      </c>
      <c r="P503" s="101" t="s">
        <v>79</v>
      </c>
      <c r="Q503" s="65">
        <v>5.0</v>
      </c>
      <c r="R503" s="65">
        <v>65.0</v>
      </c>
      <c r="S503" s="65">
        <v>35.0</v>
      </c>
      <c r="T503" s="65"/>
      <c r="U503" s="101"/>
      <c r="V503" s="45"/>
      <c r="W503" s="65"/>
      <c r="X503" s="101"/>
      <c r="Y503" s="45"/>
      <c r="Z503" s="65"/>
      <c r="AA503" s="101"/>
      <c r="AB503" s="45"/>
      <c r="AC503" s="65"/>
      <c r="AD503" s="101"/>
      <c r="AE503" s="45"/>
      <c r="AF503" s="102"/>
      <c r="AG503" s="101"/>
      <c r="AH503" s="101"/>
      <c r="AI503" s="102"/>
    </row>
    <row r="504" ht="15.75" customHeight="1">
      <c r="A504" s="101" t="s">
        <v>61</v>
      </c>
      <c r="B504" s="101" t="s">
        <v>62</v>
      </c>
      <c r="C504" s="101" t="s">
        <v>63</v>
      </c>
      <c r="D504" s="101">
        <v>2.200413E7</v>
      </c>
      <c r="E504" s="102" t="s">
        <v>866</v>
      </c>
      <c r="F504" s="45">
        <v>45925.0</v>
      </c>
      <c r="G504" s="45">
        <v>45886.0</v>
      </c>
      <c r="H504" s="101" t="s">
        <v>83</v>
      </c>
      <c r="I504" s="101" t="s">
        <v>76</v>
      </c>
      <c r="J504" s="101">
        <v>30.0</v>
      </c>
      <c r="K504" s="65">
        <v>100.7766667</v>
      </c>
      <c r="L504" s="65">
        <v>3023.3</v>
      </c>
      <c r="M504" s="103">
        <v>0.2</v>
      </c>
      <c r="N504" s="65">
        <v>604.66</v>
      </c>
      <c r="O504" s="65">
        <v>3627.96</v>
      </c>
      <c r="P504" s="101" t="s">
        <v>79</v>
      </c>
      <c r="Q504" s="65">
        <v>302.33</v>
      </c>
      <c r="R504" s="65">
        <v>3930.29</v>
      </c>
      <c r="S504" s="65">
        <v>2116.31</v>
      </c>
      <c r="T504" s="65">
        <v>3387.8</v>
      </c>
      <c r="U504" s="101" t="s">
        <v>80</v>
      </c>
      <c r="V504" s="45">
        <v>45918.0</v>
      </c>
      <c r="W504" s="65"/>
      <c r="X504" s="101"/>
      <c r="Y504" s="45"/>
      <c r="Z504" s="65"/>
      <c r="AA504" s="101"/>
      <c r="AB504" s="45"/>
      <c r="AC504" s="65">
        <v>880.88</v>
      </c>
      <c r="AD504" s="101" t="s">
        <v>80</v>
      </c>
      <c r="AE504" s="45">
        <v>45929.0</v>
      </c>
      <c r="AF504" s="102"/>
      <c r="AG504" s="101"/>
      <c r="AH504" s="101"/>
      <c r="AI504" s="102"/>
    </row>
    <row r="505" ht="15.75" customHeight="1">
      <c r="A505" s="101" t="s">
        <v>61</v>
      </c>
      <c r="B505" s="101" t="s">
        <v>62</v>
      </c>
      <c r="C505" s="101" t="s">
        <v>251</v>
      </c>
      <c r="D505" s="101">
        <v>2.2004131E7</v>
      </c>
      <c r="E505" s="102" t="s">
        <v>172</v>
      </c>
      <c r="F505" s="45">
        <v>45982.0</v>
      </c>
      <c r="G505" s="45">
        <v>45887.0</v>
      </c>
      <c r="H505" s="101" t="s">
        <v>83</v>
      </c>
      <c r="I505" s="101" t="s">
        <v>76</v>
      </c>
      <c r="J505" s="101">
        <v>30.0</v>
      </c>
      <c r="K505" s="65">
        <v>157.1083333</v>
      </c>
      <c r="L505" s="65">
        <v>4713.25</v>
      </c>
      <c r="M505" s="103">
        <v>0.2</v>
      </c>
      <c r="N505" s="65">
        <v>942.65</v>
      </c>
      <c r="O505" s="65">
        <v>5655.9</v>
      </c>
      <c r="P505" s="101" t="s">
        <v>79</v>
      </c>
      <c r="Q505" s="65">
        <v>471.325</v>
      </c>
      <c r="R505" s="65">
        <v>6127.225</v>
      </c>
      <c r="S505" s="65">
        <v>3299.275</v>
      </c>
      <c r="T505" s="65">
        <v>3886.8</v>
      </c>
      <c r="U505" s="101" t="s">
        <v>80</v>
      </c>
      <c r="V505" s="45">
        <v>45889.0</v>
      </c>
      <c r="W505" s="65">
        <v>2240.42</v>
      </c>
      <c r="X505" s="101" t="s">
        <v>80</v>
      </c>
      <c r="Y505" s="45">
        <v>45977.0</v>
      </c>
      <c r="Z505" s="65"/>
      <c r="AA505" s="101"/>
      <c r="AB505" s="45"/>
      <c r="AC505" s="65">
        <v>842.12</v>
      </c>
      <c r="AD505" s="101" t="s">
        <v>80</v>
      </c>
      <c r="AE505" s="45">
        <v>45985.0</v>
      </c>
      <c r="AF505" s="102"/>
      <c r="AG505" s="101"/>
      <c r="AH505" s="101"/>
      <c r="AI505" s="102"/>
    </row>
    <row r="506" ht="15.75" customHeight="1">
      <c r="A506" s="101" t="s">
        <v>61</v>
      </c>
      <c r="B506" s="101" t="s">
        <v>62</v>
      </c>
      <c r="C506" s="101" t="s">
        <v>63</v>
      </c>
      <c r="D506" s="101">
        <v>2.2004132E7</v>
      </c>
      <c r="E506" s="102" t="s">
        <v>205</v>
      </c>
      <c r="F506" s="45">
        <v>45904.0</v>
      </c>
      <c r="G506" s="45">
        <v>45888.0</v>
      </c>
      <c r="H506" s="101" t="s">
        <v>83</v>
      </c>
      <c r="I506" s="101" t="s">
        <v>76</v>
      </c>
      <c r="J506" s="101">
        <v>40.0</v>
      </c>
      <c r="K506" s="65">
        <v>23.25</v>
      </c>
      <c r="L506" s="65">
        <v>930.0</v>
      </c>
      <c r="M506" s="103">
        <v>0.2</v>
      </c>
      <c r="N506" s="65">
        <v>186.0</v>
      </c>
      <c r="O506" s="65">
        <v>1116.0</v>
      </c>
      <c r="P506" s="101" t="s">
        <v>84</v>
      </c>
      <c r="Q506" s="65">
        <v>93.0</v>
      </c>
      <c r="R506" s="65">
        <v>1116.0</v>
      </c>
      <c r="S506" s="65">
        <v>651.0</v>
      </c>
      <c r="T506" s="65">
        <v>1116.0</v>
      </c>
      <c r="U506" s="101" t="s">
        <v>85</v>
      </c>
      <c r="V506" s="45">
        <v>45898.0</v>
      </c>
      <c r="W506" s="65"/>
      <c r="X506" s="101"/>
      <c r="Y506" s="45"/>
      <c r="Z506" s="65"/>
      <c r="AA506" s="101"/>
      <c r="AB506" s="45"/>
      <c r="AC506" s="65"/>
      <c r="AD506" s="101"/>
      <c r="AE506" s="45"/>
      <c r="AF506" s="102"/>
      <c r="AG506" s="101"/>
      <c r="AH506" s="101"/>
      <c r="AI506" s="102"/>
    </row>
    <row r="507" ht="15.75" customHeight="1">
      <c r="A507" s="101" t="s">
        <v>61</v>
      </c>
      <c r="B507" s="101" t="s">
        <v>62</v>
      </c>
      <c r="C507" s="101" t="s">
        <v>251</v>
      </c>
      <c r="D507" s="101">
        <v>2.2004133E7</v>
      </c>
      <c r="E507" s="102" t="s">
        <v>867</v>
      </c>
      <c r="F507" s="45">
        <v>45960.0</v>
      </c>
      <c r="G507" s="45">
        <v>45889.0</v>
      </c>
      <c r="H507" s="101" t="s">
        <v>83</v>
      </c>
      <c r="I507" s="101" t="s">
        <v>76</v>
      </c>
      <c r="J507" s="101">
        <v>32.0</v>
      </c>
      <c r="K507" s="65">
        <v>126.381875</v>
      </c>
      <c r="L507" s="65">
        <v>4044.22</v>
      </c>
      <c r="M507" s="103">
        <v>0.2</v>
      </c>
      <c r="N507" s="65">
        <v>808.844</v>
      </c>
      <c r="O507" s="65">
        <v>4853.064</v>
      </c>
      <c r="P507" s="101" t="s">
        <v>84</v>
      </c>
      <c r="Q507" s="65">
        <v>404.422</v>
      </c>
      <c r="R507" s="65">
        <v>4853.064</v>
      </c>
      <c r="S507" s="65">
        <v>2830.954</v>
      </c>
      <c r="T507" s="65">
        <v>1214.22</v>
      </c>
      <c r="U507" s="101" t="s">
        <v>80</v>
      </c>
      <c r="V507" s="45">
        <v>45896.0</v>
      </c>
      <c r="W507" s="65">
        <v>3800.42</v>
      </c>
      <c r="X507" s="101" t="s">
        <v>85</v>
      </c>
      <c r="Y507" s="45">
        <v>45955.0</v>
      </c>
      <c r="Z507" s="65"/>
      <c r="AA507" s="101"/>
      <c r="AB507" s="45"/>
      <c r="AC507" s="65">
        <v>404.42</v>
      </c>
      <c r="AD507" s="101" t="s">
        <v>80</v>
      </c>
      <c r="AE507" s="45">
        <v>45961.0</v>
      </c>
      <c r="AF507" s="102"/>
      <c r="AG507" s="101"/>
      <c r="AH507" s="101"/>
      <c r="AI507" s="102"/>
    </row>
    <row r="508" ht="15.75" customHeight="1">
      <c r="A508" s="101" t="s">
        <v>61</v>
      </c>
      <c r="B508" s="101" t="s">
        <v>62</v>
      </c>
      <c r="C508" s="101" t="s">
        <v>63</v>
      </c>
      <c r="D508" s="101">
        <v>2.2004134E7</v>
      </c>
      <c r="E508" s="102" t="s">
        <v>868</v>
      </c>
      <c r="F508" s="45">
        <v>45910.0</v>
      </c>
      <c r="G508" s="45">
        <v>45893.0</v>
      </c>
      <c r="H508" s="101" t="s">
        <v>83</v>
      </c>
      <c r="I508" s="101" t="s">
        <v>76</v>
      </c>
      <c r="J508" s="101">
        <v>27.0</v>
      </c>
      <c r="K508" s="65">
        <v>42.44259259</v>
      </c>
      <c r="L508" s="65">
        <v>1145.95</v>
      </c>
      <c r="M508" s="103">
        <v>0.2</v>
      </c>
      <c r="N508" s="65">
        <v>229.19</v>
      </c>
      <c r="O508" s="65">
        <v>1375.14</v>
      </c>
      <c r="P508" s="101" t="s">
        <v>84</v>
      </c>
      <c r="Q508" s="65">
        <v>114.595</v>
      </c>
      <c r="R508" s="65">
        <v>1375.14</v>
      </c>
      <c r="S508" s="65">
        <v>802.165</v>
      </c>
      <c r="T508" s="65">
        <v>1357.14</v>
      </c>
      <c r="U508" s="101" t="s">
        <v>80</v>
      </c>
      <c r="V508" s="45">
        <v>45898.0</v>
      </c>
      <c r="W508" s="65"/>
      <c r="X508" s="101"/>
      <c r="Y508" s="45"/>
      <c r="Z508" s="65"/>
      <c r="AA508" s="101"/>
      <c r="AB508" s="45"/>
      <c r="AC508" s="65"/>
      <c r="AD508" s="101"/>
      <c r="AE508" s="45"/>
      <c r="AF508" s="102"/>
      <c r="AG508" s="101"/>
      <c r="AH508" s="101"/>
      <c r="AI508" s="102"/>
    </row>
    <row r="509" ht="15.75" customHeight="1">
      <c r="A509" s="101" t="s">
        <v>61</v>
      </c>
      <c r="B509" s="101" t="s">
        <v>62</v>
      </c>
      <c r="C509" s="101" t="s">
        <v>63</v>
      </c>
      <c r="D509" s="101">
        <v>2.2004135E7</v>
      </c>
      <c r="E509" s="102" t="s">
        <v>791</v>
      </c>
      <c r="F509" s="45">
        <v>45910.0</v>
      </c>
      <c r="G509" s="45">
        <v>45893.0</v>
      </c>
      <c r="H509" s="101" t="s">
        <v>83</v>
      </c>
      <c r="I509" s="101" t="s">
        <v>76</v>
      </c>
      <c r="J509" s="101">
        <v>70.0</v>
      </c>
      <c r="K509" s="65">
        <v>81.98571429</v>
      </c>
      <c r="L509" s="65">
        <v>5739.0</v>
      </c>
      <c r="M509" s="103">
        <v>0.2</v>
      </c>
      <c r="N509" s="65">
        <v>1147.8</v>
      </c>
      <c r="O509" s="65">
        <v>6886.8</v>
      </c>
      <c r="P509" s="101" t="s">
        <v>79</v>
      </c>
      <c r="Q509" s="65">
        <v>573.9</v>
      </c>
      <c r="R509" s="65">
        <v>7460.7</v>
      </c>
      <c r="S509" s="65">
        <v>4017.3</v>
      </c>
      <c r="T509" s="65">
        <v>7460.7</v>
      </c>
      <c r="U509" s="101" t="s">
        <v>80</v>
      </c>
      <c r="V509" s="45">
        <v>45898.0</v>
      </c>
      <c r="W509" s="65"/>
      <c r="X509" s="101"/>
      <c r="Y509" s="45"/>
      <c r="Z509" s="65"/>
      <c r="AA509" s="101"/>
      <c r="AB509" s="45"/>
      <c r="AC509" s="65">
        <v>573.9</v>
      </c>
      <c r="AD509" s="101" t="s">
        <v>80</v>
      </c>
      <c r="AE509" s="45">
        <v>45911.0</v>
      </c>
      <c r="AF509" s="102"/>
      <c r="AG509" s="101"/>
      <c r="AH509" s="101"/>
      <c r="AI509" s="102"/>
    </row>
    <row r="510" ht="15.75" customHeight="1">
      <c r="A510" s="101" t="s">
        <v>61</v>
      </c>
      <c r="B510" s="101" t="s">
        <v>62</v>
      </c>
      <c r="C510" s="101" t="s">
        <v>63</v>
      </c>
      <c r="D510" s="101">
        <v>2.2004136E7</v>
      </c>
      <c r="E510" s="102" t="s">
        <v>869</v>
      </c>
      <c r="F510" s="45">
        <v>45911.0</v>
      </c>
      <c r="G510" s="45">
        <v>45893.0</v>
      </c>
      <c r="H510" s="101" t="s">
        <v>83</v>
      </c>
      <c r="I510" s="101" t="s">
        <v>76</v>
      </c>
      <c r="J510" s="101">
        <v>27.0</v>
      </c>
      <c r="K510" s="65">
        <v>42.10555556</v>
      </c>
      <c r="L510" s="65">
        <v>1136.85</v>
      </c>
      <c r="M510" s="103">
        <v>0.2</v>
      </c>
      <c r="N510" s="65">
        <v>227.37</v>
      </c>
      <c r="O510" s="65">
        <v>1364.22</v>
      </c>
      <c r="P510" s="101" t="s">
        <v>84</v>
      </c>
      <c r="Q510" s="65">
        <v>113.685</v>
      </c>
      <c r="R510" s="65">
        <v>1364.22</v>
      </c>
      <c r="S510" s="65">
        <v>795.795</v>
      </c>
      <c r="T510" s="65">
        <v>1364.22</v>
      </c>
      <c r="U510" s="101" t="s">
        <v>80</v>
      </c>
      <c r="V510" s="45">
        <v>45898.0</v>
      </c>
      <c r="W510" s="65"/>
      <c r="X510" s="101"/>
      <c r="Y510" s="45"/>
      <c r="Z510" s="65"/>
      <c r="AA510" s="101"/>
      <c r="AB510" s="45"/>
      <c r="AC510" s="65"/>
      <c r="AD510" s="101"/>
      <c r="AE510" s="45"/>
      <c r="AF510" s="102"/>
      <c r="AG510" s="101"/>
      <c r="AH510" s="101"/>
      <c r="AI510" s="102"/>
    </row>
    <row r="511" ht="15.75" customHeight="1">
      <c r="A511" s="101" t="s">
        <v>61</v>
      </c>
      <c r="B511" s="101" t="s">
        <v>62</v>
      </c>
      <c r="C511" s="101" t="s">
        <v>63</v>
      </c>
      <c r="D511" s="101">
        <v>2.2004137E7</v>
      </c>
      <c r="E511" s="102" t="s">
        <v>859</v>
      </c>
      <c r="F511" s="45">
        <v>45909.0</v>
      </c>
      <c r="G511" s="45">
        <v>45895.0</v>
      </c>
      <c r="H511" s="101" t="s">
        <v>83</v>
      </c>
      <c r="I511" s="101" t="s">
        <v>76</v>
      </c>
      <c r="J511" s="101">
        <v>12.0</v>
      </c>
      <c r="K511" s="65">
        <v>60.3</v>
      </c>
      <c r="L511" s="65">
        <v>723.6</v>
      </c>
      <c r="M511" s="103">
        <v>0.2</v>
      </c>
      <c r="N511" s="65">
        <v>144.72</v>
      </c>
      <c r="O511" s="65">
        <v>868.32</v>
      </c>
      <c r="P511" s="101" t="s">
        <v>84</v>
      </c>
      <c r="Q511" s="65">
        <v>72.36</v>
      </c>
      <c r="R511" s="65">
        <v>868.32</v>
      </c>
      <c r="S511" s="65">
        <v>506.52</v>
      </c>
      <c r="T511" s="65">
        <v>868.32</v>
      </c>
      <c r="U511" s="101" t="s">
        <v>80</v>
      </c>
      <c r="V511" s="45">
        <v>45901.0</v>
      </c>
      <c r="W511" s="65"/>
      <c r="X511" s="101"/>
      <c r="Y511" s="45"/>
      <c r="Z511" s="65"/>
      <c r="AA511" s="101"/>
      <c r="AB511" s="45"/>
      <c r="AC511" s="65"/>
      <c r="AD511" s="101"/>
      <c r="AE511" s="45"/>
      <c r="AF511" s="102"/>
      <c r="AG511" s="101"/>
      <c r="AH511" s="101"/>
      <c r="AI511" s="102"/>
    </row>
    <row r="512" ht="15.75" customHeight="1">
      <c r="A512" s="101" t="s">
        <v>61</v>
      </c>
      <c r="B512" s="101" t="s">
        <v>62</v>
      </c>
      <c r="C512" s="101" t="s">
        <v>63</v>
      </c>
      <c r="D512" s="101">
        <v>2.2004138E7</v>
      </c>
      <c r="E512" s="102" t="s">
        <v>870</v>
      </c>
      <c r="F512" s="45">
        <v>45917.0</v>
      </c>
      <c r="G512" s="45">
        <v>45903.0</v>
      </c>
      <c r="H512" s="101" t="s">
        <v>73</v>
      </c>
      <c r="I512" s="101" t="s">
        <v>76</v>
      </c>
      <c r="J512" s="101">
        <v>70.0</v>
      </c>
      <c r="K512" s="65">
        <v>106.9484286</v>
      </c>
      <c r="L512" s="65">
        <v>7486.39</v>
      </c>
      <c r="M512" s="103">
        <v>0.2</v>
      </c>
      <c r="N512" s="65">
        <v>1497.278</v>
      </c>
      <c r="O512" s="65">
        <v>8983.668</v>
      </c>
      <c r="P512" s="101" t="s">
        <v>79</v>
      </c>
      <c r="Q512" s="65">
        <v>748.639</v>
      </c>
      <c r="R512" s="65">
        <v>9732.307</v>
      </c>
      <c r="S512" s="65">
        <v>5240.473</v>
      </c>
      <c r="T512" s="65">
        <v>8983.66</v>
      </c>
      <c r="U512" s="101" t="s">
        <v>80</v>
      </c>
      <c r="V512" s="45">
        <v>45903.0</v>
      </c>
      <c r="W512" s="65">
        <v>748.63</v>
      </c>
      <c r="X512" s="101" t="s">
        <v>80</v>
      </c>
      <c r="Y512" s="45">
        <v>45903.0</v>
      </c>
      <c r="Z512" s="65"/>
      <c r="AA512" s="101"/>
      <c r="AB512" s="45"/>
      <c r="AC512" s="65">
        <v>287.29</v>
      </c>
      <c r="AD512" s="101" t="s">
        <v>80</v>
      </c>
      <c r="AE512" s="45">
        <v>45925.0</v>
      </c>
      <c r="AF512" s="102"/>
      <c r="AG512" s="101"/>
      <c r="AH512" s="101"/>
      <c r="AI512" s="102"/>
    </row>
    <row r="513" ht="15.75" customHeight="1">
      <c r="A513" s="101" t="s">
        <v>61</v>
      </c>
      <c r="B513" s="101" t="s">
        <v>62</v>
      </c>
      <c r="C513" s="101" t="s">
        <v>63</v>
      </c>
      <c r="D513" s="101">
        <v>2.2004139E7</v>
      </c>
      <c r="E513" s="102" t="s">
        <v>871</v>
      </c>
      <c r="F513" s="45">
        <v>45931.0</v>
      </c>
      <c r="G513" s="45">
        <v>45904.0</v>
      </c>
      <c r="H513" s="101" t="s">
        <v>83</v>
      </c>
      <c r="I513" s="101" t="s">
        <v>76</v>
      </c>
      <c r="J513" s="101">
        <v>50.0</v>
      </c>
      <c r="K513" s="65">
        <v>28.57</v>
      </c>
      <c r="L513" s="65">
        <v>1428.5</v>
      </c>
      <c r="M513" s="103">
        <v>0.2</v>
      </c>
      <c r="N513" s="65">
        <v>285.7</v>
      </c>
      <c r="O513" s="65">
        <v>1714.2</v>
      </c>
      <c r="P513" s="101" t="s">
        <v>79</v>
      </c>
      <c r="Q513" s="65">
        <v>142.85</v>
      </c>
      <c r="R513" s="65">
        <v>1857.05</v>
      </c>
      <c r="S513" s="65">
        <v>999.95</v>
      </c>
      <c r="T513" s="65">
        <v>1857.05</v>
      </c>
      <c r="U513" s="101" t="s">
        <v>85</v>
      </c>
      <c r="V513" s="45">
        <v>45919.0</v>
      </c>
      <c r="W513" s="65"/>
      <c r="X513" s="101"/>
      <c r="Y513" s="45"/>
      <c r="Z513" s="65"/>
      <c r="AA513" s="101"/>
      <c r="AB513" s="45"/>
      <c r="AC513" s="65">
        <v>142.85</v>
      </c>
      <c r="AD513" s="101" t="s">
        <v>85</v>
      </c>
      <c r="AE513" s="45"/>
      <c r="AF513" s="102" t="s">
        <v>439</v>
      </c>
      <c r="AG513" s="101"/>
      <c r="AH513" s="101"/>
      <c r="AI513" s="102"/>
    </row>
    <row r="514" ht="15.75" customHeight="1">
      <c r="A514" s="101" t="s">
        <v>61</v>
      </c>
      <c r="B514" s="101" t="s">
        <v>62</v>
      </c>
      <c r="C514" s="101" t="s">
        <v>63</v>
      </c>
      <c r="D514" s="101">
        <v>2.200414E7</v>
      </c>
      <c r="E514" s="102" t="s">
        <v>195</v>
      </c>
      <c r="F514" s="45">
        <v>45911.0</v>
      </c>
      <c r="G514" s="45">
        <v>45904.0</v>
      </c>
      <c r="H514" s="101" t="s">
        <v>83</v>
      </c>
      <c r="I514" s="101" t="s">
        <v>76</v>
      </c>
      <c r="J514" s="101">
        <v>50.0</v>
      </c>
      <c r="K514" s="65">
        <v>24.6</v>
      </c>
      <c r="L514" s="65">
        <v>1230.0</v>
      </c>
      <c r="M514" s="103">
        <v>0.2</v>
      </c>
      <c r="N514" s="65">
        <v>246.0</v>
      </c>
      <c r="O514" s="65">
        <v>1476.0</v>
      </c>
      <c r="P514" s="101" t="s">
        <v>84</v>
      </c>
      <c r="Q514" s="65">
        <v>123.0</v>
      </c>
      <c r="R514" s="65">
        <v>1476.0</v>
      </c>
      <c r="S514" s="65">
        <v>861.0</v>
      </c>
      <c r="T514" s="65">
        <v>1476.0</v>
      </c>
      <c r="U514" s="101" t="s">
        <v>80</v>
      </c>
      <c r="V514" s="45">
        <v>45905.0</v>
      </c>
      <c r="W514" s="65"/>
      <c r="X514" s="101"/>
      <c r="Y514" s="45"/>
      <c r="Z514" s="65"/>
      <c r="AA514" s="101"/>
      <c r="AB514" s="45"/>
      <c r="AC514" s="65"/>
      <c r="AD514" s="101"/>
      <c r="AE514" s="45"/>
      <c r="AF514" s="102"/>
      <c r="AG514" s="101"/>
      <c r="AH514" s="101"/>
      <c r="AI514" s="102"/>
    </row>
    <row r="515" ht="15.75" customHeight="1">
      <c r="A515" s="101" t="s">
        <v>61</v>
      </c>
      <c r="B515" s="101" t="s">
        <v>62</v>
      </c>
      <c r="C515" s="101" t="s">
        <v>251</v>
      </c>
      <c r="D515" s="101">
        <v>2.2004141E7</v>
      </c>
      <c r="E515" s="102" t="s">
        <v>872</v>
      </c>
      <c r="F515" s="45">
        <v>45913.0</v>
      </c>
      <c r="G515" s="45">
        <v>45907.0</v>
      </c>
      <c r="H515" s="101" t="s">
        <v>73</v>
      </c>
      <c r="I515" s="101" t="s">
        <v>76</v>
      </c>
      <c r="J515" s="101">
        <v>36.0</v>
      </c>
      <c r="K515" s="65">
        <v>71.02777778</v>
      </c>
      <c r="L515" s="65">
        <v>2557.0</v>
      </c>
      <c r="M515" s="103">
        <v>0.2</v>
      </c>
      <c r="N515" s="65">
        <v>511.4</v>
      </c>
      <c r="O515" s="65">
        <v>3068.4</v>
      </c>
      <c r="P515" s="101" t="s">
        <v>84</v>
      </c>
      <c r="Q515" s="65">
        <v>255.7</v>
      </c>
      <c r="R515" s="65">
        <v>3068.4</v>
      </c>
      <c r="S515" s="65">
        <v>1789.9</v>
      </c>
      <c r="T515" s="65">
        <v>3068.4</v>
      </c>
      <c r="U515" s="101" t="s">
        <v>85</v>
      </c>
      <c r="V515" s="45">
        <v>45908.0</v>
      </c>
      <c r="W515" s="65">
        <v>129.0</v>
      </c>
      <c r="X515" s="101" t="s">
        <v>80</v>
      </c>
      <c r="Y515" s="45">
        <v>45854.0</v>
      </c>
      <c r="Z515" s="65"/>
      <c r="AA515" s="101"/>
      <c r="AB515" s="45"/>
      <c r="AC515" s="65"/>
      <c r="AD515" s="101"/>
      <c r="AE515" s="45"/>
      <c r="AF515" s="102"/>
      <c r="AG515" s="101"/>
      <c r="AH515" s="101"/>
      <c r="AI515" s="102"/>
    </row>
    <row r="516" ht="15.75" customHeight="1">
      <c r="A516" s="101" t="s">
        <v>61</v>
      </c>
      <c r="B516" s="101" t="s">
        <v>62</v>
      </c>
      <c r="C516" s="101" t="s">
        <v>63</v>
      </c>
      <c r="D516" s="101">
        <v>2.2004142E7</v>
      </c>
      <c r="E516" s="102" t="s">
        <v>873</v>
      </c>
      <c r="F516" s="45">
        <v>45918.0</v>
      </c>
      <c r="G516" s="45">
        <v>45908.0</v>
      </c>
      <c r="H516" s="101" t="s">
        <v>83</v>
      </c>
      <c r="I516" s="101" t="s">
        <v>76</v>
      </c>
      <c r="J516" s="101">
        <v>100.0</v>
      </c>
      <c r="K516" s="65">
        <v>45.68</v>
      </c>
      <c r="L516" s="65">
        <v>4568.0</v>
      </c>
      <c r="M516" s="103">
        <v>0.2</v>
      </c>
      <c r="N516" s="65">
        <v>913.6</v>
      </c>
      <c r="O516" s="65">
        <v>5481.6</v>
      </c>
      <c r="P516" s="101" t="s">
        <v>79</v>
      </c>
      <c r="Q516" s="65">
        <v>456.8</v>
      </c>
      <c r="R516" s="65">
        <v>5938.4</v>
      </c>
      <c r="S516" s="65">
        <v>3197.6</v>
      </c>
      <c r="T516" s="65">
        <v>5938.4</v>
      </c>
      <c r="U516" s="101" t="s">
        <v>85</v>
      </c>
      <c r="V516" s="45">
        <v>45910.0</v>
      </c>
      <c r="W516" s="65"/>
      <c r="X516" s="101"/>
      <c r="Y516" s="45"/>
      <c r="Z516" s="65"/>
      <c r="AA516" s="101"/>
      <c r="AB516" s="45"/>
      <c r="AC516" s="65">
        <v>456.8</v>
      </c>
      <c r="AD516" s="101" t="s">
        <v>85</v>
      </c>
      <c r="AE516" s="45">
        <v>45926.0</v>
      </c>
      <c r="AF516" s="102" t="s">
        <v>584</v>
      </c>
      <c r="AG516" s="101" t="s">
        <v>379</v>
      </c>
      <c r="AH516" s="101">
        <v>8.1383779E7</v>
      </c>
      <c r="AI516" s="102" t="s">
        <v>383</v>
      </c>
    </row>
    <row r="517" ht="15.75" customHeight="1">
      <c r="A517" s="101" t="s">
        <v>61</v>
      </c>
      <c r="B517" s="101" t="s">
        <v>62</v>
      </c>
      <c r="C517" s="101" t="s">
        <v>63</v>
      </c>
      <c r="D517" s="101">
        <v>2.2004143E7</v>
      </c>
      <c r="E517" s="102" t="s">
        <v>874</v>
      </c>
      <c r="F517" s="45">
        <v>45917.0</v>
      </c>
      <c r="G517" s="45">
        <v>45910.0</v>
      </c>
      <c r="H517" s="101" t="s">
        <v>73</v>
      </c>
      <c r="I517" s="101" t="s">
        <v>119</v>
      </c>
      <c r="J517" s="101">
        <v>20.0</v>
      </c>
      <c r="K517" s="65">
        <v>170.89</v>
      </c>
      <c r="L517" s="65">
        <v>3417.8</v>
      </c>
      <c r="M517" s="103">
        <v>0.2</v>
      </c>
      <c r="N517" s="65">
        <v>683.56</v>
      </c>
      <c r="O517" s="65">
        <v>4101.36</v>
      </c>
      <c r="P517" s="101" t="s">
        <v>79</v>
      </c>
      <c r="Q517" s="65">
        <v>341.78</v>
      </c>
      <c r="R517" s="65">
        <v>4443.14</v>
      </c>
      <c r="S517" s="65">
        <v>2392.46</v>
      </c>
      <c r="T517" s="65"/>
      <c r="U517" s="101"/>
      <c r="V517" s="45"/>
      <c r="W517" s="65"/>
      <c r="X517" s="101"/>
      <c r="Y517" s="45"/>
      <c r="Z517" s="65"/>
      <c r="AA517" s="101"/>
      <c r="AB517" s="45"/>
      <c r="AC517" s="65"/>
      <c r="AD517" s="101"/>
      <c r="AE517" s="45"/>
      <c r="AF517" s="102"/>
      <c r="AG517" s="101"/>
      <c r="AH517" s="101"/>
      <c r="AI517" s="102"/>
    </row>
    <row r="518" ht="15.75" customHeight="1">
      <c r="A518" s="101" t="s">
        <v>61</v>
      </c>
      <c r="B518" s="101" t="s">
        <v>62</v>
      </c>
      <c r="C518" s="101" t="s">
        <v>63</v>
      </c>
      <c r="D518" s="101">
        <v>2.2004144E7</v>
      </c>
      <c r="E518" s="102" t="s">
        <v>241</v>
      </c>
      <c r="F518" s="45">
        <v>45974.0</v>
      </c>
      <c r="G518" s="45">
        <v>45911.0</v>
      </c>
      <c r="H518" s="101" t="s">
        <v>83</v>
      </c>
      <c r="I518" s="101" t="s">
        <v>76</v>
      </c>
      <c r="J518" s="101">
        <v>30.0</v>
      </c>
      <c r="K518" s="65">
        <v>56.78333333</v>
      </c>
      <c r="L518" s="65">
        <v>1703.5</v>
      </c>
      <c r="M518" s="103">
        <v>0.2</v>
      </c>
      <c r="N518" s="65">
        <v>340.7</v>
      </c>
      <c r="O518" s="65">
        <v>2044.2</v>
      </c>
      <c r="P518" s="101" t="s">
        <v>79</v>
      </c>
      <c r="Q518" s="65">
        <v>170.35</v>
      </c>
      <c r="R518" s="65">
        <v>2214.55</v>
      </c>
      <c r="S518" s="65">
        <v>1192.45</v>
      </c>
      <c r="T518" s="65">
        <v>914.1</v>
      </c>
      <c r="U518" s="101" t="s">
        <v>80</v>
      </c>
      <c r="V518" s="45">
        <v>45920.0</v>
      </c>
      <c r="W518" s="65">
        <v>1300.45</v>
      </c>
      <c r="X518" s="101" t="s">
        <v>85</v>
      </c>
      <c r="Y518" s="45">
        <v>45966.0</v>
      </c>
      <c r="Z518" s="65"/>
      <c r="AA518" s="101"/>
      <c r="AB518" s="45"/>
      <c r="AC518" s="65">
        <v>170.35</v>
      </c>
      <c r="AD518" s="101" t="s">
        <v>80</v>
      </c>
      <c r="AE518" s="45">
        <v>45985.0</v>
      </c>
      <c r="AF518" s="102"/>
      <c r="AG518" s="101"/>
      <c r="AH518" s="101"/>
      <c r="AI518" s="102"/>
    </row>
    <row r="519" ht="15.75" customHeight="1">
      <c r="A519" s="101" t="s">
        <v>61</v>
      </c>
      <c r="B519" s="101" t="s">
        <v>62</v>
      </c>
      <c r="C519" s="101" t="s">
        <v>63</v>
      </c>
      <c r="D519" s="101">
        <v>2.2004145E7</v>
      </c>
      <c r="E519" s="102" t="s">
        <v>161</v>
      </c>
      <c r="F519" s="45">
        <v>45925.0</v>
      </c>
      <c r="G519" s="45">
        <v>45917.0</v>
      </c>
      <c r="H519" s="101" t="s">
        <v>83</v>
      </c>
      <c r="I519" s="101" t="s">
        <v>76</v>
      </c>
      <c r="J519" s="101">
        <v>15.0</v>
      </c>
      <c r="K519" s="65">
        <v>83.3</v>
      </c>
      <c r="L519" s="65">
        <v>1249.5</v>
      </c>
      <c r="M519" s="103">
        <v>0.2</v>
      </c>
      <c r="N519" s="65">
        <v>249.9</v>
      </c>
      <c r="O519" s="65">
        <v>1499.4</v>
      </c>
      <c r="P519" s="101" t="s">
        <v>79</v>
      </c>
      <c r="Q519" s="65">
        <v>124.95</v>
      </c>
      <c r="R519" s="65">
        <v>1624.35</v>
      </c>
      <c r="S519" s="65">
        <v>874.65</v>
      </c>
      <c r="T519" s="65">
        <v>1624.35</v>
      </c>
      <c r="U519" s="101" t="s">
        <v>80</v>
      </c>
      <c r="V519" s="45">
        <v>45919.0</v>
      </c>
      <c r="W519" s="65"/>
      <c r="X519" s="101"/>
      <c r="Y519" s="45"/>
      <c r="Z519" s="65"/>
      <c r="AA519" s="101"/>
      <c r="AB519" s="45"/>
      <c r="AC519" s="65">
        <v>57.75</v>
      </c>
      <c r="AD519" s="101" t="s">
        <v>80</v>
      </c>
      <c r="AE519" s="45">
        <v>45929.0</v>
      </c>
      <c r="AF519" s="102"/>
      <c r="AG519" s="101"/>
      <c r="AH519" s="101"/>
      <c r="AI519" s="102"/>
    </row>
    <row r="520" ht="15.75" customHeight="1">
      <c r="A520" s="101" t="s">
        <v>61</v>
      </c>
      <c r="B520" s="101" t="s">
        <v>62</v>
      </c>
      <c r="C520" s="101" t="s">
        <v>63</v>
      </c>
      <c r="D520" s="101">
        <v>2.2004146E7</v>
      </c>
      <c r="E520" s="102" t="s">
        <v>161</v>
      </c>
      <c r="F520" s="45">
        <v>45926.0</v>
      </c>
      <c r="G520" s="45">
        <v>45917.0</v>
      </c>
      <c r="H520" s="101" t="s">
        <v>83</v>
      </c>
      <c r="I520" s="101" t="s">
        <v>76</v>
      </c>
      <c r="J520" s="101">
        <v>25.0</v>
      </c>
      <c r="K520" s="65">
        <v>65.29</v>
      </c>
      <c r="L520" s="65">
        <v>1632.25</v>
      </c>
      <c r="M520" s="103">
        <v>0.2</v>
      </c>
      <c r="N520" s="65">
        <v>326.45</v>
      </c>
      <c r="O520" s="65">
        <v>1958.7</v>
      </c>
      <c r="P520" s="101" t="s">
        <v>79</v>
      </c>
      <c r="Q520" s="65">
        <v>163.225</v>
      </c>
      <c r="R520" s="65">
        <v>2121.925</v>
      </c>
      <c r="S520" s="65">
        <v>1142.575</v>
      </c>
      <c r="T520" s="65">
        <v>2121.92</v>
      </c>
      <c r="U520" s="101" t="s">
        <v>80</v>
      </c>
      <c r="V520" s="45">
        <v>45919.0</v>
      </c>
      <c r="W520" s="65"/>
      <c r="X520" s="101"/>
      <c r="Y520" s="45"/>
      <c r="Z520" s="65"/>
      <c r="AA520" s="101"/>
      <c r="AB520" s="45"/>
      <c r="AC520" s="65">
        <v>112.82</v>
      </c>
      <c r="AD520" s="101" t="s">
        <v>80</v>
      </c>
      <c r="AE520" s="45">
        <v>45929.0</v>
      </c>
      <c r="AF520" s="102"/>
      <c r="AG520" s="101"/>
      <c r="AH520" s="101"/>
      <c r="AI520" s="102"/>
    </row>
    <row r="521" ht="15.75" customHeight="1">
      <c r="A521" s="101" t="s">
        <v>61</v>
      </c>
      <c r="B521" s="101" t="s">
        <v>62</v>
      </c>
      <c r="C521" s="101" t="s">
        <v>63</v>
      </c>
      <c r="D521" s="101">
        <v>2.2004147E7</v>
      </c>
      <c r="E521" s="102" t="s">
        <v>875</v>
      </c>
      <c r="F521" s="45">
        <v>45924.0</v>
      </c>
      <c r="G521" s="45">
        <v>45919.0</v>
      </c>
      <c r="H521" s="101" t="s">
        <v>73</v>
      </c>
      <c r="I521" s="101" t="s">
        <v>76</v>
      </c>
      <c r="J521" s="101">
        <v>100.0</v>
      </c>
      <c r="K521" s="65">
        <v>39.355</v>
      </c>
      <c r="L521" s="65">
        <v>3935.5</v>
      </c>
      <c r="M521" s="103">
        <v>0.2</v>
      </c>
      <c r="N521" s="65">
        <v>787.1</v>
      </c>
      <c r="O521" s="65">
        <v>4722.6</v>
      </c>
      <c r="P521" s="101" t="s">
        <v>79</v>
      </c>
      <c r="Q521" s="65">
        <v>393.55</v>
      </c>
      <c r="R521" s="65">
        <v>5116.15</v>
      </c>
      <c r="S521" s="65">
        <v>2754.85</v>
      </c>
      <c r="T521" s="65">
        <v>5088.93</v>
      </c>
      <c r="U521" s="101" t="s">
        <v>85</v>
      </c>
      <c r="V521" s="45">
        <v>45923.0</v>
      </c>
      <c r="W521" s="65"/>
      <c r="X521" s="101"/>
      <c r="Y521" s="45"/>
      <c r="Z521" s="65"/>
      <c r="AA521" s="101"/>
      <c r="AB521" s="45"/>
      <c r="AC521" s="65">
        <v>366.33</v>
      </c>
      <c r="AD521" s="101" t="s">
        <v>85</v>
      </c>
      <c r="AE521" s="45">
        <v>45937.0</v>
      </c>
      <c r="AF521" s="102" t="s">
        <v>876</v>
      </c>
      <c r="AG521" s="101" t="s">
        <v>877</v>
      </c>
      <c r="AH521" s="101" t="s">
        <v>878</v>
      </c>
      <c r="AI521" s="102" t="s">
        <v>879</v>
      </c>
    </row>
    <row r="522" ht="15.75" customHeight="1">
      <c r="A522" s="101" t="s">
        <v>61</v>
      </c>
      <c r="B522" s="101" t="s">
        <v>62</v>
      </c>
      <c r="C522" s="101" t="s">
        <v>63</v>
      </c>
      <c r="D522" s="101">
        <v>2.2004148E7</v>
      </c>
      <c r="E522" s="102" t="s">
        <v>880</v>
      </c>
      <c r="F522" s="45">
        <v>45924.0</v>
      </c>
      <c r="G522" s="45">
        <v>45919.0</v>
      </c>
      <c r="H522" s="101" t="s">
        <v>73</v>
      </c>
      <c r="I522" s="101" t="s">
        <v>119</v>
      </c>
      <c r="J522" s="101">
        <v>30.0</v>
      </c>
      <c r="K522" s="65">
        <v>65.74166667</v>
      </c>
      <c r="L522" s="65">
        <v>1972.25</v>
      </c>
      <c r="M522" s="103">
        <v>0.2</v>
      </c>
      <c r="N522" s="65">
        <v>394.45</v>
      </c>
      <c r="O522" s="65">
        <v>2366.7</v>
      </c>
      <c r="P522" s="101" t="s">
        <v>79</v>
      </c>
      <c r="Q522" s="65">
        <v>197.225</v>
      </c>
      <c r="R522" s="65">
        <v>2563.925</v>
      </c>
      <c r="S522" s="65">
        <v>1380.575</v>
      </c>
      <c r="T522" s="65"/>
      <c r="U522" s="101"/>
      <c r="V522" s="45"/>
      <c r="W522" s="65"/>
      <c r="X522" s="101"/>
      <c r="Y522" s="45"/>
      <c r="Z522" s="65"/>
      <c r="AA522" s="101"/>
      <c r="AB522" s="45"/>
      <c r="AC522" s="65"/>
      <c r="AD522" s="101"/>
      <c r="AE522" s="45"/>
      <c r="AF522" s="102"/>
      <c r="AG522" s="101"/>
      <c r="AH522" s="101"/>
      <c r="AI522" s="102"/>
    </row>
    <row r="523" ht="15.75" customHeight="1">
      <c r="A523" s="101" t="s">
        <v>61</v>
      </c>
      <c r="B523" s="101" t="s">
        <v>62</v>
      </c>
      <c r="C523" s="101" t="s">
        <v>63</v>
      </c>
      <c r="D523" s="101">
        <v>2.2004149E7</v>
      </c>
      <c r="E523" s="102" t="s">
        <v>137</v>
      </c>
      <c r="F523" s="45">
        <v>45932.0</v>
      </c>
      <c r="G523" s="45">
        <v>45922.0</v>
      </c>
      <c r="H523" s="101" t="s">
        <v>73</v>
      </c>
      <c r="I523" s="101" t="s">
        <v>76</v>
      </c>
      <c r="J523" s="101">
        <v>30.0</v>
      </c>
      <c r="K523" s="65">
        <v>116.3333333</v>
      </c>
      <c r="L523" s="65">
        <v>3490.0</v>
      </c>
      <c r="M523" s="103">
        <v>0.2</v>
      </c>
      <c r="N523" s="65">
        <v>698.0</v>
      </c>
      <c r="O523" s="65">
        <v>4188.0</v>
      </c>
      <c r="P523" s="101" t="s">
        <v>79</v>
      </c>
      <c r="Q523" s="65">
        <v>349.0</v>
      </c>
      <c r="R523" s="65">
        <v>4537.0</v>
      </c>
      <c r="S523" s="65">
        <v>2443.0</v>
      </c>
      <c r="T523" s="65">
        <v>4537.0</v>
      </c>
      <c r="U523" s="101" t="s">
        <v>85</v>
      </c>
      <c r="V523" s="45">
        <v>45926.0</v>
      </c>
      <c r="W523" s="65"/>
      <c r="X523" s="101"/>
      <c r="Y523" s="45"/>
      <c r="Z523" s="65"/>
      <c r="AA523" s="101"/>
      <c r="AB523" s="45"/>
      <c r="AC523" s="65">
        <v>218.8</v>
      </c>
      <c r="AD523" s="101" t="s">
        <v>85</v>
      </c>
      <c r="AE523" s="45">
        <v>45936.0</v>
      </c>
      <c r="AF523" s="102" t="s">
        <v>378</v>
      </c>
      <c r="AG523" s="101" t="s">
        <v>379</v>
      </c>
      <c r="AH523" s="101">
        <v>8.1253972E7</v>
      </c>
      <c r="AI523" s="102"/>
    </row>
    <row r="524" ht="15.75" customHeight="1">
      <c r="A524" s="101" t="s">
        <v>61</v>
      </c>
      <c r="B524" s="101" t="s">
        <v>62</v>
      </c>
      <c r="C524" s="101" t="s">
        <v>63</v>
      </c>
      <c r="D524" s="101">
        <v>2.200415E7</v>
      </c>
      <c r="E524" s="102" t="s">
        <v>881</v>
      </c>
      <c r="F524" s="45">
        <v>45931.0</v>
      </c>
      <c r="G524" s="45">
        <v>45922.0</v>
      </c>
      <c r="H524" s="101" t="s">
        <v>73</v>
      </c>
      <c r="I524" s="101" t="s">
        <v>76</v>
      </c>
      <c r="J524" s="101">
        <v>90.0</v>
      </c>
      <c r="K524" s="65">
        <v>5071.0</v>
      </c>
      <c r="L524" s="65"/>
      <c r="M524" s="103">
        <v>0.2</v>
      </c>
      <c r="N524" s="65"/>
      <c r="O524" s="65"/>
      <c r="P524" s="101" t="s">
        <v>84</v>
      </c>
      <c r="Q524" s="65"/>
      <c r="R524" s="65"/>
      <c r="S524" s="65"/>
      <c r="T524" s="65">
        <v>6085.2</v>
      </c>
      <c r="U524" s="101" t="s">
        <v>80</v>
      </c>
      <c r="V524" s="45">
        <v>45926.0</v>
      </c>
      <c r="W524" s="65"/>
      <c r="X524" s="101"/>
      <c r="Y524" s="45"/>
      <c r="Z524" s="65"/>
      <c r="AA524" s="101"/>
      <c r="AB524" s="45"/>
      <c r="AC524" s="65"/>
      <c r="AD524" s="101"/>
      <c r="AE524" s="45"/>
      <c r="AF524" s="102"/>
      <c r="AG524" s="101"/>
      <c r="AH524" s="101"/>
      <c r="AI524" s="102"/>
    </row>
    <row r="525" ht="15.75" customHeight="1">
      <c r="A525" s="101" t="s">
        <v>167</v>
      </c>
      <c r="B525" s="101" t="s">
        <v>62</v>
      </c>
      <c r="C525" s="101" t="s">
        <v>251</v>
      </c>
      <c r="D525" s="101">
        <v>2.2004151E7</v>
      </c>
      <c r="E525" s="102" t="s">
        <v>882</v>
      </c>
      <c r="F525" s="45">
        <v>45925.0</v>
      </c>
      <c r="G525" s="45">
        <v>45922.0</v>
      </c>
      <c r="H525" s="101"/>
      <c r="I525" s="101" t="s">
        <v>76</v>
      </c>
      <c r="J525" s="101">
        <v>1.0</v>
      </c>
      <c r="K525" s="65">
        <v>200.0</v>
      </c>
      <c r="L525" s="65">
        <v>200.0</v>
      </c>
      <c r="M525" s="103">
        <v>0.0</v>
      </c>
      <c r="N525" s="65">
        <v>0.0</v>
      </c>
      <c r="O525" s="65">
        <v>200.0</v>
      </c>
      <c r="P525" s="101" t="s">
        <v>84</v>
      </c>
      <c r="Q525" s="65">
        <v>20.0</v>
      </c>
      <c r="R525" s="65">
        <v>200.0</v>
      </c>
      <c r="S525" s="65">
        <v>120.0</v>
      </c>
      <c r="T525" s="65"/>
      <c r="U525" s="101"/>
      <c r="V525" s="45"/>
      <c r="W525" s="65"/>
      <c r="X525" s="101"/>
      <c r="Y525" s="45"/>
      <c r="Z525" s="65"/>
      <c r="AA525" s="101"/>
      <c r="AB525" s="45"/>
      <c r="AC525" s="65"/>
      <c r="AD525" s="101"/>
      <c r="AE525" s="45"/>
      <c r="AF525" s="102"/>
      <c r="AG525" s="101"/>
      <c r="AH525" s="101"/>
      <c r="AI525" s="102"/>
    </row>
    <row r="526" ht="15.75" customHeight="1">
      <c r="A526" s="101" t="s">
        <v>61</v>
      </c>
      <c r="B526" s="101" t="s">
        <v>62</v>
      </c>
      <c r="C526" s="101" t="s">
        <v>63</v>
      </c>
      <c r="D526" s="101">
        <v>2.2004152E7</v>
      </c>
      <c r="E526" s="102" t="s">
        <v>883</v>
      </c>
      <c r="F526" s="45">
        <v>45932.0</v>
      </c>
      <c r="G526" s="45">
        <v>45925.0</v>
      </c>
      <c r="H526" s="101" t="s">
        <v>83</v>
      </c>
      <c r="I526" s="101" t="s">
        <v>76</v>
      </c>
      <c r="J526" s="101">
        <v>25.0</v>
      </c>
      <c r="K526" s="65">
        <v>31.61</v>
      </c>
      <c r="L526" s="65">
        <v>790.25</v>
      </c>
      <c r="M526" s="103">
        <v>0.2</v>
      </c>
      <c r="N526" s="65">
        <v>158.05</v>
      </c>
      <c r="O526" s="65">
        <v>948.3</v>
      </c>
      <c r="P526" s="101" t="s">
        <v>79</v>
      </c>
      <c r="Q526" s="65">
        <v>79.025</v>
      </c>
      <c r="R526" s="65">
        <v>1027.325</v>
      </c>
      <c r="S526" s="65">
        <v>553.175</v>
      </c>
      <c r="T526" s="65">
        <v>1027.33</v>
      </c>
      <c r="U526" s="101" t="s">
        <v>80</v>
      </c>
      <c r="V526" s="45">
        <v>45929.0</v>
      </c>
      <c r="W526" s="65"/>
      <c r="X526" s="101"/>
      <c r="Y526" s="45"/>
      <c r="Z526" s="65"/>
      <c r="AA526" s="101"/>
      <c r="AB526" s="45"/>
      <c r="AC526" s="65">
        <v>103.26</v>
      </c>
      <c r="AD526" s="101" t="s">
        <v>80</v>
      </c>
      <c r="AE526" s="45">
        <v>45936.0</v>
      </c>
      <c r="AF526" s="102"/>
      <c r="AG526" s="101"/>
      <c r="AH526" s="101"/>
      <c r="AI526" s="102"/>
    </row>
    <row r="527" ht="15.75" customHeight="1">
      <c r="A527" s="101" t="s">
        <v>61</v>
      </c>
      <c r="B527" s="101" t="s">
        <v>62</v>
      </c>
      <c r="C527" s="101" t="s">
        <v>63</v>
      </c>
      <c r="D527" s="101">
        <v>2.2004153E7</v>
      </c>
      <c r="E527" s="102" t="s">
        <v>884</v>
      </c>
      <c r="F527" s="45">
        <v>45929.0</v>
      </c>
      <c r="G527" s="45">
        <v>45926.0</v>
      </c>
      <c r="H527" s="101" t="s">
        <v>73</v>
      </c>
      <c r="I527" s="101" t="s">
        <v>76</v>
      </c>
      <c r="J527" s="101">
        <v>6.0</v>
      </c>
      <c r="K527" s="65">
        <v>83.5</v>
      </c>
      <c r="L527" s="65">
        <v>501.0</v>
      </c>
      <c r="M527" s="103">
        <v>0.2</v>
      </c>
      <c r="N527" s="65">
        <v>100.2</v>
      </c>
      <c r="O527" s="65">
        <v>601.2</v>
      </c>
      <c r="P527" s="101" t="s">
        <v>84</v>
      </c>
      <c r="Q527" s="65">
        <v>50.1</v>
      </c>
      <c r="R527" s="65">
        <v>601.2</v>
      </c>
      <c r="S527" s="65">
        <v>350.7</v>
      </c>
      <c r="T527" s="65">
        <v>601.2</v>
      </c>
      <c r="U527" s="101" t="s">
        <v>80</v>
      </c>
      <c r="V527" s="45">
        <v>45926.0</v>
      </c>
      <c r="W527" s="65"/>
      <c r="X527" s="101"/>
      <c r="Y527" s="45"/>
      <c r="Z527" s="65"/>
      <c r="AA527" s="101"/>
      <c r="AB527" s="45"/>
      <c r="AC527" s="65"/>
      <c r="AD527" s="101"/>
      <c r="AE527" s="45"/>
      <c r="AF527" s="102"/>
      <c r="AG527" s="101"/>
      <c r="AH527" s="101"/>
      <c r="AI527" s="102"/>
    </row>
    <row r="528" ht="15.75" customHeight="1">
      <c r="A528" s="101" t="s">
        <v>61</v>
      </c>
      <c r="B528" s="101" t="s">
        <v>62</v>
      </c>
      <c r="C528" s="101" t="s">
        <v>63</v>
      </c>
      <c r="D528" s="101">
        <v>2.2004154E7</v>
      </c>
      <c r="E528" s="102" t="s">
        <v>885</v>
      </c>
      <c r="F528" s="45">
        <v>45945.0</v>
      </c>
      <c r="G528" s="45">
        <v>45926.0</v>
      </c>
      <c r="H528" s="101" t="s">
        <v>83</v>
      </c>
      <c r="I528" s="101" t="s">
        <v>76</v>
      </c>
      <c r="J528" s="101">
        <v>145.0</v>
      </c>
      <c r="K528" s="65">
        <v>112.8448276</v>
      </c>
      <c r="L528" s="65">
        <v>16362.5</v>
      </c>
      <c r="M528" s="103">
        <v>0.2</v>
      </c>
      <c r="N528" s="65">
        <v>3272.5</v>
      </c>
      <c r="O528" s="65">
        <v>19635.0</v>
      </c>
      <c r="P528" s="101" t="s">
        <v>79</v>
      </c>
      <c r="Q528" s="65">
        <v>1636.25</v>
      </c>
      <c r="R528" s="65">
        <v>21271.25</v>
      </c>
      <c r="S528" s="65">
        <v>11453.75</v>
      </c>
      <c r="T528" s="65">
        <v>9795.9</v>
      </c>
      <c r="U528" s="101" t="s">
        <v>85</v>
      </c>
      <c r="V528" s="45">
        <v>45937.0</v>
      </c>
      <c r="W528" s="65">
        <v>9795.9</v>
      </c>
      <c r="X528" s="101" t="s">
        <v>85</v>
      </c>
      <c r="Y528" s="45">
        <v>45937.0</v>
      </c>
      <c r="Z528" s="65"/>
      <c r="AA528" s="101"/>
      <c r="AB528" s="45"/>
      <c r="AC528" s="65">
        <v>1160.45</v>
      </c>
      <c r="AD528" s="101" t="s">
        <v>85</v>
      </c>
      <c r="AE528" s="45">
        <v>45957.0</v>
      </c>
      <c r="AF528" s="102"/>
      <c r="AG528" s="101"/>
      <c r="AH528" s="101"/>
      <c r="AI528" s="102"/>
    </row>
    <row r="529" ht="15.75" customHeight="1">
      <c r="A529" s="101" t="s">
        <v>61</v>
      </c>
      <c r="B529" s="101" t="s">
        <v>62</v>
      </c>
      <c r="C529" s="101" t="s">
        <v>63</v>
      </c>
      <c r="D529" s="101">
        <v>2.2004155E7</v>
      </c>
      <c r="E529" s="102" t="s">
        <v>413</v>
      </c>
      <c r="F529" s="45">
        <v>45937.0</v>
      </c>
      <c r="G529" s="45">
        <v>45930.0</v>
      </c>
      <c r="H529" s="101" t="s">
        <v>83</v>
      </c>
      <c r="I529" s="101" t="s">
        <v>76</v>
      </c>
      <c r="J529" s="101">
        <v>12.0</v>
      </c>
      <c r="K529" s="65">
        <v>140.225</v>
      </c>
      <c r="L529" s="65">
        <v>1682.7</v>
      </c>
      <c r="M529" s="103">
        <v>0.2</v>
      </c>
      <c r="N529" s="65">
        <v>336.54</v>
      </c>
      <c r="O529" s="65">
        <v>2019.24</v>
      </c>
      <c r="P529" s="101" t="s">
        <v>79</v>
      </c>
      <c r="Q529" s="65">
        <v>168.27</v>
      </c>
      <c r="R529" s="65">
        <v>2187.51</v>
      </c>
      <c r="S529" s="65">
        <v>1177.89</v>
      </c>
      <c r="T529" s="65">
        <v>2187.51</v>
      </c>
      <c r="U529" s="101" t="s">
        <v>80</v>
      </c>
      <c r="V529" s="45">
        <v>45931.0</v>
      </c>
      <c r="W529" s="65"/>
      <c r="X529" s="101"/>
      <c r="Y529" s="45"/>
      <c r="Z529" s="65"/>
      <c r="AA529" s="101"/>
      <c r="AB529" s="45"/>
      <c r="AC529" s="65">
        <v>168.27</v>
      </c>
      <c r="AD529" s="101" t="s">
        <v>80</v>
      </c>
      <c r="AE529" s="45">
        <v>45939.0</v>
      </c>
      <c r="AF529" s="102"/>
      <c r="AG529" s="101"/>
      <c r="AH529" s="101"/>
      <c r="AI529" s="102"/>
    </row>
    <row r="530" ht="15.75" customHeight="1">
      <c r="A530" s="101" t="s">
        <v>61</v>
      </c>
      <c r="B530" s="101" t="s">
        <v>62</v>
      </c>
      <c r="C530" s="101" t="s">
        <v>63</v>
      </c>
      <c r="D530" s="101">
        <v>2.2004156E7</v>
      </c>
      <c r="E530" s="102" t="s">
        <v>171</v>
      </c>
      <c r="F530" s="45">
        <v>45937.0</v>
      </c>
      <c r="G530" s="45">
        <v>45930.0</v>
      </c>
      <c r="H530" s="101" t="s">
        <v>83</v>
      </c>
      <c r="I530" s="101" t="s">
        <v>76</v>
      </c>
      <c r="J530" s="101">
        <v>60.0</v>
      </c>
      <c r="K530" s="65">
        <v>27.33333333</v>
      </c>
      <c r="L530" s="65">
        <v>1640.0</v>
      </c>
      <c r="M530" s="103">
        <v>0.2</v>
      </c>
      <c r="N530" s="65">
        <v>328.0</v>
      </c>
      <c r="O530" s="65">
        <v>1968.0</v>
      </c>
      <c r="P530" s="101" t="s">
        <v>79</v>
      </c>
      <c r="Q530" s="65">
        <v>164.0</v>
      </c>
      <c r="R530" s="65">
        <v>2132.0</v>
      </c>
      <c r="S530" s="65">
        <v>1148.0</v>
      </c>
      <c r="T530" s="65">
        <v>2132.0</v>
      </c>
      <c r="U530" s="101" t="s">
        <v>85</v>
      </c>
      <c r="V530" s="45">
        <v>45931.0</v>
      </c>
      <c r="W530" s="65"/>
      <c r="X530" s="101"/>
      <c r="Y530" s="45"/>
      <c r="Z530" s="65"/>
      <c r="AA530" s="101"/>
      <c r="AB530" s="45"/>
      <c r="AC530" s="65">
        <v>164.0</v>
      </c>
      <c r="AD530" s="101" t="s">
        <v>85</v>
      </c>
      <c r="AE530" s="45">
        <v>45939.0</v>
      </c>
      <c r="AF530" s="102" t="s">
        <v>572</v>
      </c>
      <c r="AG530" s="128">
        <v>29364.0</v>
      </c>
      <c r="AH530" s="101">
        <v>1.8260492E7</v>
      </c>
      <c r="AI530" s="102"/>
    </row>
    <row r="531" ht="15.75" customHeight="1">
      <c r="A531" s="101" t="s">
        <v>61</v>
      </c>
      <c r="B531" s="101" t="s">
        <v>62</v>
      </c>
      <c r="C531" s="101" t="s">
        <v>63</v>
      </c>
      <c r="D531" s="101">
        <v>2.2004157E7</v>
      </c>
      <c r="E531" s="102" t="s">
        <v>886</v>
      </c>
      <c r="F531" s="45">
        <v>45939.0</v>
      </c>
      <c r="G531" s="45">
        <v>45930.0</v>
      </c>
      <c r="H531" s="101" t="s">
        <v>73</v>
      </c>
      <c r="I531" s="101" t="s">
        <v>76</v>
      </c>
      <c r="J531" s="101">
        <v>40.0</v>
      </c>
      <c r="K531" s="65">
        <v>70.545</v>
      </c>
      <c r="L531" s="65">
        <v>2821.8</v>
      </c>
      <c r="M531" s="103">
        <v>0.2</v>
      </c>
      <c r="N531" s="65">
        <v>564.36</v>
      </c>
      <c r="O531" s="65">
        <v>3386.16</v>
      </c>
      <c r="P531" s="101" t="s">
        <v>79</v>
      </c>
      <c r="Q531" s="65">
        <v>282.18</v>
      </c>
      <c r="R531" s="65">
        <v>3668.34</v>
      </c>
      <c r="S531" s="65">
        <v>1975.26</v>
      </c>
      <c r="T531" s="65">
        <v>3668.34</v>
      </c>
      <c r="U531" s="101" t="s">
        <v>85</v>
      </c>
      <c r="V531" s="45">
        <v>45937.0</v>
      </c>
      <c r="W531" s="65"/>
      <c r="X531" s="101"/>
      <c r="Y531" s="45"/>
      <c r="Z531" s="65"/>
      <c r="AA531" s="101"/>
      <c r="AB531" s="45"/>
      <c r="AC531" s="65">
        <v>282.18</v>
      </c>
      <c r="AD531" s="101" t="s">
        <v>85</v>
      </c>
      <c r="AE531" s="45">
        <v>45942.0</v>
      </c>
      <c r="AF531" s="102" t="s">
        <v>887</v>
      </c>
      <c r="AG531" s="101" t="s">
        <v>888</v>
      </c>
      <c r="AH531" s="101">
        <v>9.0689742E7</v>
      </c>
      <c r="AI531" s="102"/>
    </row>
    <row r="532" ht="15.75" customHeight="1">
      <c r="A532" s="101" t="s">
        <v>61</v>
      </c>
      <c r="B532" s="101" t="s">
        <v>62</v>
      </c>
      <c r="C532" s="101" t="s">
        <v>63</v>
      </c>
      <c r="D532" s="101">
        <v>2.2004158E7</v>
      </c>
      <c r="E532" s="102" t="s">
        <v>130</v>
      </c>
      <c r="F532" s="45">
        <v>45959.0</v>
      </c>
      <c r="G532" s="45">
        <v>45936.0</v>
      </c>
      <c r="H532" s="101" t="s">
        <v>73</v>
      </c>
      <c r="I532" s="101" t="s">
        <v>76</v>
      </c>
      <c r="J532" s="101">
        <v>50.0</v>
      </c>
      <c r="K532" s="65">
        <v>66.778</v>
      </c>
      <c r="L532" s="65">
        <v>3338.9</v>
      </c>
      <c r="M532" s="103">
        <v>0.2</v>
      </c>
      <c r="N532" s="65">
        <v>667.78</v>
      </c>
      <c r="O532" s="65">
        <v>4006.68</v>
      </c>
      <c r="P532" s="101" t="s">
        <v>79</v>
      </c>
      <c r="Q532" s="65">
        <v>333.89</v>
      </c>
      <c r="R532" s="65">
        <v>4340.57</v>
      </c>
      <c r="S532" s="65">
        <v>2337.23</v>
      </c>
      <c r="T532" s="65">
        <v>3692.0</v>
      </c>
      <c r="U532" s="101" t="s">
        <v>80</v>
      </c>
      <c r="V532" s="45">
        <v>45937.0</v>
      </c>
      <c r="W532" s="65">
        <v>514.88</v>
      </c>
      <c r="X532" s="101" t="s">
        <v>80</v>
      </c>
      <c r="Y532" s="45">
        <v>45957.0</v>
      </c>
      <c r="Z532" s="65"/>
      <c r="AA532" s="101"/>
      <c r="AB532" s="45"/>
      <c r="AC532" s="65">
        <v>542.24</v>
      </c>
      <c r="AD532" s="101" t="s">
        <v>80</v>
      </c>
      <c r="AE532" s="45">
        <v>45961.0</v>
      </c>
      <c r="AF532" s="102"/>
      <c r="AG532" s="101"/>
      <c r="AH532" s="101"/>
      <c r="AI532" s="102"/>
    </row>
    <row r="533" ht="15.75" customHeight="1">
      <c r="A533" s="101" t="s">
        <v>61</v>
      </c>
      <c r="B533" s="101" t="s">
        <v>62</v>
      </c>
      <c r="C533" s="101" t="s">
        <v>63</v>
      </c>
      <c r="D533" s="101">
        <v>2.2004159E7</v>
      </c>
      <c r="E533" s="102" t="s">
        <v>889</v>
      </c>
      <c r="F533" s="45">
        <v>45958.0</v>
      </c>
      <c r="G533" s="45">
        <v>45938.0</v>
      </c>
      <c r="H533" s="101" t="s">
        <v>83</v>
      </c>
      <c r="I533" s="101" t="s">
        <v>76</v>
      </c>
      <c r="J533" s="101">
        <v>124.0</v>
      </c>
      <c r="K533" s="65">
        <v>17.36290323</v>
      </c>
      <c r="L533" s="65">
        <v>2153.0</v>
      </c>
      <c r="M533" s="103">
        <v>0.2</v>
      </c>
      <c r="N533" s="65">
        <v>430.6</v>
      </c>
      <c r="O533" s="65">
        <v>2583.6</v>
      </c>
      <c r="P533" s="101" t="s">
        <v>84</v>
      </c>
      <c r="Q533" s="65">
        <v>215.3</v>
      </c>
      <c r="R533" s="65">
        <v>2583.6</v>
      </c>
      <c r="S533" s="65">
        <v>1507.1</v>
      </c>
      <c r="T533" s="65">
        <v>2583.6</v>
      </c>
      <c r="U533" s="101" t="s">
        <v>85</v>
      </c>
      <c r="V533" s="45">
        <v>45955.0</v>
      </c>
      <c r="W533" s="65"/>
      <c r="X533" s="101"/>
      <c r="Y533" s="45"/>
      <c r="Z533" s="65"/>
      <c r="AA533" s="101"/>
      <c r="AB533" s="45"/>
      <c r="AC533" s="65"/>
      <c r="AD533" s="101"/>
      <c r="AE533" s="45"/>
      <c r="AF533" s="102"/>
      <c r="AG533" s="101"/>
      <c r="AH533" s="101"/>
      <c r="AI533" s="102"/>
    </row>
    <row r="534" ht="15.75" customHeight="1">
      <c r="A534" s="101" t="s">
        <v>61</v>
      </c>
      <c r="B534" s="101" t="s">
        <v>62</v>
      </c>
      <c r="C534" s="101" t="s">
        <v>63</v>
      </c>
      <c r="D534" s="101">
        <v>2.200416E7</v>
      </c>
      <c r="E534" s="102" t="s">
        <v>890</v>
      </c>
      <c r="F534" s="45">
        <v>45972.0</v>
      </c>
      <c r="G534" s="45">
        <v>45939.0</v>
      </c>
      <c r="H534" s="101" t="s">
        <v>83</v>
      </c>
      <c r="I534" s="101" t="s">
        <v>76</v>
      </c>
      <c r="J534" s="101">
        <v>100.0</v>
      </c>
      <c r="K534" s="65">
        <v>67.1818</v>
      </c>
      <c r="L534" s="65">
        <v>6718.18</v>
      </c>
      <c r="M534" s="103">
        <v>0.2</v>
      </c>
      <c r="N534" s="65">
        <v>1343.636</v>
      </c>
      <c r="O534" s="65">
        <v>8061.816</v>
      </c>
      <c r="P534" s="101" t="s">
        <v>79</v>
      </c>
      <c r="Q534" s="65">
        <v>671.818</v>
      </c>
      <c r="R534" s="65">
        <v>8733.634</v>
      </c>
      <c r="S534" s="65">
        <v>4702.726</v>
      </c>
      <c r="T534" s="65">
        <v>8421.93</v>
      </c>
      <c r="U534" s="101" t="s">
        <v>80</v>
      </c>
      <c r="V534" s="45">
        <v>45967.0</v>
      </c>
      <c r="W534" s="65"/>
      <c r="X534" s="101"/>
      <c r="Y534" s="45"/>
      <c r="Z534" s="65"/>
      <c r="AA534" s="101"/>
      <c r="AB534" s="45"/>
      <c r="AC534" s="65">
        <v>966.65</v>
      </c>
      <c r="AD534" s="101" t="s">
        <v>80</v>
      </c>
      <c r="AE534" s="45">
        <v>45974.0</v>
      </c>
      <c r="AF534" s="102"/>
      <c r="AG534" s="101"/>
      <c r="AH534" s="101"/>
      <c r="AI534" s="102"/>
    </row>
    <row r="535" ht="15.75" customHeight="1">
      <c r="A535" s="101" t="s">
        <v>61</v>
      </c>
      <c r="B535" s="101" t="s">
        <v>62</v>
      </c>
      <c r="C535" s="101" t="s">
        <v>63</v>
      </c>
      <c r="D535" s="101">
        <v>2.2004161E7</v>
      </c>
      <c r="E535" s="102" t="s">
        <v>891</v>
      </c>
      <c r="F535" s="45">
        <v>45988.0</v>
      </c>
      <c r="G535" s="45">
        <v>45939.0</v>
      </c>
      <c r="H535" s="101" t="s">
        <v>83</v>
      </c>
      <c r="I535" s="101" t="s">
        <v>76</v>
      </c>
      <c r="J535" s="101">
        <v>55.0</v>
      </c>
      <c r="K535" s="65">
        <v>96.25454545</v>
      </c>
      <c r="L535" s="65">
        <v>5294.0</v>
      </c>
      <c r="M535" s="103">
        <v>0.2</v>
      </c>
      <c r="N535" s="65">
        <v>1058.8</v>
      </c>
      <c r="O535" s="65">
        <v>6352.8</v>
      </c>
      <c r="P535" s="101" t="s">
        <v>79</v>
      </c>
      <c r="Q535" s="65">
        <v>529.4</v>
      </c>
      <c r="R535" s="65">
        <v>6882.2</v>
      </c>
      <c r="S535" s="65">
        <v>3705.8</v>
      </c>
      <c r="T535" s="65">
        <v>6155.3</v>
      </c>
      <c r="U535" s="101" t="s">
        <v>80</v>
      </c>
      <c r="V535" s="45">
        <v>45967.0</v>
      </c>
      <c r="W535" s="65"/>
      <c r="X535" s="101"/>
      <c r="Y535" s="45"/>
      <c r="Z535" s="65"/>
      <c r="AA535" s="101"/>
      <c r="AB535" s="45"/>
      <c r="AC535" s="65">
        <v>744.52</v>
      </c>
      <c r="AD535" s="101" t="s">
        <v>80</v>
      </c>
      <c r="AE535" s="45">
        <v>45995.0</v>
      </c>
      <c r="AF535" s="102"/>
      <c r="AG535" s="101"/>
      <c r="AH535" s="101"/>
      <c r="AI535" s="102"/>
    </row>
    <row r="536" ht="15.75" customHeight="1">
      <c r="A536" s="101" t="s">
        <v>61</v>
      </c>
      <c r="B536" s="101" t="s">
        <v>62</v>
      </c>
      <c r="C536" s="101" t="s">
        <v>63</v>
      </c>
      <c r="D536" s="101">
        <v>2.2004162E7</v>
      </c>
      <c r="E536" s="102" t="s">
        <v>128</v>
      </c>
      <c r="F536" s="45">
        <v>46001.0</v>
      </c>
      <c r="G536" s="45">
        <v>45942.0</v>
      </c>
      <c r="H536" s="101" t="s">
        <v>83</v>
      </c>
      <c r="I536" s="101" t="s">
        <v>76</v>
      </c>
      <c r="J536" s="101">
        <v>35.0</v>
      </c>
      <c r="K536" s="65">
        <v>101.3357143</v>
      </c>
      <c r="L536" s="65">
        <v>3546.75</v>
      </c>
      <c r="M536" s="103">
        <v>0.2</v>
      </c>
      <c r="N536" s="65">
        <v>709.35</v>
      </c>
      <c r="O536" s="65">
        <v>4256.1</v>
      </c>
      <c r="P536" s="101" t="s">
        <v>79</v>
      </c>
      <c r="Q536" s="65">
        <v>354.675</v>
      </c>
      <c r="R536" s="65">
        <v>4610.775</v>
      </c>
      <c r="S536" s="65">
        <v>2482.725</v>
      </c>
      <c r="T536" s="65">
        <v>2075.54</v>
      </c>
      <c r="U536" s="101" t="s">
        <v>85</v>
      </c>
      <c r="V536" s="45">
        <v>45952.0</v>
      </c>
      <c r="W536" s="65">
        <v>2535.23</v>
      </c>
      <c r="X536" s="101" t="s">
        <v>85</v>
      </c>
      <c r="Y536" s="45">
        <v>45985.0</v>
      </c>
      <c r="Z536" s="65"/>
      <c r="AA536" s="101"/>
      <c r="AB536" s="45"/>
      <c r="AC536" s="65">
        <v>354.67</v>
      </c>
      <c r="AD536" s="101" t="s">
        <v>85</v>
      </c>
      <c r="AE536" s="45">
        <v>46027.0</v>
      </c>
      <c r="AF536" s="102" t="s">
        <v>683</v>
      </c>
      <c r="AG536" s="101" t="s">
        <v>684</v>
      </c>
      <c r="AH536" s="101">
        <v>1.0967476E7</v>
      </c>
      <c r="AI536" s="102"/>
    </row>
    <row r="537" ht="15.75" customHeight="1">
      <c r="A537" s="101" t="s">
        <v>61</v>
      </c>
      <c r="B537" s="101" t="s">
        <v>62</v>
      </c>
      <c r="C537" s="101" t="s">
        <v>63</v>
      </c>
      <c r="D537" s="101">
        <v>2.2004163E7</v>
      </c>
      <c r="E537" s="102" t="s">
        <v>892</v>
      </c>
      <c r="F537" s="45">
        <v>45987.0</v>
      </c>
      <c r="G537" s="45">
        <v>45942.0</v>
      </c>
      <c r="H537" s="101" t="s">
        <v>83</v>
      </c>
      <c r="I537" s="101" t="s">
        <v>76</v>
      </c>
      <c r="J537" s="101">
        <v>27.0</v>
      </c>
      <c r="K537" s="65">
        <v>87.53333333</v>
      </c>
      <c r="L537" s="65">
        <v>2363.4</v>
      </c>
      <c r="M537" s="103">
        <v>0.2</v>
      </c>
      <c r="N537" s="65">
        <v>472.68</v>
      </c>
      <c r="O537" s="65">
        <v>2836.08</v>
      </c>
      <c r="P537" s="101" t="s">
        <v>79</v>
      </c>
      <c r="Q537" s="65">
        <v>236.34</v>
      </c>
      <c r="R537" s="65">
        <v>3072.42</v>
      </c>
      <c r="S537" s="65">
        <v>1654.38</v>
      </c>
      <c r="T537" s="65">
        <v>1505.16</v>
      </c>
      <c r="U537" s="101" t="s">
        <v>85</v>
      </c>
      <c r="V537" s="45">
        <v>45966.0</v>
      </c>
      <c r="W537" s="65">
        <v>1567.26</v>
      </c>
      <c r="X537" s="101" t="s">
        <v>85</v>
      </c>
      <c r="Y537" s="45">
        <v>46352.0</v>
      </c>
      <c r="Z537" s="65"/>
      <c r="AA537" s="101"/>
      <c r="AB537" s="45"/>
      <c r="AC537" s="65">
        <v>140.7</v>
      </c>
      <c r="AD537" s="101" t="s">
        <v>85</v>
      </c>
      <c r="AE537" s="45"/>
      <c r="AF537" s="102" t="s">
        <v>732</v>
      </c>
      <c r="AG537" s="101">
        <v>401160.0</v>
      </c>
      <c r="AH537" s="101">
        <v>6.1304305E7</v>
      </c>
      <c r="AI537" s="102"/>
    </row>
    <row r="538" ht="15.75" customHeight="1">
      <c r="A538" s="101" t="s">
        <v>61</v>
      </c>
      <c r="B538" s="101" t="s">
        <v>62</v>
      </c>
      <c r="C538" s="101" t="s">
        <v>63</v>
      </c>
      <c r="D538" s="101">
        <v>2.2004164E7</v>
      </c>
      <c r="E538" s="102" t="s">
        <v>893</v>
      </c>
      <c r="F538" s="45">
        <v>45993.0</v>
      </c>
      <c r="G538" s="45">
        <v>45942.0</v>
      </c>
      <c r="H538" s="101" t="s">
        <v>83</v>
      </c>
      <c r="I538" s="101" t="s">
        <v>76</v>
      </c>
      <c r="J538" s="101">
        <v>82.0</v>
      </c>
      <c r="K538" s="65">
        <v>62.56707317</v>
      </c>
      <c r="L538" s="65">
        <v>5130.5</v>
      </c>
      <c r="M538" s="103">
        <v>0.2</v>
      </c>
      <c r="N538" s="65">
        <v>1026.1</v>
      </c>
      <c r="O538" s="65">
        <v>6156.6</v>
      </c>
      <c r="P538" s="101" t="s">
        <v>79</v>
      </c>
      <c r="Q538" s="65">
        <v>513.05</v>
      </c>
      <c r="R538" s="65">
        <v>6669.65</v>
      </c>
      <c r="S538" s="65">
        <v>3591.35</v>
      </c>
      <c r="T538" s="65">
        <v>2667.9</v>
      </c>
      <c r="U538" s="101" t="s">
        <v>85</v>
      </c>
      <c r="V538" s="45">
        <v>45966.0</v>
      </c>
      <c r="W538" s="65">
        <v>4001.75</v>
      </c>
      <c r="X538" s="101" t="s">
        <v>85</v>
      </c>
      <c r="Y538" s="45">
        <v>45992.0</v>
      </c>
      <c r="Z538" s="65"/>
      <c r="AA538" s="101"/>
      <c r="AB538" s="45"/>
      <c r="AC538" s="65">
        <v>513.05</v>
      </c>
      <c r="AD538" s="101" t="s">
        <v>85</v>
      </c>
      <c r="AE538" s="45"/>
      <c r="AF538" s="102" t="s">
        <v>732</v>
      </c>
      <c r="AG538" s="101">
        <v>401160.0</v>
      </c>
      <c r="AH538" s="101">
        <v>6.1304305E7</v>
      </c>
      <c r="AI538" s="102"/>
    </row>
    <row r="539" ht="15.75" customHeight="1">
      <c r="A539" s="101" t="s">
        <v>61</v>
      </c>
      <c r="B539" s="101" t="s">
        <v>62</v>
      </c>
      <c r="C539" s="101" t="s">
        <v>63</v>
      </c>
      <c r="D539" s="101">
        <v>2.2004165E7</v>
      </c>
      <c r="E539" s="102" t="s">
        <v>486</v>
      </c>
      <c r="F539" s="45">
        <v>45996.0</v>
      </c>
      <c r="G539" s="45">
        <v>45942.0</v>
      </c>
      <c r="H539" s="101" t="s">
        <v>83</v>
      </c>
      <c r="I539" s="101" t="s">
        <v>76</v>
      </c>
      <c r="J539" s="101">
        <v>40.0</v>
      </c>
      <c r="K539" s="65">
        <v>72.7625</v>
      </c>
      <c r="L539" s="65">
        <v>2910.5</v>
      </c>
      <c r="M539" s="103">
        <v>0.2</v>
      </c>
      <c r="N539" s="65">
        <v>582.1</v>
      </c>
      <c r="O539" s="65">
        <v>3492.6</v>
      </c>
      <c r="P539" s="101" t="s">
        <v>79</v>
      </c>
      <c r="Q539" s="65">
        <v>291.05</v>
      </c>
      <c r="R539" s="65">
        <v>3783.65</v>
      </c>
      <c r="S539" s="65">
        <v>2037.35</v>
      </c>
      <c r="T539" s="65">
        <v>1531.25</v>
      </c>
      <c r="U539" s="101" t="s">
        <v>80</v>
      </c>
      <c r="V539" s="45">
        <v>45964.0</v>
      </c>
      <c r="W539" s="65">
        <v>1670.3</v>
      </c>
      <c r="X539" s="101" t="s">
        <v>80</v>
      </c>
      <c r="Y539" s="45">
        <v>45993.0</v>
      </c>
      <c r="Z539" s="65"/>
      <c r="AA539" s="101"/>
      <c r="AB539" s="45"/>
      <c r="AC539" s="65">
        <v>190.25</v>
      </c>
      <c r="AD539" s="101" t="s">
        <v>80</v>
      </c>
      <c r="AE539" s="45">
        <v>46000.0</v>
      </c>
      <c r="AF539" s="102"/>
      <c r="AG539" s="101"/>
      <c r="AH539" s="101"/>
      <c r="AI539" s="102"/>
    </row>
    <row r="540" ht="15.75" customHeight="1">
      <c r="A540" s="101" t="s">
        <v>61</v>
      </c>
      <c r="B540" s="101" t="s">
        <v>62</v>
      </c>
      <c r="C540" s="101" t="s">
        <v>63</v>
      </c>
      <c r="D540" s="101">
        <v>2.2004166E7</v>
      </c>
      <c r="E540" s="102" t="s">
        <v>894</v>
      </c>
      <c r="F540" s="45">
        <v>45954.0</v>
      </c>
      <c r="G540" s="45">
        <v>45943.0</v>
      </c>
      <c r="H540" s="101" t="s">
        <v>73</v>
      </c>
      <c r="I540" s="101" t="s">
        <v>76</v>
      </c>
      <c r="J540" s="101">
        <v>18.0</v>
      </c>
      <c r="K540" s="65">
        <v>77.44444444</v>
      </c>
      <c r="L540" s="65">
        <v>1394.0</v>
      </c>
      <c r="M540" s="103">
        <v>0.2</v>
      </c>
      <c r="N540" s="65">
        <v>278.8</v>
      </c>
      <c r="O540" s="65">
        <v>1672.8</v>
      </c>
      <c r="P540" s="101" t="s">
        <v>84</v>
      </c>
      <c r="Q540" s="65">
        <v>139.4</v>
      </c>
      <c r="R540" s="65">
        <v>1672.8</v>
      </c>
      <c r="S540" s="65">
        <v>975.8</v>
      </c>
      <c r="T540" s="65">
        <v>1672.8</v>
      </c>
      <c r="U540" s="101" t="s">
        <v>80</v>
      </c>
      <c r="V540" s="45">
        <v>45944.0</v>
      </c>
      <c r="W540" s="65"/>
      <c r="X540" s="101"/>
      <c r="Y540" s="45"/>
      <c r="Z540" s="65"/>
      <c r="AA540" s="101"/>
      <c r="AB540" s="45"/>
      <c r="AC540" s="65"/>
      <c r="AD540" s="101"/>
      <c r="AE540" s="45"/>
      <c r="AF540" s="102"/>
      <c r="AG540" s="101"/>
      <c r="AH540" s="101"/>
      <c r="AI540" s="102"/>
    </row>
    <row r="541" ht="15.75" customHeight="1">
      <c r="A541" s="101" t="s">
        <v>61</v>
      </c>
      <c r="B541" s="101" t="s">
        <v>62</v>
      </c>
      <c r="C541" s="101" t="s">
        <v>63</v>
      </c>
      <c r="D541" s="101">
        <v>2.2004167E7</v>
      </c>
      <c r="E541" s="102" t="s">
        <v>155</v>
      </c>
      <c r="F541" s="45">
        <v>45961.0</v>
      </c>
      <c r="G541" s="45">
        <v>45943.0</v>
      </c>
      <c r="H541" s="101" t="s">
        <v>83</v>
      </c>
      <c r="I541" s="101" t="s">
        <v>76</v>
      </c>
      <c r="J541" s="101">
        <v>70.0</v>
      </c>
      <c r="K541" s="65">
        <v>53.92757143</v>
      </c>
      <c r="L541" s="65">
        <v>3774.93</v>
      </c>
      <c r="M541" s="103">
        <v>0.2</v>
      </c>
      <c r="N541" s="65">
        <v>754.986</v>
      </c>
      <c r="O541" s="65">
        <v>4529.916</v>
      </c>
      <c r="P541" s="101" t="s">
        <v>79</v>
      </c>
      <c r="Q541" s="65">
        <v>377.493</v>
      </c>
      <c r="R541" s="65">
        <v>4907.409</v>
      </c>
      <c r="S541" s="65">
        <v>2642.451</v>
      </c>
      <c r="T541" s="65">
        <v>4907.41</v>
      </c>
      <c r="U541" s="101" t="s">
        <v>85</v>
      </c>
      <c r="V541" s="45">
        <v>45959.0</v>
      </c>
      <c r="W541" s="65"/>
      <c r="X541" s="101"/>
      <c r="Y541" s="45"/>
      <c r="Z541" s="65"/>
      <c r="AA541" s="101"/>
      <c r="AB541" s="45"/>
      <c r="AC541" s="65">
        <v>459.5</v>
      </c>
      <c r="AD541" s="101" t="s">
        <v>85</v>
      </c>
      <c r="AE541" s="45">
        <v>45975.0</v>
      </c>
      <c r="AF541" s="102"/>
      <c r="AG541" s="101"/>
      <c r="AH541" s="101"/>
      <c r="AI541" s="102"/>
    </row>
    <row r="542" ht="15.75" customHeight="1">
      <c r="A542" s="101" t="s">
        <v>61</v>
      </c>
      <c r="B542" s="101" t="s">
        <v>62</v>
      </c>
      <c r="C542" s="101" t="s">
        <v>63</v>
      </c>
      <c r="D542" s="101">
        <v>2.2004168E7</v>
      </c>
      <c r="E542" s="102" t="s">
        <v>895</v>
      </c>
      <c r="F542" s="45">
        <v>45983.0</v>
      </c>
      <c r="G542" s="45">
        <v>45944.0</v>
      </c>
      <c r="H542" s="101" t="s">
        <v>73</v>
      </c>
      <c r="I542" s="101" t="s">
        <v>76</v>
      </c>
      <c r="J542" s="101">
        <v>40.0</v>
      </c>
      <c r="K542" s="65">
        <v>101.8375</v>
      </c>
      <c r="L542" s="65">
        <v>4073.5</v>
      </c>
      <c r="M542" s="103">
        <v>0.2</v>
      </c>
      <c r="N542" s="65">
        <v>814.7</v>
      </c>
      <c r="O542" s="65">
        <v>4888.2</v>
      </c>
      <c r="P542" s="101" t="s">
        <v>79</v>
      </c>
      <c r="Q542" s="65">
        <v>407.35</v>
      </c>
      <c r="R542" s="65">
        <v>5295.55</v>
      </c>
      <c r="S542" s="65">
        <v>2851.45</v>
      </c>
      <c r="T542" s="65">
        <v>2111.4</v>
      </c>
      <c r="U542" s="101" t="s">
        <v>80</v>
      </c>
      <c r="V542" s="45">
        <v>45950.0</v>
      </c>
      <c r="W542" s="65">
        <v>3184.15</v>
      </c>
      <c r="X542" s="101" t="s">
        <v>80</v>
      </c>
      <c r="Y542" s="45"/>
      <c r="Z542" s="65"/>
      <c r="AA542" s="101"/>
      <c r="AB542" s="45"/>
      <c r="AC542" s="65">
        <v>407.35</v>
      </c>
      <c r="AD542" s="101" t="s">
        <v>80</v>
      </c>
      <c r="AE542" s="45">
        <v>45985.0</v>
      </c>
      <c r="AF542" s="102"/>
      <c r="AG542" s="101"/>
      <c r="AH542" s="101"/>
      <c r="AI542" s="102"/>
    </row>
    <row r="543" ht="15.75" customHeight="1">
      <c r="A543" s="101" t="s">
        <v>61</v>
      </c>
      <c r="B543" s="101" t="s">
        <v>62</v>
      </c>
      <c r="C543" s="101" t="s">
        <v>278</v>
      </c>
      <c r="D543" s="101">
        <v>2.2004169E7</v>
      </c>
      <c r="E543" s="102" t="s">
        <v>896</v>
      </c>
      <c r="F543" s="45">
        <v>45951.0</v>
      </c>
      <c r="G543" s="45">
        <v>45945.0</v>
      </c>
      <c r="H543" s="101" t="s">
        <v>73</v>
      </c>
      <c r="I543" s="101" t="s">
        <v>76</v>
      </c>
      <c r="J543" s="101">
        <v>2.0</v>
      </c>
      <c r="K543" s="65">
        <v>250.0</v>
      </c>
      <c r="L543" s="65">
        <v>500.0</v>
      </c>
      <c r="M543" s="103">
        <v>0.0</v>
      </c>
      <c r="N543" s="65">
        <v>0.0</v>
      </c>
      <c r="O543" s="65">
        <v>500.0</v>
      </c>
      <c r="P543" s="101" t="s">
        <v>84</v>
      </c>
      <c r="Q543" s="65">
        <v>50.0</v>
      </c>
      <c r="R543" s="65">
        <v>500.0</v>
      </c>
      <c r="S543" s="65">
        <v>300.0</v>
      </c>
      <c r="T543" s="65">
        <v>500.0</v>
      </c>
      <c r="U543" s="101" t="s">
        <v>80</v>
      </c>
      <c r="V543" s="45">
        <v>45947.0</v>
      </c>
      <c r="W543" s="65"/>
      <c r="X543" s="101"/>
      <c r="Y543" s="45"/>
      <c r="Z543" s="65"/>
      <c r="AA543" s="101"/>
      <c r="AB543" s="45"/>
      <c r="AC543" s="65"/>
      <c r="AD543" s="101"/>
      <c r="AE543" s="45"/>
      <c r="AF543" s="102"/>
      <c r="AG543" s="101"/>
      <c r="AH543" s="101"/>
      <c r="AI543" s="102"/>
    </row>
    <row r="544" ht="15.75" customHeight="1">
      <c r="A544" s="101" t="s">
        <v>61</v>
      </c>
      <c r="B544" s="101" t="s">
        <v>62</v>
      </c>
      <c r="C544" s="101" t="s">
        <v>63</v>
      </c>
      <c r="D544" s="101">
        <v>2.200417E7</v>
      </c>
      <c r="E544" s="102" t="s">
        <v>875</v>
      </c>
      <c r="F544" s="45">
        <v>45953.0</v>
      </c>
      <c r="G544" s="45">
        <v>45946.0</v>
      </c>
      <c r="H544" s="101" t="s">
        <v>83</v>
      </c>
      <c r="I544" s="101" t="s">
        <v>76</v>
      </c>
      <c r="J544" s="101">
        <v>70.0</v>
      </c>
      <c r="K544" s="65">
        <v>43.16142857</v>
      </c>
      <c r="L544" s="65">
        <v>3021.3</v>
      </c>
      <c r="M544" s="103">
        <v>0.2</v>
      </c>
      <c r="N544" s="65">
        <v>604.26</v>
      </c>
      <c r="O544" s="65">
        <v>3625.56</v>
      </c>
      <c r="P544" s="101" t="s">
        <v>79</v>
      </c>
      <c r="Q544" s="65">
        <v>302.13</v>
      </c>
      <c r="R544" s="65">
        <v>3927.69</v>
      </c>
      <c r="S544" s="65">
        <v>2114.91</v>
      </c>
      <c r="T544" s="65">
        <v>3927.69</v>
      </c>
      <c r="U544" s="101" t="s">
        <v>80</v>
      </c>
      <c r="V544" s="45">
        <v>45951.0</v>
      </c>
      <c r="W544" s="65"/>
      <c r="X544" s="101"/>
      <c r="Y544" s="45"/>
      <c r="Z544" s="65"/>
      <c r="AA544" s="101"/>
      <c r="AB544" s="45"/>
      <c r="AC544" s="65">
        <v>302.13</v>
      </c>
      <c r="AD544" s="101" t="s">
        <v>80</v>
      </c>
      <c r="AE544" s="45">
        <v>45958.0</v>
      </c>
      <c r="AF544" s="102"/>
      <c r="AG544" s="101"/>
      <c r="AH544" s="101"/>
      <c r="AI544" s="102"/>
    </row>
    <row r="545" ht="15.75" customHeight="1">
      <c r="A545" s="101" t="s">
        <v>167</v>
      </c>
      <c r="B545" s="101" t="s">
        <v>62</v>
      </c>
      <c r="C545" s="101" t="s">
        <v>63</v>
      </c>
      <c r="D545" s="101">
        <v>2.2004171E7</v>
      </c>
      <c r="E545" s="102" t="s">
        <v>897</v>
      </c>
      <c r="F545" s="45">
        <v>45946.0</v>
      </c>
      <c r="G545" s="45">
        <v>45946.0</v>
      </c>
      <c r="H545" s="101" t="s">
        <v>83</v>
      </c>
      <c r="I545" s="101" t="s">
        <v>76</v>
      </c>
      <c r="J545" s="101">
        <v>50.0</v>
      </c>
      <c r="K545" s="65">
        <v>21.0</v>
      </c>
      <c r="L545" s="65">
        <v>1050.0</v>
      </c>
      <c r="M545" s="103">
        <v>0.2</v>
      </c>
      <c r="N545" s="65">
        <v>210.0</v>
      </c>
      <c r="O545" s="65">
        <v>1260.0</v>
      </c>
      <c r="P545" s="101" t="s">
        <v>84</v>
      </c>
      <c r="Q545" s="65">
        <v>105.0</v>
      </c>
      <c r="R545" s="65">
        <v>1260.0</v>
      </c>
      <c r="S545" s="65">
        <v>735.0</v>
      </c>
      <c r="T545" s="65"/>
      <c r="U545" s="101"/>
      <c r="V545" s="45"/>
      <c r="W545" s="65"/>
      <c r="X545" s="101"/>
      <c r="Y545" s="45"/>
      <c r="Z545" s="65"/>
      <c r="AA545" s="101"/>
      <c r="AB545" s="45"/>
      <c r="AC545" s="65"/>
      <c r="AD545" s="101"/>
      <c r="AE545" s="45"/>
      <c r="AF545" s="102"/>
      <c r="AG545" s="101"/>
      <c r="AH545" s="101"/>
      <c r="AI545" s="102"/>
    </row>
    <row r="546" ht="15.75" customHeight="1">
      <c r="A546" s="101" t="s">
        <v>61</v>
      </c>
      <c r="B546" s="101" t="s">
        <v>62</v>
      </c>
      <c r="C546" s="101" t="s">
        <v>251</v>
      </c>
      <c r="D546" s="101">
        <v>2.2004172E7</v>
      </c>
      <c r="E546" s="102" t="s">
        <v>899</v>
      </c>
      <c r="F546" s="45">
        <v>45953.0</v>
      </c>
      <c r="G546" s="45">
        <v>45949.0</v>
      </c>
      <c r="H546" s="101" t="s">
        <v>73</v>
      </c>
      <c r="I546" s="101" t="s">
        <v>76</v>
      </c>
      <c r="J546" s="101">
        <v>2.0</v>
      </c>
      <c r="K546" s="65">
        <v>250.0</v>
      </c>
      <c r="L546" s="65">
        <v>500.0</v>
      </c>
      <c r="M546" s="103">
        <v>0.2</v>
      </c>
      <c r="N546" s="65">
        <v>100.0</v>
      </c>
      <c r="O546" s="65">
        <v>600.0</v>
      </c>
      <c r="P546" s="101" t="s">
        <v>84</v>
      </c>
      <c r="Q546" s="65">
        <v>50.0</v>
      </c>
      <c r="R546" s="65">
        <v>600.0</v>
      </c>
      <c r="S546" s="65">
        <v>350.0</v>
      </c>
      <c r="T546" s="65">
        <v>600.0</v>
      </c>
      <c r="U546" s="101" t="s">
        <v>80</v>
      </c>
      <c r="V546" s="45">
        <v>45950.0</v>
      </c>
      <c r="W546" s="65"/>
      <c r="X546" s="101"/>
      <c r="Y546" s="45"/>
      <c r="Z546" s="65"/>
      <c r="AA546" s="101"/>
      <c r="AB546" s="45"/>
      <c r="AC546" s="65"/>
      <c r="AD546" s="101"/>
      <c r="AE546" s="45"/>
      <c r="AF546" s="102"/>
      <c r="AG546" s="101"/>
      <c r="AH546" s="101"/>
      <c r="AI546" s="102"/>
    </row>
    <row r="547" ht="15.75" customHeight="1">
      <c r="A547" s="101" t="s">
        <v>61</v>
      </c>
      <c r="B547" s="101" t="s">
        <v>62</v>
      </c>
      <c r="C547" s="101" t="s">
        <v>63</v>
      </c>
      <c r="D547" s="101">
        <v>2.2004173E7</v>
      </c>
      <c r="E547" s="102" t="s">
        <v>158</v>
      </c>
      <c r="F547" s="45">
        <v>45987.0</v>
      </c>
      <c r="G547" s="45">
        <v>45951.0</v>
      </c>
      <c r="H547" s="101" t="s">
        <v>83</v>
      </c>
      <c r="I547" s="101" t="s">
        <v>76</v>
      </c>
      <c r="J547" s="101">
        <v>40.0</v>
      </c>
      <c r="K547" s="65">
        <v>86.665</v>
      </c>
      <c r="L547" s="65">
        <v>3466.6</v>
      </c>
      <c r="M547" s="103">
        <v>0.2</v>
      </c>
      <c r="N547" s="65">
        <v>693.32</v>
      </c>
      <c r="O547" s="65">
        <v>4159.92</v>
      </c>
      <c r="P547" s="101" t="s">
        <v>79</v>
      </c>
      <c r="Q547" s="65">
        <v>346.66</v>
      </c>
      <c r="R547" s="65">
        <v>4506.58</v>
      </c>
      <c r="S547" s="65">
        <v>2426.62</v>
      </c>
      <c r="T547" s="65">
        <v>2079.96</v>
      </c>
      <c r="U547" s="101" t="s">
        <v>80</v>
      </c>
      <c r="V547" s="45">
        <v>45951.0</v>
      </c>
      <c r="W547" s="65">
        <v>1878.41</v>
      </c>
      <c r="X547" s="101" t="s">
        <v>80</v>
      </c>
      <c r="Y547" s="45">
        <v>46052.0</v>
      </c>
      <c r="Z547" s="65"/>
      <c r="AA547" s="101"/>
      <c r="AB547" s="45"/>
      <c r="AC547" s="65">
        <v>460.3</v>
      </c>
      <c r="AD547" s="101" t="s">
        <v>80</v>
      </c>
      <c r="AE547" s="45">
        <v>46083.0</v>
      </c>
      <c r="AF547" s="102"/>
      <c r="AG547" s="101"/>
      <c r="AH547" s="101"/>
      <c r="AI547" s="102"/>
    </row>
    <row r="548" ht="15.75" customHeight="1">
      <c r="A548" s="101" t="s">
        <v>61</v>
      </c>
      <c r="B548" s="101" t="s">
        <v>62</v>
      </c>
      <c r="C548" s="101" t="s">
        <v>63</v>
      </c>
      <c r="D548" s="101">
        <v>2.2004174E7</v>
      </c>
      <c r="E548" s="102" t="s">
        <v>705</v>
      </c>
      <c r="F548" s="45">
        <v>45961.0</v>
      </c>
      <c r="G548" s="45">
        <v>45957.0</v>
      </c>
      <c r="H548" s="101" t="s">
        <v>83</v>
      </c>
      <c r="I548" s="101" t="s">
        <v>76</v>
      </c>
      <c r="J548" s="101">
        <v>120.0</v>
      </c>
      <c r="K548" s="65">
        <v>60.09583333</v>
      </c>
      <c r="L548" s="65">
        <v>7211.5</v>
      </c>
      <c r="M548" s="103">
        <v>0.2</v>
      </c>
      <c r="N548" s="65">
        <v>1442.3</v>
      </c>
      <c r="O548" s="65">
        <v>8653.8</v>
      </c>
      <c r="P548" s="101" t="s">
        <v>79</v>
      </c>
      <c r="Q548" s="65">
        <v>721.15</v>
      </c>
      <c r="R548" s="65">
        <v>9374.95</v>
      </c>
      <c r="S548" s="65">
        <v>5048.05</v>
      </c>
      <c r="T548" s="65">
        <v>9374.95</v>
      </c>
      <c r="U548" s="101" t="s">
        <v>85</v>
      </c>
      <c r="V548" s="45">
        <v>45958.0</v>
      </c>
      <c r="W548" s="65"/>
      <c r="X548" s="101"/>
      <c r="Y548" s="45"/>
      <c r="Z548" s="65"/>
      <c r="AA548" s="101"/>
      <c r="AB548" s="45"/>
      <c r="AC548" s="65">
        <v>721.15</v>
      </c>
      <c r="AD548" s="101" t="s">
        <v>85</v>
      </c>
      <c r="AE548" s="45">
        <v>45975.0</v>
      </c>
      <c r="AF548" s="102" t="s">
        <v>901</v>
      </c>
      <c r="AG548" s="101" t="s">
        <v>902</v>
      </c>
      <c r="AH548" s="101">
        <v>5.0000209E7</v>
      </c>
      <c r="AI548" s="102"/>
    </row>
    <row r="549" ht="15.75" customHeight="1">
      <c r="A549" s="101" t="s">
        <v>61</v>
      </c>
      <c r="B549" s="101" t="s">
        <v>62</v>
      </c>
      <c r="C549" s="101" t="s">
        <v>278</v>
      </c>
      <c r="D549" s="101">
        <v>2.2004175E7</v>
      </c>
      <c r="E549" s="102" t="s">
        <v>903</v>
      </c>
      <c r="F549" s="45">
        <v>46102.0</v>
      </c>
      <c r="G549" s="45">
        <v>45959.0</v>
      </c>
      <c r="H549" s="101" t="s">
        <v>73</v>
      </c>
      <c r="I549" s="101" t="s">
        <v>76</v>
      </c>
      <c r="J549" s="101">
        <v>90.0</v>
      </c>
      <c r="K549" s="65">
        <v>152.0666667</v>
      </c>
      <c r="L549" s="65">
        <v>13686.0</v>
      </c>
      <c r="M549" s="103">
        <v>0.2</v>
      </c>
      <c r="N549" s="65">
        <v>2737.2</v>
      </c>
      <c r="O549" s="65">
        <v>16423.2</v>
      </c>
      <c r="P549" s="101" t="s">
        <v>79</v>
      </c>
      <c r="Q549" s="65">
        <v>1368.6</v>
      </c>
      <c r="R549" s="65">
        <v>17791.8</v>
      </c>
      <c r="S549" s="65">
        <v>9580.2</v>
      </c>
      <c r="T549" s="65">
        <v>1642.32</v>
      </c>
      <c r="U549" s="101" t="s">
        <v>80</v>
      </c>
      <c r="V549" s="45">
        <v>45965.0</v>
      </c>
      <c r="W549" s="65">
        <v>5321.95</v>
      </c>
      <c r="X549" s="101" t="s">
        <v>80</v>
      </c>
      <c r="Y549" s="45">
        <v>46047.0</v>
      </c>
      <c r="Z549" s="65">
        <v>8117.14</v>
      </c>
      <c r="AA549" s="101" t="s">
        <v>80</v>
      </c>
      <c r="AB549" s="45">
        <v>46094.0</v>
      </c>
      <c r="AC549" s="65">
        <v>1048.57</v>
      </c>
      <c r="AD549" s="101" t="s">
        <v>80</v>
      </c>
      <c r="AE549" s="45">
        <v>46106.0</v>
      </c>
      <c r="AF549" s="102"/>
      <c r="AG549" s="101"/>
      <c r="AH549" s="101"/>
      <c r="AI549" s="102"/>
    </row>
    <row r="550" ht="15.75" customHeight="1">
      <c r="A550" s="101" t="s">
        <v>61</v>
      </c>
      <c r="B550" s="101" t="s">
        <v>62</v>
      </c>
      <c r="C550" s="101" t="s">
        <v>63</v>
      </c>
      <c r="D550" s="101">
        <v>2.2004176E7</v>
      </c>
      <c r="E550" s="102" t="s">
        <v>195</v>
      </c>
      <c r="F550" s="45">
        <v>45966.0</v>
      </c>
      <c r="G550" s="45">
        <v>45991.0</v>
      </c>
      <c r="H550" s="101" t="s">
        <v>83</v>
      </c>
      <c r="I550" s="101" t="s">
        <v>76</v>
      </c>
      <c r="J550" s="101">
        <v>14.0</v>
      </c>
      <c r="K550" s="65">
        <v>59.87142857</v>
      </c>
      <c r="L550" s="65">
        <v>838.2</v>
      </c>
      <c r="M550" s="103">
        <v>0.2</v>
      </c>
      <c r="N550" s="65">
        <v>167.64</v>
      </c>
      <c r="O550" s="65">
        <v>1005.84</v>
      </c>
      <c r="P550" s="101" t="s">
        <v>84</v>
      </c>
      <c r="Q550" s="65">
        <v>83.82</v>
      </c>
      <c r="R550" s="65">
        <v>1005.84</v>
      </c>
      <c r="S550" s="65">
        <v>586.74</v>
      </c>
      <c r="T550" s="65"/>
      <c r="U550" s="101"/>
      <c r="V550" s="45"/>
      <c r="W550" s="65"/>
      <c r="X550" s="101"/>
      <c r="Y550" s="45"/>
      <c r="Z550" s="65"/>
      <c r="AA550" s="101"/>
      <c r="AB550" s="45"/>
      <c r="AC550" s="65"/>
      <c r="AD550" s="101"/>
      <c r="AE550" s="45"/>
      <c r="AF550" s="102"/>
      <c r="AG550" s="101"/>
      <c r="AH550" s="101"/>
      <c r="AI550" s="102"/>
    </row>
    <row r="551" ht="15.75" customHeight="1">
      <c r="A551" s="101" t="s">
        <v>61</v>
      </c>
      <c r="B551" s="101" t="s">
        <v>62</v>
      </c>
      <c r="C551" s="101" t="s">
        <v>63</v>
      </c>
      <c r="D551" s="101">
        <v>2.2004177E7</v>
      </c>
      <c r="E551" s="102" t="s">
        <v>744</v>
      </c>
      <c r="F551" s="45">
        <v>46002.0</v>
      </c>
      <c r="G551" s="45">
        <v>45991.0</v>
      </c>
      <c r="H551" s="101" t="s">
        <v>83</v>
      </c>
      <c r="I551" s="101" t="s">
        <v>76</v>
      </c>
      <c r="J551" s="101">
        <v>150.0</v>
      </c>
      <c r="K551" s="65">
        <v>49.77333333</v>
      </c>
      <c r="L551" s="65">
        <v>7466.0</v>
      </c>
      <c r="M551" s="103">
        <v>0.2</v>
      </c>
      <c r="N551" s="65">
        <v>1493.2</v>
      </c>
      <c r="O551" s="65">
        <v>8959.2</v>
      </c>
      <c r="P551" s="101" t="s">
        <v>84</v>
      </c>
      <c r="Q551" s="65">
        <v>746.6</v>
      </c>
      <c r="R551" s="65">
        <v>8959.2</v>
      </c>
      <c r="S551" s="65">
        <v>5226.2</v>
      </c>
      <c r="T551" s="65">
        <v>2477.7</v>
      </c>
      <c r="U551" s="101" t="s">
        <v>85</v>
      </c>
      <c r="V551" s="45">
        <v>45974.0</v>
      </c>
      <c r="W551" s="65">
        <v>2477.7</v>
      </c>
      <c r="X551" s="101" t="s">
        <v>85</v>
      </c>
      <c r="Y551" s="45">
        <v>45981.0</v>
      </c>
      <c r="Z551" s="65">
        <v>4750.4</v>
      </c>
      <c r="AA551" s="101" t="s">
        <v>85</v>
      </c>
      <c r="AB551" s="45">
        <v>46005.0</v>
      </c>
      <c r="AC551" s="65">
        <v>746.6</v>
      </c>
      <c r="AD551" s="101" t="s">
        <v>85</v>
      </c>
      <c r="AE551" s="45">
        <v>46027.0</v>
      </c>
      <c r="AF551" s="102" t="s">
        <v>904</v>
      </c>
      <c r="AG551" s="101" t="s">
        <v>905</v>
      </c>
      <c r="AH551" s="101" t="s">
        <v>906</v>
      </c>
      <c r="AI551" s="102"/>
    </row>
    <row r="552" ht="15.75" customHeight="1">
      <c r="A552" s="101" t="s">
        <v>61</v>
      </c>
      <c r="B552" s="101" t="s">
        <v>62</v>
      </c>
      <c r="C552" s="101" t="s">
        <v>63</v>
      </c>
      <c r="D552" s="101">
        <v>2.2004178E7</v>
      </c>
      <c r="E552" s="102" t="s">
        <v>907</v>
      </c>
      <c r="F552" s="45">
        <v>46009.0</v>
      </c>
      <c r="G552" s="45">
        <v>45964.0</v>
      </c>
      <c r="H552" s="101" t="s">
        <v>83</v>
      </c>
      <c r="I552" s="101" t="s">
        <v>76</v>
      </c>
      <c r="J552" s="101">
        <v>50.0</v>
      </c>
      <c r="K552" s="65">
        <v>69.77</v>
      </c>
      <c r="L552" s="65">
        <v>3488.5</v>
      </c>
      <c r="M552" s="103">
        <v>0.2</v>
      </c>
      <c r="N552" s="65">
        <v>697.7</v>
      </c>
      <c r="O552" s="65">
        <v>4186.2</v>
      </c>
      <c r="P552" s="101" t="s">
        <v>79</v>
      </c>
      <c r="Q552" s="65">
        <v>348.85</v>
      </c>
      <c r="R552" s="65">
        <v>4535.05</v>
      </c>
      <c r="S552" s="65">
        <v>2441.95</v>
      </c>
      <c r="T552" s="65">
        <v>2185.04</v>
      </c>
      <c r="U552" s="101" t="s">
        <v>85</v>
      </c>
      <c r="V552" s="45">
        <v>45966.0</v>
      </c>
      <c r="W552" s="65">
        <v>2714.18</v>
      </c>
      <c r="X552" s="101" t="s">
        <v>85</v>
      </c>
      <c r="Y552" s="45">
        <v>46008.0</v>
      </c>
      <c r="Z552" s="65"/>
      <c r="AA552" s="101"/>
      <c r="AB552" s="45"/>
      <c r="AC552" s="65">
        <v>348.85</v>
      </c>
      <c r="AD552" s="101" t="s">
        <v>85</v>
      </c>
      <c r="AE552" s="45">
        <v>46089.0</v>
      </c>
      <c r="AF552" s="102" t="s">
        <v>908</v>
      </c>
      <c r="AG552" s="101"/>
      <c r="AH552" s="101"/>
      <c r="AI552" s="102"/>
    </row>
    <row r="553" ht="15.75" customHeight="1">
      <c r="A553" s="101" t="s">
        <v>61</v>
      </c>
      <c r="B553" s="101" t="s">
        <v>62</v>
      </c>
      <c r="C553" s="101" t="s">
        <v>63</v>
      </c>
      <c r="D553" s="101">
        <v>2.2004179E7</v>
      </c>
      <c r="E553" s="102" t="s">
        <v>709</v>
      </c>
      <c r="F553" s="45">
        <v>46001.0</v>
      </c>
      <c r="G553" s="45">
        <v>45966.0</v>
      </c>
      <c r="H553" s="101" t="s">
        <v>83</v>
      </c>
      <c r="I553" s="101" t="s">
        <v>76</v>
      </c>
      <c r="J553" s="101">
        <v>28.0</v>
      </c>
      <c r="K553" s="65">
        <v>100.4642857</v>
      </c>
      <c r="L553" s="65">
        <v>2813.0</v>
      </c>
      <c r="M553" s="103">
        <v>0.2</v>
      </c>
      <c r="N553" s="65">
        <v>562.6</v>
      </c>
      <c r="O553" s="65">
        <v>3375.6</v>
      </c>
      <c r="P553" s="101" t="s">
        <v>79</v>
      </c>
      <c r="Q553" s="65">
        <v>281.3</v>
      </c>
      <c r="R553" s="65">
        <v>3656.9</v>
      </c>
      <c r="S553" s="65">
        <v>1969.1</v>
      </c>
      <c r="T553" s="65">
        <v>3656.9</v>
      </c>
      <c r="U553" s="101" t="s">
        <v>85</v>
      </c>
      <c r="V553" s="45">
        <v>45981.0</v>
      </c>
      <c r="W553" s="65"/>
      <c r="X553" s="101"/>
      <c r="Y553" s="45"/>
      <c r="Z553" s="65"/>
      <c r="AA553" s="101"/>
      <c r="AB553" s="45"/>
      <c r="AC553" s="65">
        <v>130.73</v>
      </c>
      <c r="AD553" s="101" t="s">
        <v>85</v>
      </c>
      <c r="AE553" s="45">
        <v>46027.0</v>
      </c>
      <c r="AF553" s="102" t="s">
        <v>454</v>
      </c>
      <c r="AG553" s="101" t="s">
        <v>379</v>
      </c>
      <c r="AH553" s="101">
        <v>1.1369237E7</v>
      </c>
      <c r="AI553" s="102"/>
    </row>
    <row r="554" ht="15.75" customHeight="1">
      <c r="A554" s="101" t="s">
        <v>61</v>
      </c>
      <c r="B554" s="101" t="s">
        <v>62</v>
      </c>
      <c r="C554" s="101" t="s">
        <v>63</v>
      </c>
      <c r="D554" s="101">
        <v>2.200418E7</v>
      </c>
      <c r="E554" s="102" t="s">
        <v>362</v>
      </c>
      <c r="F554" s="45">
        <v>45994.0</v>
      </c>
      <c r="G554" s="45">
        <v>45967.0</v>
      </c>
      <c r="H554" s="101" t="s">
        <v>83</v>
      </c>
      <c r="I554" s="101" t="s">
        <v>76</v>
      </c>
      <c r="J554" s="101">
        <v>50.0</v>
      </c>
      <c r="K554" s="65">
        <v>32.546</v>
      </c>
      <c r="L554" s="65">
        <v>1627.3</v>
      </c>
      <c r="M554" s="103">
        <v>0.2</v>
      </c>
      <c r="N554" s="65">
        <v>325.46</v>
      </c>
      <c r="O554" s="65">
        <v>1952.76</v>
      </c>
      <c r="P554" s="101" t="s">
        <v>84</v>
      </c>
      <c r="Q554" s="65">
        <v>162.73</v>
      </c>
      <c r="R554" s="65">
        <v>1952.76</v>
      </c>
      <c r="S554" s="65">
        <v>1139.11</v>
      </c>
      <c r="T554" s="65">
        <v>1952.76</v>
      </c>
      <c r="U554" s="101" t="s">
        <v>85</v>
      </c>
      <c r="V554" s="45">
        <v>45985.0</v>
      </c>
      <c r="W554" s="65"/>
      <c r="X554" s="101"/>
      <c r="Y554" s="45"/>
      <c r="Z554" s="65"/>
      <c r="AA554" s="101"/>
      <c r="AB554" s="45"/>
      <c r="AC554" s="65"/>
      <c r="AD554" s="101"/>
      <c r="AE554" s="45"/>
      <c r="AF554" s="102"/>
      <c r="AG554" s="101"/>
      <c r="AH554" s="101"/>
      <c r="AI554" s="102"/>
    </row>
    <row r="555" ht="15.75" customHeight="1">
      <c r="A555" s="101" t="s">
        <v>61</v>
      </c>
      <c r="B555" s="101" t="s">
        <v>62</v>
      </c>
      <c r="C555" s="101" t="s">
        <v>63</v>
      </c>
      <c r="D555" s="101">
        <v>2.2004181E7</v>
      </c>
      <c r="E555" s="102" t="s">
        <v>362</v>
      </c>
      <c r="F555" s="45">
        <v>45994.0</v>
      </c>
      <c r="G555" s="45">
        <v>45967.0</v>
      </c>
      <c r="H555" s="101" t="s">
        <v>83</v>
      </c>
      <c r="I555" s="101" t="s">
        <v>119</v>
      </c>
      <c r="J555" s="101">
        <v>15.0</v>
      </c>
      <c r="K555" s="65">
        <v>52.08333333</v>
      </c>
      <c r="L555" s="65">
        <v>781.25</v>
      </c>
      <c r="M555" s="103">
        <v>0.2</v>
      </c>
      <c r="N555" s="65">
        <v>156.25</v>
      </c>
      <c r="O555" s="65">
        <v>937.5</v>
      </c>
      <c r="P555" s="101" t="s">
        <v>84</v>
      </c>
      <c r="Q555" s="65">
        <v>78.125</v>
      </c>
      <c r="R555" s="65">
        <v>937.5</v>
      </c>
      <c r="S555" s="65">
        <v>546.875</v>
      </c>
      <c r="T555" s="65"/>
      <c r="U555" s="101"/>
      <c r="V555" s="45"/>
      <c r="W555" s="65"/>
      <c r="X555" s="101"/>
      <c r="Y555" s="45"/>
      <c r="Z555" s="65"/>
      <c r="AA555" s="101"/>
      <c r="AB555" s="45"/>
      <c r="AC555" s="65"/>
      <c r="AD555" s="101"/>
      <c r="AE555" s="45"/>
      <c r="AF555" s="102"/>
      <c r="AG555" s="101"/>
      <c r="AH555" s="101"/>
      <c r="AI555" s="102"/>
    </row>
    <row r="556" ht="15.75" customHeight="1">
      <c r="A556" s="101" t="s">
        <v>61</v>
      </c>
      <c r="B556" s="101" t="s">
        <v>62</v>
      </c>
      <c r="C556" s="101" t="s">
        <v>63</v>
      </c>
      <c r="D556" s="101">
        <v>2.2004182E7</v>
      </c>
      <c r="E556" s="102" t="s">
        <v>714</v>
      </c>
      <c r="F556" s="45">
        <v>46000.0</v>
      </c>
      <c r="G556" s="45">
        <v>45970.0</v>
      </c>
      <c r="H556" s="101" t="s">
        <v>83</v>
      </c>
      <c r="I556" s="101" t="s">
        <v>76</v>
      </c>
      <c r="J556" s="101">
        <v>40.0</v>
      </c>
      <c r="K556" s="65">
        <v>73.425</v>
      </c>
      <c r="L556" s="65">
        <v>2937.0</v>
      </c>
      <c r="M556" s="103">
        <v>0.2</v>
      </c>
      <c r="N556" s="65">
        <v>587.4</v>
      </c>
      <c r="O556" s="65">
        <v>3524.4</v>
      </c>
      <c r="P556" s="101" t="s">
        <v>79</v>
      </c>
      <c r="Q556" s="65">
        <v>293.7</v>
      </c>
      <c r="R556" s="65">
        <v>3818.1</v>
      </c>
      <c r="S556" s="65">
        <v>2055.9</v>
      </c>
      <c r="T556" s="65">
        <v>3818.1</v>
      </c>
      <c r="U556" s="101" t="s">
        <v>85</v>
      </c>
      <c r="V556" s="45">
        <v>45981.0</v>
      </c>
      <c r="W556" s="65"/>
      <c r="X556" s="101"/>
      <c r="Y556" s="45"/>
      <c r="Z556" s="65"/>
      <c r="AA556" s="101"/>
      <c r="AB556" s="45"/>
      <c r="AC556" s="65">
        <v>293.7</v>
      </c>
      <c r="AD556" s="101" t="s">
        <v>85</v>
      </c>
      <c r="AE556" s="45">
        <v>46027.0</v>
      </c>
      <c r="AF556" s="102" t="s">
        <v>715</v>
      </c>
      <c r="AG556" s="101" t="s">
        <v>704</v>
      </c>
      <c r="AH556" s="101">
        <v>2.3665801E7</v>
      </c>
      <c r="AI556" s="102"/>
    </row>
    <row r="557" ht="15.75" customHeight="1">
      <c r="A557" s="101" t="s">
        <v>61</v>
      </c>
      <c r="B557" s="101" t="s">
        <v>62</v>
      </c>
      <c r="C557" s="101" t="s">
        <v>63</v>
      </c>
      <c r="D557" s="101">
        <v>2.2004183E7</v>
      </c>
      <c r="E557" s="102" t="s">
        <v>910</v>
      </c>
      <c r="F557" s="45">
        <v>45995.0</v>
      </c>
      <c r="G557" s="45">
        <v>45971.0</v>
      </c>
      <c r="H557" s="101" t="s">
        <v>83</v>
      </c>
      <c r="I557" s="101" t="s">
        <v>76</v>
      </c>
      <c r="J557" s="101">
        <v>50.0</v>
      </c>
      <c r="K557" s="65">
        <v>27.28</v>
      </c>
      <c r="L557" s="65">
        <v>1364.0</v>
      </c>
      <c r="M557" s="103">
        <v>0.2</v>
      </c>
      <c r="N557" s="65">
        <v>272.8</v>
      </c>
      <c r="O557" s="65">
        <v>1636.8</v>
      </c>
      <c r="P557" s="101" t="s">
        <v>79</v>
      </c>
      <c r="Q557" s="65">
        <v>136.4</v>
      </c>
      <c r="R557" s="65">
        <v>1773.2</v>
      </c>
      <c r="S557" s="65">
        <v>954.8</v>
      </c>
      <c r="T557" s="65">
        <v>1526.2</v>
      </c>
      <c r="U557" s="101" t="s">
        <v>80</v>
      </c>
      <c r="V557" s="45">
        <v>45986.0</v>
      </c>
      <c r="W557" s="65">
        <v>204.52</v>
      </c>
      <c r="X557" s="101" t="s">
        <v>80</v>
      </c>
      <c r="Y557" s="45">
        <v>45993.0</v>
      </c>
      <c r="Z557" s="65"/>
      <c r="AA557" s="101"/>
      <c r="AB557" s="45"/>
      <c r="AC557" s="65">
        <v>117.4</v>
      </c>
      <c r="AD557" s="101" t="s">
        <v>80</v>
      </c>
      <c r="AE557" s="45">
        <v>46000.0</v>
      </c>
      <c r="AF557" s="102"/>
      <c r="AG557" s="101"/>
      <c r="AH557" s="101"/>
      <c r="AI557" s="102"/>
    </row>
    <row r="558" ht="15.75" customHeight="1">
      <c r="A558" s="101" t="s">
        <v>61</v>
      </c>
      <c r="B558" s="101" t="s">
        <v>62</v>
      </c>
      <c r="C558" s="101" t="s">
        <v>63</v>
      </c>
      <c r="D558" s="101">
        <v>2.2004184E7</v>
      </c>
      <c r="E558" s="102" t="s">
        <v>911</v>
      </c>
      <c r="F558" s="45">
        <v>45974.0</v>
      </c>
      <c r="G558" s="45">
        <v>45971.0</v>
      </c>
      <c r="H558" s="101" t="s">
        <v>73</v>
      </c>
      <c r="I558" s="101" t="s">
        <v>119</v>
      </c>
      <c r="J558" s="101">
        <v>35.0</v>
      </c>
      <c r="K558" s="65">
        <v>82.00714286</v>
      </c>
      <c r="L558" s="65">
        <v>2870.25</v>
      </c>
      <c r="M558" s="103">
        <v>0.2</v>
      </c>
      <c r="N558" s="65">
        <v>574.05</v>
      </c>
      <c r="O558" s="65">
        <v>3444.3</v>
      </c>
      <c r="P558" s="101" t="s">
        <v>79</v>
      </c>
      <c r="Q558" s="65">
        <v>287.025</v>
      </c>
      <c r="R558" s="65">
        <v>3731.325</v>
      </c>
      <c r="S558" s="65">
        <v>2009.175</v>
      </c>
      <c r="T558" s="65"/>
      <c r="U558" s="101"/>
      <c r="V558" s="45"/>
      <c r="W558" s="65"/>
      <c r="X558" s="101"/>
      <c r="Y558" s="45"/>
      <c r="Z558" s="65"/>
      <c r="AA558" s="101"/>
      <c r="AB558" s="45"/>
      <c r="AC558" s="65"/>
      <c r="AD558" s="101"/>
      <c r="AE558" s="45"/>
      <c r="AF558" s="102"/>
      <c r="AG558" s="101"/>
      <c r="AH558" s="101"/>
      <c r="AI558" s="102"/>
    </row>
    <row r="559" ht="15.75" customHeight="1">
      <c r="A559" s="101" t="s">
        <v>61</v>
      </c>
      <c r="B559" s="101" t="s">
        <v>62</v>
      </c>
      <c r="C559" s="101" t="s">
        <v>63</v>
      </c>
      <c r="D559" s="101">
        <v>2.2004185E7</v>
      </c>
      <c r="E559" s="102" t="s">
        <v>158</v>
      </c>
      <c r="F559" s="45">
        <v>46001.0</v>
      </c>
      <c r="G559" s="45">
        <v>45974.0</v>
      </c>
      <c r="H559" s="101" t="s">
        <v>83</v>
      </c>
      <c r="I559" s="101" t="s">
        <v>76</v>
      </c>
      <c r="J559" s="101">
        <v>95.0</v>
      </c>
      <c r="K559" s="65">
        <v>88.48947368</v>
      </c>
      <c r="L559" s="65">
        <v>8406.5</v>
      </c>
      <c r="M559" s="103">
        <v>0.2</v>
      </c>
      <c r="N559" s="65">
        <v>1681.3</v>
      </c>
      <c r="O559" s="65">
        <v>10087.8</v>
      </c>
      <c r="P559" s="101" t="s">
        <v>79</v>
      </c>
      <c r="Q559" s="65">
        <v>840.65</v>
      </c>
      <c r="R559" s="65">
        <v>10928.45</v>
      </c>
      <c r="S559" s="65">
        <v>5884.55</v>
      </c>
      <c r="T559" s="65">
        <v>11137.62</v>
      </c>
      <c r="U559" s="101" t="s">
        <v>80</v>
      </c>
      <c r="V559" s="45">
        <v>46000.0</v>
      </c>
      <c r="W559" s="65"/>
      <c r="X559" s="101"/>
      <c r="Y559" s="45"/>
      <c r="Z559" s="65"/>
      <c r="AA559" s="101"/>
      <c r="AB559" s="45"/>
      <c r="AC559" s="65">
        <v>1416.9</v>
      </c>
      <c r="AD559" s="101" t="s">
        <v>80</v>
      </c>
      <c r="AE559" s="45">
        <v>46006.0</v>
      </c>
      <c r="AF559" s="102"/>
      <c r="AG559" s="101"/>
      <c r="AH559" s="101"/>
      <c r="AI559" s="102"/>
    </row>
    <row r="560" ht="15.75" customHeight="1">
      <c r="A560" s="101" t="s">
        <v>61</v>
      </c>
      <c r="B560" s="101" t="s">
        <v>62</v>
      </c>
      <c r="C560" s="101" t="s">
        <v>63</v>
      </c>
      <c r="D560" s="101">
        <v>2.2004186E7</v>
      </c>
      <c r="E560" s="102" t="s">
        <v>912</v>
      </c>
      <c r="F560" s="45">
        <v>45990.0</v>
      </c>
      <c r="G560" s="45">
        <v>45980.0</v>
      </c>
      <c r="H560" s="101" t="s">
        <v>83</v>
      </c>
      <c r="I560" s="101" t="s">
        <v>76</v>
      </c>
      <c r="J560" s="101">
        <v>20.0</v>
      </c>
      <c r="K560" s="65">
        <v>59.525</v>
      </c>
      <c r="L560" s="65">
        <v>1190.5</v>
      </c>
      <c r="M560" s="103">
        <v>0.2</v>
      </c>
      <c r="N560" s="65">
        <v>238.1</v>
      </c>
      <c r="O560" s="65">
        <v>1428.6</v>
      </c>
      <c r="P560" s="101" t="s">
        <v>84</v>
      </c>
      <c r="Q560" s="65">
        <v>119.05</v>
      </c>
      <c r="R560" s="65">
        <v>1428.6</v>
      </c>
      <c r="S560" s="65">
        <v>833.35</v>
      </c>
      <c r="T560" s="65">
        <v>1428.6</v>
      </c>
      <c r="U560" s="101" t="s">
        <v>85</v>
      </c>
      <c r="V560" s="45">
        <v>45989.0</v>
      </c>
      <c r="W560" s="65"/>
      <c r="X560" s="101"/>
      <c r="Y560" s="45"/>
      <c r="Z560" s="65"/>
      <c r="AA560" s="101"/>
      <c r="AB560" s="45"/>
      <c r="AC560" s="65"/>
      <c r="AD560" s="101"/>
      <c r="AE560" s="45"/>
      <c r="AF560" s="102"/>
      <c r="AG560" s="101"/>
      <c r="AH560" s="101"/>
      <c r="AI560" s="102"/>
    </row>
    <row r="561" ht="15.75" customHeight="1">
      <c r="A561" s="101" t="s">
        <v>61</v>
      </c>
      <c r="B561" s="101" t="s">
        <v>62</v>
      </c>
      <c r="C561" s="101" t="s">
        <v>63</v>
      </c>
      <c r="D561" s="101">
        <v>2.2004187E7</v>
      </c>
      <c r="E561" s="102" t="s">
        <v>913</v>
      </c>
      <c r="F561" s="45">
        <v>45988.0</v>
      </c>
      <c r="G561" s="45">
        <v>45981.0</v>
      </c>
      <c r="H561" s="101" t="s">
        <v>73</v>
      </c>
      <c r="I561" s="101" t="s">
        <v>76</v>
      </c>
      <c r="J561" s="101">
        <v>100.0</v>
      </c>
      <c r="K561" s="65">
        <v>12.9</v>
      </c>
      <c r="L561" s="65">
        <v>1290.0</v>
      </c>
      <c r="M561" s="103">
        <v>0.2</v>
      </c>
      <c r="N561" s="65">
        <v>258.0</v>
      </c>
      <c r="O561" s="65">
        <v>1548.0</v>
      </c>
      <c r="P561" s="101" t="s">
        <v>84</v>
      </c>
      <c r="Q561" s="65">
        <v>129.0</v>
      </c>
      <c r="R561" s="65">
        <v>1548.0</v>
      </c>
      <c r="S561" s="65">
        <v>903.0</v>
      </c>
      <c r="T561" s="65">
        <v>1548.0</v>
      </c>
      <c r="U561" s="101" t="s">
        <v>85</v>
      </c>
      <c r="V561" s="45">
        <v>45985.0</v>
      </c>
      <c r="W561" s="65"/>
      <c r="X561" s="101"/>
      <c r="Y561" s="45"/>
      <c r="Z561" s="65"/>
      <c r="AA561" s="101"/>
      <c r="AB561" s="45"/>
      <c r="AC561" s="65"/>
      <c r="AD561" s="101"/>
      <c r="AE561" s="45"/>
      <c r="AF561" s="102"/>
      <c r="AG561" s="101"/>
      <c r="AH561" s="101"/>
      <c r="AI561" s="102"/>
    </row>
    <row r="562" ht="15.75" customHeight="1">
      <c r="A562" s="101" t="s">
        <v>61</v>
      </c>
      <c r="B562" s="101" t="s">
        <v>62</v>
      </c>
      <c r="C562" s="101" t="s">
        <v>251</v>
      </c>
      <c r="D562" s="101">
        <v>2.2004188E7</v>
      </c>
      <c r="E562" s="102" t="s">
        <v>440</v>
      </c>
      <c r="F562" s="45">
        <v>46004.0</v>
      </c>
      <c r="G562" s="45">
        <v>45981.0</v>
      </c>
      <c r="H562" s="101" t="s">
        <v>83</v>
      </c>
      <c r="I562" s="101" t="s">
        <v>76</v>
      </c>
      <c r="J562" s="101">
        <v>30.0</v>
      </c>
      <c r="K562" s="65">
        <v>47.65</v>
      </c>
      <c r="L562" s="65">
        <v>1429.5</v>
      </c>
      <c r="M562" s="103">
        <v>0.2</v>
      </c>
      <c r="N562" s="65">
        <v>285.9</v>
      </c>
      <c r="O562" s="65">
        <v>1715.4</v>
      </c>
      <c r="P562" s="101" t="s">
        <v>84</v>
      </c>
      <c r="Q562" s="65">
        <v>142.95</v>
      </c>
      <c r="R562" s="65">
        <v>1715.4</v>
      </c>
      <c r="S562" s="65">
        <v>1000.65</v>
      </c>
      <c r="T562" s="65">
        <v>1715.4</v>
      </c>
      <c r="U562" s="101" t="s">
        <v>80</v>
      </c>
      <c r="V562" s="45">
        <v>45985.0</v>
      </c>
      <c r="W562" s="65"/>
      <c r="X562" s="101"/>
      <c r="Y562" s="45"/>
      <c r="Z562" s="65"/>
      <c r="AA562" s="101"/>
      <c r="AB562" s="45"/>
      <c r="AC562" s="65"/>
      <c r="AD562" s="101"/>
      <c r="AE562" s="45"/>
      <c r="AF562" s="102"/>
      <c r="AG562" s="101"/>
      <c r="AH562" s="101"/>
      <c r="AI562" s="102"/>
    </row>
    <row r="563" ht="15.75" customHeight="1">
      <c r="A563" s="101" t="s">
        <v>167</v>
      </c>
      <c r="B563" s="101" t="s">
        <v>62</v>
      </c>
      <c r="C563" s="101" t="s">
        <v>63</v>
      </c>
      <c r="D563" s="101">
        <v>2.2004189E7</v>
      </c>
      <c r="E563" s="102" t="s">
        <v>914</v>
      </c>
      <c r="F563" s="45">
        <v>45987.0</v>
      </c>
      <c r="G563" s="45">
        <v>45985.0</v>
      </c>
      <c r="H563" s="101" t="s">
        <v>83</v>
      </c>
      <c r="I563" s="101" t="s">
        <v>76</v>
      </c>
      <c r="J563" s="101">
        <v>15.0</v>
      </c>
      <c r="K563" s="65">
        <v>46.03333333</v>
      </c>
      <c r="L563" s="65">
        <v>690.5</v>
      </c>
      <c r="M563" s="103">
        <v>0.2</v>
      </c>
      <c r="N563" s="65">
        <v>138.1</v>
      </c>
      <c r="O563" s="65">
        <v>828.6</v>
      </c>
      <c r="P563" s="101" t="s">
        <v>84</v>
      </c>
      <c r="Q563" s="65">
        <v>69.05</v>
      </c>
      <c r="R563" s="65">
        <v>828.6</v>
      </c>
      <c r="S563" s="65">
        <v>483.35</v>
      </c>
      <c r="T563" s="65">
        <v>882.6</v>
      </c>
      <c r="U563" s="101" t="s">
        <v>85</v>
      </c>
      <c r="V563" s="45">
        <v>45985.0</v>
      </c>
      <c r="W563" s="65"/>
      <c r="X563" s="101"/>
      <c r="Y563" s="45"/>
      <c r="Z563" s="65"/>
      <c r="AA563" s="101"/>
      <c r="AB563" s="45"/>
      <c r="AC563" s="65"/>
      <c r="AD563" s="101"/>
      <c r="AE563" s="45"/>
      <c r="AF563" s="102"/>
      <c r="AG563" s="101"/>
      <c r="AH563" s="101"/>
      <c r="AI563" s="102"/>
    </row>
    <row r="564" ht="15.75" customHeight="1">
      <c r="A564" s="101" t="s">
        <v>61</v>
      </c>
      <c r="B564" s="101" t="s">
        <v>62</v>
      </c>
      <c r="C564" s="101" t="s">
        <v>63</v>
      </c>
      <c r="D564" s="101">
        <v>2.200419E7</v>
      </c>
      <c r="E564" s="102" t="s">
        <v>915</v>
      </c>
      <c r="F564" s="45">
        <v>45994.0</v>
      </c>
      <c r="G564" s="45">
        <v>45988.0</v>
      </c>
      <c r="H564" s="101" t="s">
        <v>73</v>
      </c>
      <c r="I564" s="101" t="s">
        <v>76</v>
      </c>
      <c r="J564" s="101">
        <v>35.0</v>
      </c>
      <c r="K564" s="65">
        <v>33.34285714</v>
      </c>
      <c r="L564" s="65">
        <v>1167.0</v>
      </c>
      <c r="M564" s="103">
        <v>0.2</v>
      </c>
      <c r="N564" s="65">
        <v>233.4</v>
      </c>
      <c r="O564" s="65">
        <v>1400.4</v>
      </c>
      <c r="P564" s="101" t="s">
        <v>84</v>
      </c>
      <c r="Q564" s="65">
        <v>116.7</v>
      </c>
      <c r="R564" s="65">
        <v>1400.4</v>
      </c>
      <c r="S564" s="65">
        <v>816.9</v>
      </c>
      <c r="T564" s="65">
        <v>1400.4</v>
      </c>
      <c r="U564" s="101" t="s">
        <v>80</v>
      </c>
      <c r="V564" s="45">
        <v>45992.0</v>
      </c>
      <c r="W564" s="65"/>
      <c r="X564" s="101"/>
      <c r="Y564" s="45"/>
      <c r="Z564" s="65"/>
      <c r="AA564" s="101"/>
      <c r="AB564" s="45"/>
      <c r="AC564" s="65"/>
      <c r="AD564" s="101"/>
      <c r="AE564" s="45"/>
      <c r="AF564" s="102"/>
      <c r="AG564" s="101"/>
      <c r="AH564" s="101"/>
      <c r="AI564" s="102"/>
    </row>
    <row r="565" ht="15.75" customHeight="1">
      <c r="A565" s="101" t="s">
        <v>61</v>
      </c>
      <c r="B565" s="101" t="s">
        <v>62</v>
      </c>
      <c r="C565" s="101" t="s">
        <v>251</v>
      </c>
      <c r="D565" s="101">
        <v>2.2004191E7</v>
      </c>
      <c r="E565" s="102" t="s">
        <v>916</v>
      </c>
      <c r="F565" s="45">
        <v>46004.0</v>
      </c>
      <c r="G565" s="45">
        <v>45988.0</v>
      </c>
      <c r="H565" s="101" t="s">
        <v>73</v>
      </c>
      <c r="I565" s="101" t="s">
        <v>119</v>
      </c>
      <c r="J565" s="101">
        <v>50.0</v>
      </c>
      <c r="K565" s="65">
        <v>0.0</v>
      </c>
      <c r="L565" s="65"/>
      <c r="M565" s="103">
        <v>0.2</v>
      </c>
      <c r="N565" s="65"/>
      <c r="O565" s="65"/>
      <c r="P565" s="101" t="s">
        <v>79</v>
      </c>
      <c r="Q565" s="65">
        <v>0.0</v>
      </c>
      <c r="R565" s="65"/>
      <c r="S565" s="65">
        <v>0.0</v>
      </c>
      <c r="T565" s="65"/>
      <c r="U565" s="101"/>
      <c r="V565" s="45"/>
      <c r="W565" s="65"/>
      <c r="X565" s="101"/>
      <c r="Y565" s="45"/>
      <c r="Z565" s="65"/>
      <c r="AA565" s="101"/>
      <c r="AB565" s="45"/>
      <c r="AC565" s="65"/>
      <c r="AD565" s="101"/>
      <c r="AE565" s="45"/>
      <c r="AF565" s="102"/>
      <c r="AG565" s="101"/>
      <c r="AH565" s="101"/>
      <c r="AI565" s="102"/>
    </row>
    <row r="566" ht="15.75" customHeight="1">
      <c r="A566" s="101" t="s">
        <v>61</v>
      </c>
      <c r="B566" s="101" t="s">
        <v>62</v>
      </c>
      <c r="C566" s="101" t="s">
        <v>63</v>
      </c>
      <c r="D566" s="101">
        <v>2.2004192E7</v>
      </c>
      <c r="E566" s="102" t="s">
        <v>917</v>
      </c>
      <c r="F566" s="45">
        <v>45995.0</v>
      </c>
      <c r="G566" s="45">
        <v>45989.0</v>
      </c>
      <c r="H566" s="101" t="s">
        <v>73</v>
      </c>
      <c r="I566" s="101" t="s">
        <v>76</v>
      </c>
      <c r="J566" s="101">
        <v>50.0</v>
      </c>
      <c r="K566" s="65">
        <v>44.7</v>
      </c>
      <c r="L566" s="65">
        <v>2235.0</v>
      </c>
      <c r="M566" s="103">
        <v>0.2</v>
      </c>
      <c r="N566" s="65">
        <v>447.0</v>
      </c>
      <c r="O566" s="65">
        <v>2682.0</v>
      </c>
      <c r="P566" s="101" t="s">
        <v>84</v>
      </c>
      <c r="Q566" s="65">
        <v>223.5</v>
      </c>
      <c r="R566" s="65">
        <v>2682.0</v>
      </c>
      <c r="S566" s="65">
        <v>1564.5</v>
      </c>
      <c r="T566" s="65">
        <v>2682.0</v>
      </c>
      <c r="U566" s="101" t="s">
        <v>85</v>
      </c>
      <c r="V566" s="45">
        <v>46019.0</v>
      </c>
      <c r="W566" s="65"/>
      <c r="X566" s="101"/>
      <c r="Y566" s="45"/>
      <c r="Z566" s="65"/>
      <c r="AA566" s="101"/>
      <c r="AB566" s="45"/>
      <c r="AC566" s="65"/>
      <c r="AD566" s="101"/>
      <c r="AE566" s="45"/>
      <c r="AF566" s="102"/>
      <c r="AG566" s="101"/>
      <c r="AH566" s="101"/>
      <c r="AI566" s="102"/>
    </row>
    <row r="567" ht="15.75" customHeight="1">
      <c r="A567" s="101" t="s">
        <v>167</v>
      </c>
      <c r="B567" s="101" t="s">
        <v>62</v>
      </c>
      <c r="C567" s="101" t="s">
        <v>63</v>
      </c>
      <c r="D567" s="101">
        <v>2.2004193E7</v>
      </c>
      <c r="E567" s="102" t="s">
        <v>204</v>
      </c>
      <c r="F567" s="45">
        <v>45993.0</v>
      </c>
      <c r="G567" s="45">
        <v>45993.0</v>
      </c>
      <c r="H567" s="101" t="s">
        <v>83</v>
      </c>
      <c r="I567" s="101" t="s">
        <v>76</v>
      </c>
      <c r="J567" s="101">
        <v>45.0</v>
      </c>
      <c r="K567" s="65">
        <v>62.28888889</v>
      </c>
      <c r="L567" s="65">
        <v>2803.0</v>
      </c>
      <c r="M567" s="103">
        <v>0.2</v>
      </c>
      <c r="N567" s="65">
        <v>560.6</v>
      </c>
      <c r="O567" s="65">
        <v>3363.6</v>
      </c>
      <c r="P567" s="101" t="s">
        <v>84</v>
      </c>
      <c r="Q567" s="65">
        <v>280.3</v>
      </c>
      <c r="R567" s="65">
        <v>3363.6</v>
      </c>
      <c r="S567" s="65">
        <v>1962.1</v>
      </c>
      <c r="T567" s="65"/>
      <c r="U567" s="101"/>
      <c r="V567" s="45"/>
      <c r="W567" s="65"/>
      <c r="X567" s="101"/>
      <c r="Y567" s="45"/>
      <c r="Z567" s="65"/>
      <c r="AA567" s="101"/>
      <c r="AB567" s="45"/>
      <c r="AC567" s="65"/>
      <c r="AD567" s="101"/>
      <c r="AE567" s="45"/>
      <c r="AF567" s="102"/>
      <c r="AG567" s="101"/>
      <c r="AH567" s="101"/>
      <c r="AI567" s="102"/>
    </row>
    <row r="568" ht="15.75" customHeight="1">
      <c r="A568" s="101" t="s">
        <v>167</v>
      </c>
      <c r="B568" s="101" t="s">
        <v>62</v>
      </c>
      <c r="C568" s="101" t="s">
        <v>63</v>
      </c>
      <c r="D568" s="101">
        <v>2.2004194E7</v>
      </c>
      <c r="E568" s="102" t="s">
        <v>918</v>
      </c>
      <c r="F568" s="45">
        <v>45995.0</v>
      </c>
      <c r="G568" s="45">
        <v>45996.0</v>
      </c>
      <c r="H568" s="101" t="s">
        <v>73</v>
      </c>
      <c r="I568" s="101" t="s">
        <v>76</v>
      </c>
      <c r="J568" s="101">
        <v>25.0</v>
      </c>
      <c r="K568" s="65">
        <v>30.0</v>
      </c>
      <c r="L568" s="65">
        <v>750.0</v>
      </c>
      <c r="M568" s="103">
        <v>0.2</v>
      </c>
      <c r="N568" s="65">
        <v>150.0</v>
      </c>
      <c r="O568" s="65">
        <v>900.0</v>
      </c>
      <c r="P568" s="101" t="s">
        <v>84</v>
      </c>
      <c r="Q568" s="65">
        <v>75.0</v>
      </c>
      <c r="R568" s="65">
        <v>900.0</v>
      </c>
      <c r="S568" s="65">
        <v>525.0</v>
      </c>
      <c r="T568" s="65">
        <v>900.0</v>
      </c>
      <c r="U568" s="101" t="s">
        <v>80</v>
      </c>
      <c r="V568" s="45">
        <v>45995.0</v>
      </c>
      <c r="W568" s="65"/>
      <c r="X568" s="101"/>
      <c r="Y568" s="45"/>
      <c r="Z568" s="65"/>
      <c r="AA568" s="101"/>
      <c r="AB568" s="45"/>
      <c r="AC568" s="65"/>
      <c r="AD568" s="101"/>
      <c r="AE568" s="45"/>
      <c r="AF568" s="102"/>
      <c r="AG568" s="101"/>
      <c r="AH568" s="101"/>
      <c r="AI568" s="102"/>
    </row>
    <row r="569" ht="15.75" customHeight="1">
      <c r="A569" s="101" t="s">
        <v>61</v>
      </c>
      <c r="B569" s="101" t="s">
        <v>62</v>
      </c>
      <c r="C569" s="101" t="s">
        <v>63</v>
      </c>
      <c r="D569" s="101">
        <v>2.2004195E7</v>
      </c>
      <c r="E569" s="102" t="s">
        <v>919</v>
      </c>
      <c r="F569" s="45">
        <v>46010.0</v>
      </c>
      <c r="G569" s="45">
        <v>45999.0</v>
      </c>
      <c r="H569" s="101" t="s">
        <v>73</v>
      </c>
      <c r="I569" s="101" t="s">
        <v>76</v>
      </c>
      <c r="J569" s="101">
        <v>250.0</v>
      </c>
      <c r="K569" s="65">
        <v>41.982</v>
      </c>
      <c r="L569" s="65">
        <v>10495.5</v>
      </c>
      <c r="M569" s="103">
        <v>0.2</v>
      </c>
      <c r="N569" s="65">
        <v>2099.1</v>
      </c>
      <c r="O569" s="65">
        <v>12594.6</v>
      </c>
      <c r="P569" s="101" t="s">
        <v>79</v>
      </c>
      <c r="Q569" s="65">
        <v>1049.55</v>
      </c>
      <c r="R569" s="65">
        <v>13644.15</v>
      </c>
      <c r="S569" s="65">
        <v>7346.85</v>
      </c>
      <c r="T569" s="65">
        <v>13644.15</v>
      </c>
      <c r="U569" s="101" t="s">
        <v>85</v>
      </c>
      <c r="V569" s="45"/>
      <c r="W569" s="65"/>
      <c r="X569" s="101"/>
      <c r="Y569" s="45"/>
      <c r="Z569" s="65"/>
      <c r="AA569" s="101"/>
      <c r="AB569" s="45"/>
      <c r="AC569" s="65">
        <v>448.35</v>
      </c>
      <c r="AD569" s="101" t="s">
        <v>85</v>
      </c>
      <c r="AE569" s="45">
        <v>46047.0</v>
      </c>
      <c r="AF569" s="102" t="s">
        <v>920</v>
      </c>
      <c r="AG569" s="101" t="s">
        <v>921</v>
      </c>
      <c r="AH569" s="101">
        <v>1.4480988E7</v>
      </c>
      <c r="AI569" s="102"/>
    </row>
    <row r="570" ht="15.75" customHeight="1">
      <c r="A570" s="101" t="s">
        <v>61</v>
      </c>
      <c r="B570" s="101" t="s">
        <v>62</v>
      </c>
      <c r="C570" s="101" t="s">
        <v>63</v>
      </c>
      <c r="D570" s="101">
        <v>2.2004196E7</v>
      </c>
      <c r="E570" s="102" t="s">
        <v>176</v>
      </c>
      <c r="F570" s="45">
        <v>46009.0</v>
      </c>
      <c r="G570" s="45">
        <v>46006.0</v>
      </c>
      <c r="H570" s="101" t="s">
        <v>83</v>
      </c>
      <c r="I570" s="101" t="s">
        <v>76</v>
      </c>
      <c r="J570" s="101">
        <v>20.0</v>
      </c>
      <c r="K570" s="65">
        <v>90.225</v>
      </c>
      <c r="L570" s="65">
        <v>1804.5</v>
      </c>
      <c r="M570" s="103">
        <v>0.2</v>
      </c>
      <c r="N570" s="65">
        <v>360.9</v>
      </c>
      <c r="O570" s="65">
        <v>2165.4</v>
      </c>
      <c r="P570" s="101" t="s">
        <v>79</v>
      </c>
      <c r="Q570" s="65">
        <v>180.45</v>
      </c>
      <c r="R570" s="65">
        <v>2345.85</v>
      </c>
      <c r="S570" s="65">
        <v>1263.15</v>
      </c>
      <c r="T570" s="65">
        <v>2319.85</v>
      </c>
      <c r="U570" s="101" t="s">
        <v>80</v>
      </c>
      <c r="V570" s="45">
        <v>46006.0</v>
      </c>
      <c r="W570" s="65"/>
      <c r="X570" s="101"/>
      <c r="Y570" s="45"/>
      <c r="Z570" s="65"/>
      <c r="AA570" s="101"/>
      <c r="AB570" s="45"/>
      <c r="AC570" s="65">
        <v>62.05</v>
      </c>
      <c r="AD570" s="101" t="s">
        <v>80</v>
      </c>
      <c r="AE570" s="45">
        <v>46029.0</v>
      </c>
      <c r="AF570" s="102"/>
      <c r="AG570" s="101"/>
      <c r="AH570" s="101"/>
      <c r="AI570" s="102"/>
    </row>
    <row r="571" ht="15.75" customHeight="1">
      <c r="A571" s="101" t="s">
        <v>61</v>
      </c>
      <c r="B571" s="101" t="s">
        <v>62</v>
      </c>
      <c r="C571" s="101" t="s">
        <v>63</v>
      </c>
      <c r="D571" s="101">
        <v>2.2004197E7</v>
      </c>
      <c r="E571" s="102" t="s">
        <v>875</v>
      </c>
      <c r="F571" s="45">
        <v>46009.0</v>
      </c>
      <c r="G571" s="45">
        <v>46008.0</v>
      </c>
      <c r="H571" s="101" t="s">
        <v>83</v>
      </c>
      <c r="I571" s="101" t="s">
        <v>76</v>
      </c>
      <c r="J571" s="101">
        <v>25.0</v>
      </c>
      <c r="K571" s="65">
        <v>33.3</v>
      </c>
      <c r="L571" s="65">
        <v>832.5</v>
      </c>
      <c r="M571" s="103">
        <v>0.2</v>
      </c>
      <c r="N571" s="65">
        <v>166.5</v>
      </c>
      <c r="O571" s="65">
        <v>999.0</v>
      </c>
      <c r="P571" s="101" t="s">
        <v>79</v>
      </c>
      <c r="Q571" s="65">
        <v>83.25</v>
      </c>
      <c r="R571" s="65">
        <v>1082.25</v>
      </c>
      <c r="S571" s="65">
        <v>582.75</v>
      </c>
      <c r="T571" s="65">
        <v>1082.25</v>
      </c>
      <c r="U571" s="101" t="s">
        <v>85</v>
      </c>
      <c r="V571" s="45">
        <v>46008.0</v>
      </c>
      <c r="W571" s="65"/>
      <c r="X571" s="101"/>
      <c r="Y571" s="45"/>
      <c r="Z571" s="65"/>
      <c r="AA571" s="101"/>
      <c r="AB571" s="45"/>
      <c r="AC571" s="65">
        <v>83.25</v>
      </c>
      <c r="AD571" s="101"/>
      <c r="AE571" s="45"/>
      <c r="AF571" s="102" t="s">
        <v>876</v>
      </c>
      <c r="AG571" s="101" t="s">
        <v>877</v>
      </c>
      <c r="AH571" s="101" t="s">
        <v>878</v>
      </c>
      <c r="AI571" s="102"/>
    </row>
    <row r="572" ht="15.75" customHeight="1">
      <c r="A572" s="101" t="s">
        <v>61</v>
      </c>
      <c r="B572" s="101" t="s">
        <v>62</v>
      </c>
      <c r="C572" s="101" t="s">
        <v>63</v>
      </c>
      <c r="D572" s="101">
        <v>2.2004259E7</v>
      </c>
      <c r="E572" s="102" t="s">
        <v>188</v>
      </c>
      <c r="F572" s="45">
        <v>46154.0</v>
      </c>
      <c r="G572" s="45">
        <v>45762.0</v>
      </c>
      <c r="H572" s="101" t="s">
        <v>83</v>
      </c>
      <c r="I572" s="101" t="s">
        <v>76</v>
      </c>
      <c r="J572" s="101">
        <v>20.0</v>
      </c>
      <c r="K572" s="65">
        <v>56.4</v>
      </c>
      <c r="L572" s="65">
        <v>1128.0</v>
      </c>
      <c r="M572" s="103">
        <v>0.2</v>
      </c>
      <c r="N572" s="65">
        <v>225.6</v>
      </c>
      <c r="O572" s="65">
        <v>1353.6</v>
      </c>
      <c r="P572" s="101" t="s">
        <v>84</v>
      </c>
      <c r="Q572" s="65">
        <v>112.8</v>
      </c>
      <c r="R572" s="65">
        <v>1353.6</v>
      </c>
      <c r="S572" s="65">
        <v>789.6</v>
      </c>
      <c r="T572" s="65">
        <v>1353.6</v>
      </c>
      <c r="U572" s="101" t="s">
        <v>85</v>
      </c>
      <c r="V572" s="45">
        <v>46148.0</v>
      </c>
      <c r="W572" s="65"/>
      <c r="X572" s="101"/>
      <c r="Y572" s="45"/>
      <c r="Z572" s="65"/>
      <c r="AA572" s="101"/>
      <c r="AB572" s="45"/>
      <c r="AC572" s="65"/>
      <c r="AD572" s="101"/>
      <c r="AE572" s="45"/>
      <c r="AF572" s="102"/>
      <c r="AG572" s="101"/>
      <c r="AH572" s="101"/>
      <c r="AI572" s="102"/>
    </row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I$572"/>
  <mergeCells count="1">
    <mergeCell ref="A1:AI1"/>
  </mergeCells>
  <conditionalFormatting sqref="I3:I572">
    <cfRule type="expression" dxfId="0" priority="1">
      <formula>$I3="Quote Sent"</formula>
    </cfRule>
  </conditionalFormatting>
  <conditionalFormatting sqref="I3:I572">
    <cfRule type="expression" dxfId="1" priority="2">
      <formula>$I3="Confirmed - Awaiting Payment"</formula>
    </cfRule>
  </conditionalFormatting>
  <conditionalFormatting sqref="I3:I572">
    <cfRule type="expression" dxfId="2" priority="3">
      <formula>$I3="Part Paid"</formula>
    </cfRule>
  </conditionalFormatting>
  <conditionalFormatting sqref="I3:I572">
    <cfRule type="expression" dxfId="3" priority="4">
      <formula>$I3="Paid in Full"</formula>
    </cfRule>
  </conditionalFormatting>
  <conditionalFormatting sqref="I3:I572">
    <cfRule type="expression" dxfId="4" priority="5">
      <formula>$I3="Refund Due"</formula>
    </cfRule>
  </conditionalFormatting>
  <conditionalFormatting sqref="I3:I572">
    <cfRule type="expression" dxfId="5" priority="6">
      <formula>$I3="Complete"</formula>
    </cfRule>
  </conditionalFormatting>
  <conditionalFormatting sqref="I3:I572">
    <cfRule type="expression" dxfId="6" priority="7">
      <formula>$I3="Cancelled"</formula>
    </cfRule>
  </conditionalFormatting>
  <conditionalFormatting sqref="A3:H572">
    <cfRule type="expression" dxfId="0" priority="8">
      <formula>$I3="Quote Sent"</formula>
    </cfRule>
  </conditionalFormatting>
  <conditionalFormatting sqref="A3:H572">
    <cfRule type="expression" dxfId="7" priority="9">
      <formula>$I3="Confirmed - Awaiting Payment"</formula>
    </cfRule>
  </conditionalFormatting>
  <conditionalFormatting sqref="A3:H572">
    <cfRule type="expression" dxfId="8" priority="10">
      <formula>$I3="Part Paid"</formula>
    </cfRule>
  </conditionalFormatting>
  <conditionalFormatting sqref="A3:H572">
    <cfRule type="expression" dxfId="9" priority="11">
      <formula>$I3="Paid in Full"</formula>
    </cfRule>
  </conditionalFormatting>
  <conditionalFormatting sqref="A3:H572">
    <cfRule type="expression" dxfId="10" priority="12">
      <formula>$I3="Refund Due"</formula>
    </cfRule>
  </conditionalFormatting>
  <conditionalFormatting sqref="A3:H572">
    <cfRule type="expression" dxfId="11" priority="13">
      <formula>$I3="Complete"</formula>
    </cfRule>
  </conditionalFormatting>
  <conditionalFormatting sqref="A3:H572">
    <cfRule type="expression" dxfId="12" priority="14">
      <formula>$I3="Cancelled"</formula>
    </cfRule>
  </conditionalFormatting>
  <conditionalFormatting sqref="J3:AI572">
    <cfRule type="expression" dxfId="0" priority="15">
      <formula>$I3="Quote Sent"</formula>
    </cfRule>
  </conditionalFormatting>
  <conditionalFormatting sqref="J3:AI572">
    <cfRule type="expression" dxfId="7" priority="16">
      <formula>$I3="Confirmed - Awaiting Payment"</formula>
    </cfRule>
  </conditionalFormatting>
  <conditionalFormatting sqref="J3:AI572">
    <cfRule type="expression" dxfId="8" priority="17">
      <formula>$I3="Part Paid"</formula>
    </cfRule>
  </conditionalFormatting>
  <conditionalFormatting sqref="J3:AI572">
    <cfRule type="expression" dxfId="9" priority="18">
      <formula>$I3="Paid in Full"</formula>
    </cfRule>
  </conditionalFormatting>
  <conditionalFormatting sqref="J3:AI572">
    <cfRule type="expression" dxfId="10" priority="19">
      <formula>$I3="Refund Due"</formula>
    </cfRule>
  </conditionalFormatting>
  <conditionalFormatting sqref="J3:AI572">
    <cfRule type="expression" dxfId="11" priority="20">
      <formula>$I3="Complete"</formula>
    </cfRule>
  </conditionalFormatting>
  <conditionalFormatting sqref="J3:AI572">
    <cfRule type="expression" dxfId="12" priority="21">
      <formula>$I3="Cancelled"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8.0"/>
    <col customWidth="1" min="4" max="4" width="12.0"/>
    <col customWidth="1" min="5" max="5" width="26.0"/>
    <col customWidth="1" min="6" max="6" width="15.0"/>
    <col customWidth="1" min="7" max="7" width="10.0"/>
    <col customWidth="1" min="8" max="8" width="4.0"/>
    <col customWidth="1" min="9" max="9" width="46.0"/>
    <col customWidth="1" min="10" max="10" width="14.0"/>
    <col customWidth="1" min="11" max="26" width="8.71"/>
  </cols>
  <sheetData>
    <row r="1">
      <c r="A1" s="107" t="s">
        <v>287</v>
      </c>
    </row>
    <row r="3">
      <c r="A3" s="108" t="s">
        <v>18</v>
      </c>
      <c r="B3" s="108" t="s">
        <v>19</v>
      </c>
      <c r="C3" s="108" t="s">
        <v>20</v>
      </c>
      <c r="D3" s="108" t="s">
        <v>26</v>
      </c>
      <c r="E3" s="108" t="s">
        <v>209</v>
      </c>
      <c r="F3" s="108" t="s">
        <v>289</v>
      </c>
      <c r="G3" s="108" t="s">
        <v>31</v>
      </c>
      <c r="I3" s="109" t="s">
        <v>290</v>
      </c>
      <c r="J3" s="109" t="s">
        <v>292</v>
      </c>
    </row>
    <row r="4">
      <c r="A4" s="110" t="s">
        <v>167</v>
      </c>
      <c r="B4" s="110" t="s">
        <v>62</v>
      </c>
      <c r="C4" s="110" t="s">
        <v>63</v>
      </c>
      <c r="D4" s="110" t="s">
        <v>73</v>
      </c>
      <c r="E4" s="110" t="s">
        <v>101</v>
      </c>
      <c r="F4" s="110" t="s">
        <v>80</v>
      </c>
      <c r="G4" s="111">
        <v>0.2</v>
      </c>
      <c r="I4" s="104" t="s">
        <v>293</v>
      </c>
      <c r="J4" s="112">
        <v>0.1</v>
      </c>
    </row>
    <row r="5">
      <c r="A5" s="110" t="s">
        <v>61</v>
      </c>
      <c r="B5" s="110" t="s">
        <v>294</v>
      </c>
      <c r="C5" s="110" t="s">
        <v>251</v>
      </c>
      <c r="D5" s="110" t="s">
        <v>83</v>
      </c>
      <c r="E5" s="110" t="s">
        <v>103</v>
      </c>
      <c r="F5" s="110" t="s">
        <v>85</v>
      </c>
      <c r="G5" s="111">
        <v>0.05</v>
      </c>
      <c r="I5" s="104" t="s">
        <v>295</v>
      </c>
      <c r="J5" s="113">
        <v>2.2004348E7</v>
      </c>
    </row>
    <row r="6">
      <c r="A6" s="110" t="s">
        <v>223</v>
      </c>
      <c r="B6" s="110" t="s">
        <v>296</v>
      </c>
      <c r="C6" s="110" t="s">
        <v>278</v>
      </c>
      <c r="E6" s="110" t="s">
        <v>105</v>
      </c>
      <c r="F6" s="110" t="s">
        <v>297</v>
      </c>
      <c r="G6" s="111">
        <v>0.0</v>
      </c>
      <c r="I6" s="104" t="s">
        <v>299</v>
      </c>
      <c r="J6" s="113">
        <v>30.0</v>
      </c>
    </row>
    <row r="7">
      <c r="B7" s="110" t="s">
        <v>300</v>
      </c>
      <c r="C7" s="110" t="s">
        <v>301</v>
      </c>
      <c r="E7" s="110" t="s">
        <v>108</v>
      </c>
      <c r="F7" s="110" t="s">
        <v>302</v>
      </c>
      <c r="I7" s="104" t="s">
        <v>303</v>
      </c>
      <c r="J7" s="113">
        <f>YEAR(TODAY())</f>
        <v>2026</v>
      </c>
    </row>
    <row r="8">
      <c r="E8" s="110" t="s">
        <v>114</v>
      </c>
      <c r="F8" s="110" t="s">
        <v>306</v>
      </c>
      <c r="I8" s="104" t="s">
        <v>307</v>
      </c>
      <c r="J8" s="112">
        <v>0.2</v>
      </c>
    </row>
    <row r="9">
      <c r="E9" s="110" t="s">
        <v>76</v>
      </c>
      <c r="I9" s="104" t="s">
        <v>308</v>
      </c>
      <c r="J9" s="113">
        <v>25.0</v>
      </c>
    </row>
    <row r="10">
      <c r="E10" s="110" t="s">
        <v>119</v>
      </c>
      <c r="I10" s="28" t="s">
        <v>309</v>
      </c>
      <c r="J10" s="114">
        <v>46266.0</v>
      </c>
    </row>
    <row r="11">
      <c r="I11" s="28" t="s">
        <v>310</v>
      </c>
      <c r="J11" s="112">
        <v>0.2</v>
      </c>
    </row>
    <row r="12">
      <c r="I12" s="28" t="s">
        <v>311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51" t="s">
        <v>324</v>
      </c>
    </row>
    <row r="2">
      <c r="A2" s="104"/>
    </row>
    <row r="3">
      <c r="A3" s="115" t="s">
        <v>325</v>
      </c>
    </row>
    <row r="4">
      <c r="A4" s="104"/>
    </row>
    <row r="5">
      <c r="A5" s="116" t="s">
        <v>326</v>
      </c>
    </row>
    <row r="6">
      <c r="A6" s="104" t="s">
        <v>327</v>
      </c>
    </row>
    <row r="7">
      <c r="A7" s="104" t="s">
        <v>329</v>
      </c>
    </row>
    <row r="8">
      <c r="A8" s="104" t="s">
        <v>330</v>
      </c>
    </row>
    <row r="9">
      <c r="A9" s="104" t="s">
        <v>332</v>
      </c>
    </row>
    <row r="10">
      <c r="A10" s="104" t="s">
        <v>333</v>
      </c>
    </row>
    <row r="11">
      <c r="A11" s="104" t="s">
        <v>334</v>
      </c>
    </row>
    <row r="12">
      <c r="A12" s="104"/>
    </row>
    <row r="13">
      <c r="A13" s="116" t="s">
        <v>335</v>
      </c>
    </row>
    <row r="14">
      <c r="A14" s="104" t="s">
        <v>336</v>
      </c>
    </row>
    <row r="15">
      <c r="A15" s="104" t="s">
        <v>337</v>
      </c>
    </row>
    <row r="16">
      <c r="A16" s="104"/>
    </row>
    <row r="17">
      <c r="A17" s="104" t="s">
        <v>338</v>
      </c>
    </row>
    <row r="18">
      <c r="A18" s="104" t="s">
        <v>339</v>
      </c>
    </row>
    <row r="19">
      <c r="A19" s="104" t="s">
        <v>340</v>
      </c>
    </row>
    <row r="20">
      <c r="A20" s="104" t="s">
        <v>341</v>
      </c>
    </row>
    <row r="21" ht="15.75" customHeight="1">
      <c r="A21" s="104"/>
    </row>
    <row r="22" ht="15.75" customHeight="1">
      <c r="A22" s="104" t="s">
        <v>343</v>
      </c>
    </row>
    <row r="23" ht="15.75" customHeight="1">
      <c r="A23" s="104" t="s">
        <v>344</v>
      </c>
    </row>
    <row r="24" ht="15.75" customHeight="1">
      <c r="A24" s="104" t="s">
        <v>345</v>
      </c>
    </row>
    <row r="25" ht="15.75" customHeight="1">
      <c r="A25" s="104" t="s">
        <v>346</v>
      </c>
    </row>
    <row r="26" ht="15.75" customHeight="1">
      <c r="A26" s="104" t="s">
        <v>347</v>
      </c>
    </row>
    <row r="27" ht="15.75" customHeight="1">
      <c r="A27" s="104"/>
    </row>
    <row r="28" ht="15.75" customHeight="1">
      <c r="A28" s="104" t="s">
        <v>348</v>
      </c>
    </row>
    <row r="29" ht="15.75" customHeight="1">
      <c r="A29" s="104" t="s">
        <v>349</v>
      </c>
    </row>
    <row r="30" ht="15.75" customHeight="1">
      <c r="A30" s="104"/>
    </row>
    <row r="31" ht="15.75" customHeight="1">
      <c r="A31" s="116" t="s">
        <v>350</v>
      </c>
    </row>
    <row r="32" ht="15.75" customHeight="1">
      <c r="A32" s="104" t="s">
        <v>351</v>
      </c>
    </row>
    <row r="33" ht="15.75" customHeight="1">
      <c r="A33" s="104" t="s">
        <v>352</v>
      </c>
    </row>
    <row r="34" ht="15.75" customHeight="1">
      <c r="A34" s="104" t="s">
        <v>353</v>
      </c>
    </row>
    <row r="35" ht="15.75" customHeight="1">
      <c r="A35" s="104" t="s">
        <v>355</v>
      </c>
    </row>
    <row r="36" ht="15.75" customHeight="1">
      <c r="A36" s="104"/>
    </row>
    <row r="37" ht="15.75" customHeight="1">
      <c r="A37" s="104" t="s">
        <v>356</v>
      </c>
    </row>
    <row r="38" ht="15.75" customHeight="1">
      <c r="A38" s="104" t="s">
        <v>357</v>
      </c>
    </row>
    <row r="39" ht="15.75" customHeight="1">
      <c r="A39" s="104"/>
    </row>
    <row r="40" ht="15.75" customHeight="1">
      <c r="A40" s="104" t="s">
        <v>365</v>
      </c>
    </row>
    <row r="41" ht="15.75" customHeight="1">
      <c r="A41" s="104" t="s">
        <v>366</v>
      </c>
    </row>
    <row r="42" ht="15.75" customHeight="1">
      <c r="A42" s="104" t="s">
        <v>367</v>
      </c>
    </row>
    <row r="43" ht="15.75" customHeight="1">
      <c r="A43" s="104"/>
    </row>
    <row r="44" ht="15.75" customHeight="1">
      <c r="A44" s="104" t="s">
        <v>368</v>
      </c>
    </row>
    <row r="45" ht="15.75" customHeight="1">
      <c r="A45" s="104" t="s">
        <v>369</v>
      </c>
    </row>
    <row r="46" ht="15.75" customHeight="1">
      <c r="A46" s="104"/>
    </row>
    <row r="47" ht="15.75" customHeight="1">
      <c r="A47" s="116" t="s">
        <v>370</v>
      </c>
    </row>
    <row r="48" ht="15.75" customHeight="1">
      <c r="A48" s="104" t="s">
        <v>371</v>
      </c>
    </row>
    <row r="49" ht="15.75" customHeight="1">
      <c r="A49" s="104" t="s">
        <v>372</v>
      </c>
    </row>
    <row r="50" ht="15.75" customHeight="1">
      <c r="A50" s="104" t="s">
        <v>373</v>
      </c>
    </row>
    <row r="51" ht="15.75" customHeight="1">
      <c r="A51" s="104"/>
    </row>
    <row r="52" ht="15.75" customHeight="1">
      <c r="A52" s="116" t="s">
        <v>374</v>
      </c>
    </row>
    <row r="53" ht="15.75" customHeight="1">
      <c r="A53" s="104" t="s">
        <v>375</v>
      </c>
    </row>
    <row r="54" ht="15.75" customHeight="1">
      <c r="A54" s="104" t="s">
        <v>376</v>
      </c>
    </row>
    <row r="55" ht="15.75" customHeight="1">
      <c r="A55" s="104" t="s">
        <v>377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