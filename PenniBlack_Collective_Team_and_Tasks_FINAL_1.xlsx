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tart Here" sheetId="1" state="visible" r:id="rId1"/>
    <sheet name="Summary" sheetId="2" state="visible" r:id="rId2"/>
    <sheet name="Team" sheetId="3" state="visible" r:id="rId3"/>
    <sheet name="Task List" sheetId="4" state="visible" r:id="rId4"/>
  </sheets>
  <definedNames>
    <definedName name="_xlnm._FilterDatabase" localSheetId="3" hidden="1">'Task List'!$A$4:$K$142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d d mmm yyyy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C62828"/>
      <sz val="10"/>
    </font>
    <font>
      <name val="Arial"/>
      <charset val="1"/>
      <family val="0"/>
      <b val="1"/>
      <color rgb="FFEF6C00"/>
      <sz val="10"/>
    </font>
    <font>
      <name val="Arial"/>
      <charset val="1"/>
      <family val="0"/>
      <b val="1"/>
      <color rgb="FF607D8B"/>
      <sz val="10"/>
    </font>
  </fonts>
  <fills count="14">
    <fill>
      <patternFill/>
    </fill>
    <fill>
      <patternFill patternType="gray125"/>
    </fill>
    <fill>
      <patternFill patternType="solid">
        <fgColor rgb="FF1F1F1F"/>
        <bgColor rgb="FF333300"/>
      </patternFill>
    </fill>
    <fill>
      <patternFill patternType="solid">
        <fgColor rgb="FFEDEDED"/>
        <bgColor rgb="FFECEFF1"/>
      </patternFill>
    </fill>
    <fill>
      <patternFill patternType="solid">
        <fgColor rgb="FFFFF4E5"/>
        <bgColor rgb="FFFFF0F5"/>
      </patternFill>
    </fill>
    <fill>
      <patternFill patternType="solid">
        <fgColor rgb="FFFFE0B2"/>
        <bgColor rgb="FFFDECEA"/>
      </patternFill>
    </fill>
    <fill>
      <patternFill patternType="solid">
        <fgColor rgb="FFE8F5E9"/>
        <bgColor rgb="FFECEFF1"/>
      </patternFill>
    </fill>
    <fill>
      <patternFill patternType="solid">
        <fgColor rgb="FFFFF0F5"/>
        <bgColor rgb="FFFDECEA"/>
      </patternFill>
    </fill>
    <fill>
      <patternFill patternType="solid">
        <fgColor rgb="FFFDECEA"/>
        <bgColor rgb="FFFFF0F5"/>
      </patternFill>
    </fill>
    <fill>
      <patternFill patternType="solid">
        <fgColor rgb="FFE3F2FD"/>
        <bgColor rgb="FFE0F7FA"/>
      </patternFill>
    </fill>
    <fill>
      <patternFill patternType="solid">
        <fgColor rgb="FFF3E5F5"/>
        <bgColor rgb="FFEDEDED"/>
      </patternFill>
    </fill>
    <fill>
      <patternFill patternType="solid">
        <fgColor rgb="FFFFFDE7"/>
        <bgColor rgb="FFFFF4E5"/>
      </patternFill>
    </fill>
    <fill>
      <patternFill patternType="solid">
        <fgColor rgb="FFE0F7FA"/>
        <bgColor rgb="FFE3F2FD"/>
      </patternFill>
    </fill>
    <fill>
      <patternFill patternType="solid">
        <fgColor rgb="FFECEFF1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center" vertical="top" wrapText="1"/>
    </xf>
    <xf numFmtId="0" fontId="11" fillId="3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center" vertical="top" wrapText="1"/>
    </xf>
    <xf numFmtId="0" fontId="12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center" vertical="top" wrapText="1"/>
    </xf>
    <xf numFmtId="0" fontId="11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10" fillId="6" borderId="1" applyAlignment="1" pivotButton="0" quotePrefix="0" xfId="0">
      <alignment horizontal="center" vertical="top" wrapText="1"/>
    </xf>
    <xf numFmtId="0" fontId="11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7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10" fillId="7" borderId="1" applyAlignment="1" pivotButton="0" quotePrefix="0" xfId="0">
      <alignment horizontal="center" vertical="top" wrapText="1"/>
    </xf>
    <xf numFmtId="0" fontId="11" fillId="7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8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center" vertical="top" wrapText="1"/>
    </xf>
    <xf numFmtId="0" fontId="11" fillId="8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10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general" vertical="top" wrapText="1"/>
    </xf>
    <xf numFmtId="0" fontId="7" fillId="10" borderId="1" applyAlignment="1" pivotButton="0" quotePrefix="0" xfId="0">
      <alignment horizontal="general" vertical="top" wrapText="1"/>
    </xf>
    <xf numFmtId="0" fontId="11" fillId="10" borderId="1" applyAlignment="1" pivotButton="0" quotePrefix="0" xfId="0">
      <alignment horizontal="center" vertical="top" wrapText="1"/>
    </xf>
    <xf numFmtId="0" fontId="7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0" fontId="7" fillId="11" borderId="1" applyAlignment="1" pivotButton="0" quotePrefix="0" xfId="0">
      <alignment horizontal="general" vertical="top" wrapText="1"/>
    </xf>
    <xf numFmtId="0" fontId="12" fillId="11" borderId="1" applyAlignment="1" pivotButton="0" quotePrefix="0" xfId="0">
      <alignment horizontal="center" vertical="top" wrapText="1"/>
    </xf>
    <xf numFmtId="0" fontId="7" fillId="12" borderId="1" applyAlignment="1" pivotButton="0" quotePrefix="0" xfId="0">
      <alignment horizontal="center" vertical="top" wrapText="1"/>
    </xf>
    <xf numFmtId="0" fontId="8" fillId="12" borderId="1" applyAlignment="1" pivotButton="0" quotePrefix="0" xfId="0">
      <alignment horizontal="general" vertical="top" wrapText="1"/>
    </xf>
    <xf numFmtId="0" fontId="7" fillId="12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center" vertical="top" wrapText="1"/>
    </xf>
    <xf numFmtId="0" fontId="12" fillId="12" borderId="1" applyAlignment="1" pivotButton="0" quotePrefix="0" xfId="0">
      <alignment horizontal="center" vertical="top" wrapText="1"/>
    </xf>
    <xf numFmtId="0" fontId="7" fillId="13" borderId="1" applyAlignment="1" pivotButton="0" quotePrefix="0" xfId="0">
      <alignment horizontal="center" vertical="top" wrapText="1"/>
    </xf>
    <xf numFmtId="0" fontId="8" fillId="13" borderId="1" applyAlignment="1" pivotButton="0" quotePrefix="0" xfId="0">
      <alignment horizontal="general" vertical="top" wrapText="1"/>
    </xf>
    <xf numFmtId="0" fontId="7" fillId="13" borderId="1" applyAlignment="1" pivotButton="0" quotePrefix="0" xfId="0">
      <alignment horizontal="general" vertical="top" wrapText="1"/>
    </xf>
    <xf numFmtId="0" fontId="12" fillId="13" borderId="1" applyAlignment="1" pivotButton="0" quotePrefix="0" xfId="0">
      <alignment horizontal="center" vertical="top" wrapText="1"/>
    </xf>
    <xf numFmtId="0" fontId="12" fillId="3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3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center" vertical="top" wrapText="1"/>
    </xf>
    <xf numFmtId="165" fontId="7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1" fillId="4" borderId="1" applyAlignment="1" pivotButton="0" quotePrefix="0" xfId="0">
      <alignment horizontal="center" vertical="top" wrapText="1"/>
    </xf>
    <xf numFmtId="165" fontId="7" fillId="4" borderId="1" applyAlignment="1" pivotButton="0" quotePrefix="0" xfId="0">
      <alignment horizontal="general" vertical="top" wrapText="1"/>
    </xf>
    <xf numFmtId="0" fontId="12" fillId="4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center" vertical="top" wrapText="1"/>
    </xf>
    <xf numFmtId="165" fontId="7" fillId="5" borderId="1" applyAlignment="1" pivotButton="0" quotePrefix="0" xfId="0">
      <alignment horizontal="general" vertical="top" wrapText="1"/>
    </xf>
    <xf numFmtId="0" fontId="11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10" fillId="6" borderId="1" applyAlignment="1" pivotButton="0" quotePrefix="0" xfId="0">
      <alignment horizontal="center" vertical="top" wrapText="1"/>
    </xf>
    <xf numFmtId="165" fontId="7" fillId="6" borderId="1" applyAlignment="1" pivotButton="0" quotePrefix="0" xfId="0">
      <alignment horizontal="general" vertical="top" wrapText="1"/>
    </xf>
    <xf numFmtId="0" fontId="11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8" fillId="7" borderId="1" applyAlignment="1" pivotButton="0" quotePrefix="0" xfId="0">
      <alignment horizontal="general" vertical="top" wrapText="1"/>
    </xf>
    <xf numFmtId="0" fontId="7" fillId="7" borderId="1" applyAlignment="1" pivotButton="0" quotePrefix="0" xfId="0">
      <alignment horizontal="general" vertical="top" wrapText="1"/>
    </xf>
    <xf numFmtId="0" fontId="10" fillId="7" borderId="1" applyAlignment="1" pivotButton="0" quotePrefix="0" xfId="0">
      <alignment horizontal="center" vertical="top" wrapText="1"/>
    </xf>
    <xf numFmtId="165" fontId="7" fillId="7" borderId="1" applyAlignment="1" pivotButton="0" quotePrefix="0" xfId="0">
      <alignment horizontal="general" vertical="top" wrapText="1"/>
    </xf>
    <xf numFmtId="0" fontId="11" fillId="7" borderId="1" applyAlignment="1" pivotButton="0" quotePrefix="0" xfId="0">
      <alignment horizontal="center" vertical="top" wrapText="1"/>
    </xf>
    <xf numFmtId="0" fontId="12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8" fillId="8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center" vertical="top" wrapText="1"/>
    </xf>
    <xf numFmtId="165" fontId="7" fillId="8" borderId="1" applyAlignment="1" pivotButton="0" quotePrefix="0" xfId="0">
      <alignment horizontal="general" vertical="top" wrapText="1"/>
    </xf>
    <xf numFmtId="0" fontId="11" fillId="8" borderId="1" applyAlignment="1" pivotButton="0" quotePrefix="0" xfId="0">
      <alignment horizontal="center" vertical="top" wrapText="1"/>
    </xf>
    <xf numFmtId="0" fontId="12" fillId="8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10" fillId="9" borderId="1" applyAlignment="1" pivotButton="0" quotePrefix="0" xfId="0">
      <alignment horizontal="center" vertical="top" wrapText="1"/>
    </xf>
    <xf numFmtId="165" fontId="7" fillId="9" borderId="1" applyAlignment="1" pivotButton="0" quotePrefix="0" xfId="0">
      <alignment horizontal="general" vertical="top" wrapText="1"/>
    </xf>
    <xf numFmtId="0" fontId="11" fillId="9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7" fillId="10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general" vertical="top" wrapText="1"/>
    </xf>
    <xf numFmtId="0" fontId="7" fillId="10" borderId="1" applyAlignment="1" pivotButton="0" quotePrefix="0" xfId="0">
      <alignment horizontal="general" vertical="top" wrapText="1"/>
    </xf>
    <xf numFmtId="0" fontId="11" fillId="10" borderId="1" applyAlignment="1" pivotButton="0" quotePrefix="0" xfId="0">
      <alignment horizontal="center" vertical="top" wrapText="1"/>
    </xf>
    <xf numFmtId="165" fontId="7" fillId="10" borderId="1" applyAlignment="1" pivotButton="0" quotePrefix="0" xfId="0">
      <alignment horizontal="general" vertical="top" wrapText="1"/>
    </xf>
    <xf numFmtId="0" fontId="7" fillId="11" borderId="1" applyAlignment="1" pivotButton="0" quotePrefix="0" xfId="0">
      <alignment horizontal="center" vertical="top" wrapText="1"/>
    </xf>
    <xf numFmtId="0" fontId="8" fillId="11" borderId="1" applyAlignment="1" pivotButton="0" quotePrefix="0" xfId="0">
      <alignment horizontal="general" vertical="top" wrapText="1"/>
    </xf>
    <xf numFmtId="0" fontId="7" fillId="11" borderId="1" applyAlignment="1" pivotButton="0" quotePrefix="0" xfId="0">
      <alignment horizontal="general" vertical="top" wrapText="1"/>
    </xf>
    <xf numFmtId="0" fontId="12" fillId="11" borderId="1" applyAlignment="1" pivotButton="0" quotePrefix="0" xfId="0">
      <alignment horizontal="center" vertical="top" wrapText="1"/>
    </xf>
    <xf numFmtId="165" fontId="7" fillId="11" borderId="1" applyAlignment="1" pivotButton="0" quotePrefix="0" xfId="0">
      <alignment horizontal="general" vertical="top" wrapText="1"/>
    </xf>
    <xf numFmtId="0" fontId="7" fillId="12" borderId="1" applyAlignment="1" pivotButton="0" quotePrefix="0" xfId="0">
      <alignment horizontal="center" vertical="top" wrapText="1"/>
    </xf>
    <xf numFmtId="0" fontId="8" fillId="12" borderId="1" applyAlignment="1" pivotButton="0" quotePrefix="0" xfId="0">
      <alignment horizontal="general" vertical="top" wrapText="1"/>
    </xf>
    <xf numFmtId="0" fontId="7" fillId="12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center" vertical="top" wrapText="1"/>
    </xf>
    <xf numFmtId="165" fontId="7" fillId="12" borderId="1" applyAlignment="1" pivotButton="0" quotePrefix="0" xfId="0">
      <alignment horizontal="general" vertical="top" wrapText="1"/>
    </xf>
    <xf numFmtId="0" fontId="12" fillId="12" borderId="1" applyAlignment="1" pivotButton="0" quotePrefix="0" xfId="0">
      <alignment horizontal="center" vertical="top" wrapText="1"/>
    </xf>
    <xf numFmtId="0" fontId="7" fillId="13" borderId="1" applyAlignment="1" pivotButton="0" quotePrefix="0" xfId="0">
      <alignment horizontal="center" vertical="top" wrapText="1"/>
    </xf>
    <xf numFmtId="0" fontId="8" fillId="13" borderId="1" applyAlignment="1" pivotButton="0" quotePrefix="0" xfId="0">
      <alignment horizontal="general" vertical="top" wrapText="1"/>
    </xf>
    <xf numFmtId="0" fontId="7" fillId="13" borderId="1" applyAlignment="1" pivotButton="0" quotePrefix="0" xfId="0">
      <alignment horizontal="general" vertical="top" wrapText="1"/>
    </xf>
    <xf numFmtId="0" fontId="12" fillId="13" borderId="1" applyAlignment="1" pivotButton="0" quotePrefix="0" xfId="0">
      <alignment horizontal="center" vertical="top" wrapText="1"/>
    </xf>
    <xf numFmtId="165" fontId="7" fillId="1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1F1F"/>
          <bgColor rgb="FF000000"/>
        </patternFill>
      </fill>
    </dxf>
    <dxf>
      <fill>
        <patternFill patternType="solid">
          <fgColor rgb="FFE0F7FA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CEFF1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E0B2"/>
          <bgColor rgb="FF000000"/>
        </patternFill>
      </fill>
    </dxf>
    <dxf>
      <fill>
        <patternFill patternType="solid">
          <fgColor rgb="FFFFF0F5"/>
          <bgColor rgb="FF000000"/>
        </patternFill>
      </fill>
    </dxf>
    <dxf>
      <fill>
        <patternFill patternType="solid">
          <fgColor rgb="FFFFF4E5"/>
          <bgColor rgb="FF000000"/>
        </patternFill>
      </fill>
    </dxf>
    <dxf>
      <fill>
        <patternFill patternType="solid">
          <fgColor rgb="FFFFFDE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07D8B"/>
          <bgColor rgb="FF000000"/>
        </patternFill>
      </fill>
    </dxf>
    <dxf>
      <fill>
        <patternFill patternType="solid">
          <fgColor rgb="FFC62828"/>
          <bgColor rgb="FF000000"/>
        </patternFill>
      </fill>
    </dxf>
    <dxf>
      <fill>
        <patternFill patternType="solid">
          <fgColor rgb="FFEF6C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F5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3E5F5"/>
      <rgbColor rgb="FF607D8B"/>
      <rgbColor rgb="FF9999FF"/>
      <rgbColor rgb="FF993366"/>
      <rgbColor rgb="FFFFFDE7"/>
      <rgbColor rgb="FFE0F7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E8F5E9"/>
      <rgbColor rgb="FFFFF4E5"/>
      <rgbColor rgb="FFEDEDED"/>
      <rgbColor rgb="FFFDECEA"/>
      <rgbColor rgb="FFECEFF1"/>
      <rgbColor rgb="FFFFE0B2"/>
      <rgbColor rgb="FF3366FF"/>
      <rgbColor rgb="FF33CCCC"/>
      <rgbColor rgb="FF99CC00"/>
      <rgbColor rgb="FFFFCC00"/>
      <rgbColor rgb="FFFF9900"/>
      <rgbColor rgb="FFEF6C00"/>
      <rgbColor rgb="FF666666"/>
      <rgbColor rgb="FF969696"/>
      <rgbColor rgb="FF003366"/>
      <rgbColor rgb="FF339966"/>
      <rgbColor rgb="FF003300"/>
      <rgbColor rgb="FF333300"/>
      <rgbColor rgb="FFC62828"/>
      <rgbColor rgb="FF993366"/>
      <rgbColor rgb="FF333399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69" min="1" max="1"/>
    <col width="26" customWidth="1" style="69" min="2" max="2"/>
    <col width="60" customWidth="1" style="69" min="3" max="3"/>
    <col width="14" customWidth="1" style="69" min="4" max="5"/>
    <col width="8" customWidth="1" style="69" min="6" max="6"/>
    <col width="32" customWidth="1" style="69" min="7" max="7"/>
  </cols>
  <sheetData>
    <row r="1" ht="19.7" customHeight="1" s="70">
      <c r="A1" s="71" t="inlineStr">
        <is>
          <t>Start Here – the next two weeks</t>
        </is>
      </c>
    </row>
    <row r="2" ht="15" customHeight="1" s="70">
      <c r="A2" s="72" t="inlineStr">
        <is>
          <t>Just the 'Now' tasks. Everything else waits on the Task List until it's its turn. Snapshot as of 1 Oct 2026.</t>
        </is>
      </c>
    </row>
    <row r="4" ht="15" customHeight="1" s="70">
      <c r="A4" s="73" t="inlineStr">
        <is>
          <t>ID</t>
        </is>
      </c>
      <c r="B4" s="73" t="inlineStr">
        <is>
          <t>Section</t>
        </is>
      </c>
      <c r="C4" s="73" t="inlineStr">
        <is>
          <t>Task</t>
        </is>
      </c>
      <c r="D4" s="73" t="inlineStr">
        <is>
          <t>When</t>
        </is>
      </c>
      <c r="E4" s="73" t="inlineStr">
        <is>
          <t>Owner</t>
        </is>
      </c>
      <c r="F4" s="73" t="inlineStr">
        <is>
          <t>Done?</t>
        </is>
      </c>
      <c r="G4" s="73" t="inlineStr">
        <is>
          <t>Notes</t>
        </is>
      </c>
    </row>
    <row r="5" ht="15" customHeight="1" s="70">
      <c r="A5" s="74" t="n">
        <v>1</v>
      </c>
      <c r="B5" s="75" t="inlineStr">
        <is>
          <t>0. Monday &amp; Claude Setup</t>
        </is>
      </c>
      <c r="C5" s="76" t="inlineStr">
        <is>
          <t>Check Monday trial status and end date</t>
        </is>
      </c>
      <c r="D5" s="76" t="inlineStr">
        <is>
          <t>Fri 2 Oct</t>
        </is>
      </c>
      <c r="E5" s="76">
        <f>INDEX('Task List'!$H$5:$H$142,MATCH($A5,'Task List'!$A$5:$A$142,0))&amp;""</f>
        <v/>
      </c>
      <c r="F5" s="74">
        <f>IF(INDEX('Task List'!$I$5:$I$142,MATCH($A5,'Task List'!$A$5:$A$142,0))="Done","☑","☐")</f>
        <v/>
      </c>
      <c r="G5" s="76" t="inlineStr">
        <is>
          <t>Cat – from the van</t>
        </is>
      </c>
    </row>
    <row r="6" ht="15" customHeight="1" s="70">
      <c r="A6" s="74" t="n">
        <v>2</v>
      </c>
      <c r="B6" s="75" t="inlineStr">
        <is>
          <t>0. Monday &amp; Claude Setup</t>
        </is>
      </c>
      <c r="C6" s="76" t="inlineStr">
        <is>
          <t>Upgrade Monday to Pro, monthly billing</t>
        </is>
      </c>
      <c r="D6" s="76" t="inlineStr">
        <is>
          <t>Fri 2 Oct</t>
        </is>
      </c>
      <c r="E6" s="76">
        <f>INDEX('Task List'!$H$5:$H$142,MATCH($A6,'Task List'!$A$5:$A$142,0))&amp;""</f>
        <v/>
      </c>
      <c r="F6" s="74">
        <f>IF(INDEX('Task List'!$I$5:$I$142,MATCH($A6,'Task List'!$A$5:$A$142,0))="Done","☑","☐")</f>
        <v/>
      </c>
      <c r="G6" s="76" t="inlineStr">
        <is>
          <t>Cat – call Charlotte for card</t>
        </is>
      </c>
    </row>
    <row r="7" ht="15" customHeight="1" s="70">
      <c r="A7" s="74" t="n">
        <v>3</v>
      </c>
      <c r="B7" s="75" t="inlineStr">
        <is>
          <t>0. Monday &amp; Claude Setup</t>
        </is>
      </c>
      <c r="C7" s="76" t="inlineStr">
        <is>
          <t>Invite Yahya to Monday as Member (info@infovis.co.uk)</t>
        </is>
      </c>
      <c r="D7" s="76" t="inlineStr">
        <is>
          <t>Fri 2 Oct</t>
        </is>
      </c>
      <c r="E7" s="76">
        <f>INDEX('Task List'!$H$5:$H$142,MATCH($A7,'Task List'!$A$5:$A$142,0))&amp;""</f>
        <v/>
      </c>
      <c r="F7" s="74">
        <f>IF(INDEX('Task List'!$I$5:$I$142,MATCH($A7,'Task List'!$A$5:$A$142,0))="Done","☑","☐")</f>
        <v/>
      </c>
      <c r="G7" s="76" t="inlineStr">
        <is>
          <t>Cat to email him once done</t>
        </is>
      </c>
    </row>
    <row r="8" ht="15" customHeight="1" s="70">
      <c r="A8" s="74" t="n">
        <v>4</v>
      </c>
      <c r="B8" s="75" t="inlineStr">
        <is>
          <t>0. Monday &amp; Claude Setup</t>
        </is>
      </c>
      <c r="C8" s="76" t="inlineStr">
        <is>
          <t>Make sure Cat is a Monday admin</t>
        </is>
      </c>
      <c r="D8" s="76" t="inlineStr">
        <is>
          <t>Fri 2 Oct</t>
        </is>
      </c>
      <c r="E8" s="76">
        <f>INDEX('Task List'!$H$5:$H$142,MATCH($A8,'Task List'!$A$5:$A$142,0))&amp;""</f>
        <v/>
      </c>
      <c r="F8" s="74">
        <f>IF(INDEX('Task List'!$I$5:$I$142,MATCH($A8,'Task List'!$A$5:$A$142,0))="Done","☑","☐")</f>
        <v/>
      </c>
      <c r="G8" s="76" t="n"/>
    </row>
    <row r="9" ht="23.85" customHeight="1" s="70">
      <c r="A9" s="74" t="n">
        <v>5</v>
      </c>
      <c r="B9" s="75" t="inlineStr">
        <is>
          <t>0. Monday &amp; Claude Setup</t>
        </is>
      </c>
      <c r="C9" s="76" t="inlineStr">
        <is>
          <t>Send Yahya samples: spreadsheet, task list, marketing plan, targets, enquiry tracker extract</t>
        </is>
      </c>
      <c r="D9" s="76" t="inlineStr">
        <is>
          <t>Weekend</t>
        </is>
      </c>
      <c r="E9" s="76">
        <f>INDEX('Task List'!$H$5:$H$142,MATCH($A9,'Task List'!$A$5:$A$142,0))&amp;""</f>
        <v/>
      </c>
      <c r="F9" s="74">
        <f>IF(INDEX('Task List'!$I$5:$I$142,MATCH($A9,'Task List'!$A$5:$A$142,0))="Done","☑","☐")</f>
        <v/>
      </c>
      <c r="G9" s="76" t="inlineStr">
        <is>
          <t>This workbook covers the task list</t>
        </is>
      </c>
    </row>
    <row r="10" ht="15" customHeight="1" s="70">
      <c r="A10" s="74" t="n">
        <v>6</v>
      </c>
      <c r="B10" s="75" t="inlineStr">
        <is>
          <t>0. Monday &amp; Claude Setup</t>
        </is>
      </c>
      <c r="C10" s="76" t="inlineStr">
        <is>
          <t>Setup day with Yahya, Cat and Charlotte</t>
        </is>
      </c>
      <c r="D10" s="76" t="inlineStr">
        <is>
          <t>Mon 5 Oct</t>
        </is>
      </c>
      <c r="E10" s="76">
        <f>INDEX('Task List'!$H$5:$H$142,MATCH($A10,'Task List'!$A$5:$A$142,0))&amp;""</f>
        <v/>
      </c>
      <c r="F10" s="74">
        <f>IF(INDEX('Task List'!$I$5:$I$142,MATCH($A10,'Task List'!$A$5:$A$142,0))="Done","☑","☐")</f>
        <v/>
      </c>
      <c r="G10" s="76" t="n"/>
    </row>
    <row r="11" ht="15" customHeight="1" s="70">
      <c r="A11" s="74" t="n">
        <v>7</v>
      </c>
      <c r="B11" s="75" t="inlineStr">
        <is>
          <t>0. Monday &amp; Claude Setup</t>
        </is>
      </c>
      <c r="C11" s="76" t="inlineStr">
        <is>
          <t>Build marketing board – one group per brand</t>
        </is>
      </c>
      <c r="D11" s="76" t="inlineStr">
        <is>
          <t>Mon 5 Oct</t>
        </is>
      </c>
      <c r="E11" s="76">
        <f>INDEX('Task List'!$H$5:$H$142,MATCH($A11,'Task List'!$A$5:$A$142,0))&amp;""</f>
        <v/>
      </c>
      <c r="F11" s="74">
        <f>IF(INDEX('Task List'!$I$5:$I$142,MATCH($A11,'Task List'!$A$5:$A$142,0))="Done","☑","☐")</f>
        <v/>
      </c>
      <c r="G11" s="76" t="inlineStr">
        <is>
          <t>Yahya</t>
        </is>
      </c>
    </row>
    <row r="12" ht="15" customHeight="1" s="70">
      <c r="A12" s="74" t="n">
        <v>8</v>
      </c>
      <c r="B12" s="75" t="inlineStr">
        <is>
          <t>0. Monday &amp; Claude Setup</t>
        </is>
      </c>
      <c r="C12" s="76" t="inlineStr">
        <is>
          <t>Load this task list into Monday</t>
        </is>
      </c>
      <c r="D12" s="76" t="inlineStr">
        <is>
          <t>Mon 5 Oct</t>
        </is>
      </c>
      <c r="E12" s="76">
        <f>INDEX('Task List'!$H$5:$H$142,MATCH($A12,'Task List'!$A$5:$A$142,0))&amp;""</f>
        <v/>
      </c>
      <c r="F12" s="74">
        <f>IF(INDEX('Task List'!$I$5:$I$142,MATCH($A12,'Task List'!$A$5:$A$142,0))="Done","☑","☐")</f>
        <v/>
      </c>
      <c r="G12" s="76" t="inlineStr">
        <is>
          <t>Yahya</t>
        </is>
      </c>
    </row>
    <row r="13" ht="15" customHeight="1" s="70">
      <c r="A13" s="74" t="n">
        <v>9</v>
      </c>
      <c r="B13" s="75" t="inlineStr">
        <is>
          <t>0. Monday &amp; Claude Setup</t>
        </is>
      </c>
      <c r="C13" s="76" t="inlineStr">
        <is>
          <t>Build goals &amp; targets dashboard for the Tuesday meeting</t>
        </is>
      </c>
      <c r="D13" s="76" t="inlineStr">
        <is>
          <t>Mon 5 Oct</t>
        </is>
      </c>
      <c r="E13" s="76">
        <f>INDEX('Task List'!$H$5:$H$142,MATCH($A13,'Task List'!$A$5:$A$142,0))&amp;""</f>
        <v/>
      </c>
      <c r="F13" s="74">
        <f>IF(INDEX('Task List'!$I$5:$I$142,MATCH($A13,'Task List'!$A$5:$A$142,0))="Done","☑","☐")</f>
        <v/>
      </c>
      <c r="G13" s="76" t="inlineStr">
        <is>
          <t>Yahya</t>
        </is>
      </c>
    </row>
    <row r="14" ht="15" customHeight="1" s="70">
      <c r="A14" s="74" t="n">
        <v>28</v>
      </c>
      <c r="B14" s="75" t="inlineStr">
        <is>
          <t>1. All Brands</t>
        </is>
      </c>
      <c r="C14" s="76" t="inlineStr">
        <is>
          <t>Include BNC in every press release, for every brand</t>
        </is>
      </c>
      <c r="D14" s="76" t="inlineStr">
        <is>
          <t>Ongoing</t>
        </is>
      </c>
      <c r="E14" s="76">
        <f>INDEX('Task List'!$H$5:$H$142,MATCH($A14,'Task List'!$A$5:$A$142,0))&amp;""</f>
        <v/>
      </c>
      <c r="F14" s="74">
        <f>IF(INDEX('Task List'!$I$5:$I$142,MATCH($A14,'Task List'!$A$5:$A$142,0))="Done","☑","☐")</f>
        <v/>
      </c>
      <c r="G14" s="76" t="inlineStr">
        <is>
          <t>Use BNC's marketing systems</t>
        </is>
      </c>
    </row>
    <row r="15" ht="15" customHeight="1" s="70">
      <c r="A15" s="74" t="n">
        <v>30</v>
      </c>
      <c r="B15" s="75" t="inlineStr">
        <is>
          <t>1b. BNC Exhibition (end Oct)</t>
        </is>
      </c>
      <c r="C15" s="76" t="inlineStr">
        <is>
          <t>Confirm exhibition date, venue, stand size and what's included</t>
        </is>
      </c>
      <c r="D15" s="76" t="inlineStr">
        <is>
          <t>Now</t>
        </is>
      </c>
      <c r="E15" s="76">
        <f>INDEX('Task List'!$H$5:$H$142,MATCH($A15,'Task List'!$A$5:$A$142,0))&amp;""</f>
        <v/>
      </c>
      <c r="F15" s="74">
        <f>IF(INDEX('Task List'!$I$5:$I$142,MATCH($A15,'Task List'!$A$5:$A$142,0))="Done","☑","☐")</f>
        <v/>
      </c>
      <c r="G15" s="76" t="inlineStr">
        <is>
          <t>Date TBC – end of October</t>
        </is>
      </c>
    </row>
    <row r="16" ht="23.85" customHeight="1" s="70">
      <c r="A16" s="74" t="n">
        <v>31</v>
      </c>
      <c r="B16" s="75" t="inlineStr">
        <is>
          <t>1b. BNC Exhibition (end Oct)</t>
        </is>
      </c>
      <c r="C16" s="76" t="inlineStr">
        <is>
          <t>Find out what marketing BNC offers exhibitors – newsletters, social, website listings, press</t>
        </is>
      </c>
      <c r="D16" s="76" t="inlineStr">
        <is>
          <t>Now</t>
        </is>
      </c>
      <c r="E16" s="76">
        <f>INDEX('Task List'!$H$5:$H$142,MATCH($A16,'Task List'!$A$5:$A$142,0))&amp;""</f>
        <v/>
      </c>
      <c r="F16" s="74">
        <f>IF(INDEX('Task List'!$I$5:$I$142,MATCH($A16,'Task List'!$A$5:$A$142,0))="Done","☑","☐")</f>
        <v/>
      </c>
      <c r="G16" s="76" t="n"/>
    </row>
    <row r="17" ht="15" customHeight="1" s="70">
      <c r="A17" s="74" t="n">
        <v>32</v>
      </c>
      <c r="B17" s="75" t="inlineStr">
        <is>
          <t>1b. BNC Exhibition (end Oct)</t>
        </is>
      </c>
      <c r="C17" s="76" t="inlineStr">
        <is>
          <t>Get BNC logos, brand guidelines and exhibitor wording</t>
        </is>
      </c>
      <c r="D17" s="76" t="inlineStr">
        <is>
          <t>Oct</t>
        </is>
      </c>
      <c r="E17" s="76">
        <f>INDEX('Task List'!$H$5:$H$142,MATCH($A17,'Task List'!$A$5:$A$142,0))&amp;""</f>
        <v/>
      </c>
      <c r="F17" s="74">
        <f>IF(INDEX('Task List'!$I$5:$I$142,MATCH($A17,'Task List'!$A$5:$A$142,0))="Done","☑","☐")</f>
        <v/>
      </c>
      <c r="G17" s="76" t="n"/>
    </row>
    <row r="18" ht="15" customHeight="1" s="70">
      <c r="A18" s="74" t="n">
        <v>33</v>
      </c>
      <c r="B18" s="75" t="inlineStr">
        <is>
          <t>1b. BNC Exhibition (end Oct)</t>
        </is>
      </c>
      <c r="C18" s="76" t="inlineStr">
        <is>
          <t>Decide which brands we showcase and how – one Collective stand</t>
        </is>
      </c>
      <c r="D18" s="76" t="inlineStr">
        <is>
          <t>Oct</t>
        </is>
      </c>
      <c r="E18" s="76">
        <f>INDEX('Task List'!$H$5:$H$142,MATCH($A18,'Task List'!$A$5:$A$142,0))&amp;""</f>
        <v/>
      </c>
      <c r="F18" s="74">
        <f>IF(INDEX('Task List'!$I$5:$I$142,MATCH($A18,'Task List'!$A$5:$A$142,0))="Done","☑","☐")</f>
        <v/>
      </c>
      <c r="G18" s="76" t="n"/>
    </row>
    <row r="19" ht="23.85" customHeight="1" s="70">
      <c r="A19" s="74" t="n">
        <v>43</v>
      </c>
      <c r="B19" s="75" t="inlineStr">
        <is>
          <t>1c. Venue Sourcing</t>
        </is>
      </c>
      <c r="C19" s="76" t="inlineStr">
        <is>
          <t>Brainstorm our point of difference – every caterer wants the venues, why us? (Cat, Jessica, Lois)</t>
        </is>
      </c>
      <c r="D19" s="76" t="inlineStr">
        <is>
          <t>Now</t>
        </is>
      </c>
      <c r="E19" s="76">
        <f>INDEX('Task List'!$H$5:$H$142,MATCH($A19,'Task List'!$A$5:$A$142,0))&amp;""</f>
        <v/>
      </c>
      <c r="F19" s="74">
        <f>IF(INDEX('Task List'!$I$5:$I$142,MATCH($A19,'Task List'!$A$5:$A$142,0))="Done","☑","☐")</f>
        <v/>
      </c>
      <c r="G19" s="76" t="inlineStr">
        <is>
          <t>Whole Collective as one supplier: food, drink, styling, staffing, wellness, Latino</t>
        </is>
      </c>
    </row>
    <row r="20" ht="15" customHeight="1" s="70">
      <c r="A20" s="74" t="n">
        <v>44</v>
      </c>
      <c r="B20" s="75" t="inlineStr">
        <is>
          <t>1c. Venue Sourcing</t>
        </is>
      </c>
      <c r="C20" s="76" t="inlineStr">
        <is>
          <t>Write the point of difference in one line, plus 3 proof points</t>
        </is>
      </c>
      <c r="D20" s="76" t="inlineStr">
        <is>
          <t>Now</t>
        </is>
      </c>
      <c r="E20" s="76">
        <f>INDEX('Task List'!$H$5:$H$142,MATCH($A20,'Task List'!$A$5:$A$142,0))&amp;""</f>
        <v/>
      </c>
      <c r="F20" s="74">
        <f>IF(INDEX('Task List'!$I$5:$I$142,MATCH($A20,'Task List'!$A$5:$A$142,0))="Done","☑","☐")</f>
        <v/>
      </c>
      <c r="G20" s="76" t="n"/>
    </row>
    <row r="21" ht="15" customHeight="1" s="70">
      <c r="A21" s="74" t="n">
        <v>45</v>
      </c>
      <c r="B21" s="75" t="inlineStr">
        <is>
          <t>1c. Venue Sourcing</t>
        </is>
      </c>
      <c r="C21" s="76" t="inlineStr">
        <is>
          <t>Build the target venue list – type, capacity, current caterer, contact</t>
        </is>
      </c>
      <c r="D21" s="76" t="inlineStr">
        <is>
          <t>Now</t>
        </is>
      </c>
      <c r="E21" s="76">
        <f>INDEX('Task List'!$H$5:$H$142,MATCH($A21,'Task List'!$A$5:$A$142,0))&amp;""</f>
        <v/>
      </c>
      <c r="F21" s="74">
        <f>IF(INDEX('Task List'!$I$5:$I$142,MATCH($A21,'Task List'!$A$5:$A$142,0))="Done","☑","☐")</f>
        <v/>
      </c>
      <c r="G21" s="76" t="n"/>
    </row>
    <row r="22" ht="23.85" customHeight="1" s="70">
      <c r="A22" s="74" t="n">
        <v>48</v>
      </c>
      <c r="B22" s="75" t="inlineStr">
        <is>
          <t>1c. Venue Sourcing</t>
        </is>
      </c>
      <c r="C22" s="76" t="inlineStr">
        <is>
          <t>Christmas packages for venues</t>
        </is>
      </c>
      <c r="D22" s="76" t="inlineStr">
        <is>
          <t>Now</t>
        </is>
      </c>
      <c r="E22" s="76">
        <f>INDEX('Task List'!$H$5:$H$142,MATCH($A22,'Task List'!$A$5:$A$142,0))&amp;""</f>
        <v/>
      </c>
      <c r="F22" s="74">
        <f>IF(INDEX('Task List'!$I$5:$I$142,MATCH($A22,'Task List'!$A$5:$A$142,0))="Done","☑","☐")</f>
        <v/>
      </c>
      <c r="G22" s="76" t="inlineStr">
        <is>
          <t>Link with PenniBlack Christmas packages</t>
        </is>
      </c>
    </row>
    <row r="23" ht="23.85" customHeight="1" s="70">
      <c r="A23" s="74" t="n">
        <v>55</v>
      </c>
      <c r="B23" s="75" t="inlineStr">
        <is>
          <t>1c. Venue Sourcing</t>
        </is>
      </c>
      <c r="C23" s="76" t="inlineStr">
        <is>
          <t>Venue pipeline board in Monday – contacted, meeting, trial, on supplier list</t>
        </is>
      </c>
      <c r="D23" s="76" t="inlineStr">
        <is>
          <t>Mon 5 Oct</t>
        </is>
      </c>
      <c r="E23" s="76">
        <f>INDEX('Task List'!$H$5:$H$142,MATCH($A23,'Task List'!$A$5:$A$142,0))&amp;""</f>
        <v/>
      </c>
      <c r="F23" s="74">
        <f>IF(INDEX('Task List'!$I$5:$I$142,MATCH($A23,'Task List'!$A$5:$A$142,0))="Done","☑","☐")</f>
        <v/>
      </c>
      <c r="G23" s="76" t="inlineStr">
        <is>
          <t>Ask Yahya</t>
        </is>
      </c>
    </row>
    <row r="24" ht="23.85" customHeight="1" s="70">
      <c r="A24" s="74" t="n">
        <v>57</v>
      </c>
      <c r="B24" s="75" t="inlineStr">
        <is>
          <t>2. PenniBlack Catering &amp; Events</t>
        </is>
      </c>
      <c r="C24" s="76" t="inlineStr">
        <is>
          <t>Christmas campaign to existing followers – social posts</t>
        </is>
      </c>
      <c r="D24" s="76" t="inlineStr">
        <is>
          <t>Oct–Dec</t>
        </is>
      </c>
      <c r="E24" s="76">
        <f>INDEX('Task List'!$H$5:$H$142,MATCH($A24,'Task List'!$A$5:$A$142,0))&amp;""</f>
        <v/>
      </c>
      <c r="F24" s="74">
        <f>IF(INDEX('Task List'!$I$5:$I$142,MATCH($A24,'Task List'!$A$5:$A$142,0))="Done","☑","☐")</f>
        <v/>
      </c>
      <c r="G24" s="76" t="inlineStr">
        <is>
          <t>Big follower base – use it</t>
        </is>
      </c>
    </row>
    <row r="25" ht="23.85" customHeight="1" s="70">
      <c r="A25" s="74" t="n">
        <v>59</v>
      </c>
      <c r="B25" s="75" t="inlineStr">
        <is>
          <t>2. PenniBlack Catering &amp; Events</t>
        </is>
      </c>
      <c r="C25" s="76" t="inlineStr">
        <is>
          <t>Christmas packages with 'from £' prices</t>
        </is>
      </c>
      <c r="D25" s="76" t="inlineStr">
        <is>
          <t>Oct</t>
        </is>
      </c>
      <c r="E25" s="76">
        <f>INDEX('Task List'!$H$5:$H$142,MATCH($A25,'Task List'!$A$5:$A$142,0))&amp;""</f>
        <v/>
      </c>
      <c r="F25" s="74">
        <f>IF(INDEX('Task List'!$I$5:$I$142,MATCH($A25,'Task List'!$A$5:$A$142,0))="Done","☑","☐")</f>
        <v/>
      </c>
      <c r="G25" s="76" t="n"/>
    </row>
    <row r="26" ht="23.85" customHeight="1" s="70">
      <c r="A26" s="74" t="n">
        <v>68</v>
      </c>
      <c r="B26" s="75" t="inlineStr">
        <is>
          <t>3. Free Spirit Wellness</t>
        </is>
      </c>
      <c r="C26" s="76" t="inlineStr">
        <is>
          <t>Chase Momoko (Menier Venues) to confirm the date – push hard, nothing can be booked until it's set</t>
        </is>
      </c>
      <c r="D26" s="76" t="inlineStr">
        <is>
          <t>Now</t>
        </is>
      </c>
      <c r="E26" s="76">
        <f>INDEX('Task List'!$H$5:$H$142,MATCH($A26,'Task List'!$A$5:$A$142,0))&amp;""</f>
        <v/>
      </c>
      <c r="F26" s="74">
        <f>IF(INDEX('Task List'!$I$5:$I$142,MATCH($A26,'Task List'!$A$5:$A$142,0))="Done","☑","☐")</f>
        <v/>
      </c>
      <c r="G26" s="76" t="inlineStr">
        <is>
          <t>Hoping for Wed 21 Oct</t>
        </is>
      </c>
    </row>
    <row r="27" ht="23.85" customHeight="1" s="70">
      <c r="A27" s="74" t="n">
        <v>69</v>
      </c>
      <c r="B27" s="75" t="inlineStr">
        <is>
          <t>3. Free Spirit Wellness</t>
        </is>
      </c>
      <c r="C27" s="76" t="inlineStr">
        <is>
          <t>Confirm which Menier team members are coming and agree the run of show</t>
        </is>
      </c>
      <c r="D27" s="76" t="inlineStr">
        <is>
          <t>Once date set</t>
        </is>
      </c>
      <c r="E27" s="76">
        <f>INDEX('Task List'!$H$5:$H$142,MATCH($A27,'Task List'!$A$5:$A$142,0))&amp;""</f>
        <v/>
      </c>
      <c r="F27" s="74">
        <f>IF(INDEX('Task List'!$I$5:$I$142,MATCH($A27,'Task List'!$A$5:$A$142,0))="Done","☑","☐")</f>
        <v/>
      </c>
      <c r="G27" s="76" t="inlineStr">
        <is>
          <t>Purpose: the Menier team try it and review it</t>
        </is>
      </c>
    </row>
    <row r="28" ht="15" customHeight="1" s="70">
      <c r="A28" s="74" t="n">
        <v>70</v>
      </c>
      <c r="B28" s="75" t="inlineStr">
        <is>
          <t>3. Free Spirit Wellness</t>
        </is>
      </c>
      <c r="C28" s="76" t="inlineStr">
        <is>
          <t>Book workshop hosts – Ayurvedic scrubs, yoga, self-defence</t>
        </is>
      </c>
      <c r="D28" s="76" t="inlineStr">
        <is>
          <t>Once date set</t>
        </is>
      </c>
      <c r="E28" s="76">
        <f>INDEX('Task List'!$H$5:$H$142,MATCH($A28,'Task List'!$A$5:$A$142,0))&amp;""</f>
        <v/>
      </c>
      <c r="F28" s="74">
        <f>IF(INDEX('Task List'!$I$5:$I$142,MATCH($A28,'Task List'!$A$5:$A$142,0))="Done","☑","☐")</f>
        <v/>
      </c>
      <c r="G28" s="76" t="inlineStr">
        <is>
          <t>Waiting on date</t>
        </is>
      </c>
    </row>
    <row r="29" ht="23.85" customHeight="1" s="70">
      <c r="A29" s="74" t="n">
        <v>80</v>
      </c>
      <c r="B29" s="75" t="inlineStr">
        <is>
          <t>4. Pichi</t>
        </is>
      </c>
      <c r="C29" s="76" t="inlineStr">
        <is>
          <t>Send Momoko (Menier Venues) the full attendee list from the Pichi launch</t>
        </is>
      </c>
      <c r="D29" s="76" t="inlineStr">
        <is>
          <t>Mon 5 Oct</t>
        </is>
      </c>
      <c r="E29" s="76">
        <f>INDEX('Task List'!$H$5:$H$142,MATCH($A29,'Task List'!$A$5:$A$142,0))&amp;""</f>
        <v/>
      </c>
      <c r="F29" s="74">
        <f>IF(INDEX('Task List'!$I$5:$I$142,MATCH($A29,'Task List'!$A$5:$A$142,0))="Done","☑","☐")</f>
        <v/>
      </c>
      <c r="G29" s="76" t="inlineStr">
        <is>
          <t>Promised in Charlotte's email of 1 Oct – Cat</t>
        </is>
      </c>
    </row>
    <row r="30" ht="15" customHeight="1" s="70">
      <c r="A30" s="74" t="n">
        <v>128</v>
      </c>
      <c r="B30" s="75" t="inlineStr">
        <is>
          <t>9. Systems &amp; Admin</t>
        </is>
      </c>
      <c r="C30" s="76" t="inlineStr">
        <is>
          <t>Team availability calendar in Monday – who's free to work when</t>
        </is>
      </c>
      <c r="D30" s="76" t="inlineStr">
        <is>
          <t>Oct</t>
        </is>
      </c>
      <c r="E30" s="76">
        <f>INDEX('Task List'!$H$5:$H$142,MATCH($A30,'Task List'!$A$5:$A$142,0))&amp;""</f>
        <v/>
      </c>
      <c r="F30" s="74">
        <f>IF(INDEX('Task List'!$I$5:$I$142,MATCH($A30,'Task List'!$A$5:$A$142,0))="Done","☑","☐")</f>
        <v/>
      </c>
      <c r="G30" s="76" t="inlineStr">
        <is>
          <t>Quick win – ask Yahya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9" min="1" max="1"/>
    <col width="12" customWidth="1" style="69" min="2" max="6"/>
  </cols>
  <sheetData>
    <row r="1" ht="19.7" customHeight="1" s="70">
      <c r="A1" s="71" t="inlineStr">
        <is>
          <t>PenniBlack Collective – Task Summary</t>
        </is>
      </c>
    </row>
    <row r="2" ht="15" customHeight="1" s="70">
      <c r="A2" s="72" t="inlineStr">
        <is>
          <t>Counts update automatically from the Task List tab.</t>
        </is>
      </c>
    </row>
    <row r="4" ht="15" customHeight="1" s="70">
      <c r="A4" s="73" t="inlineStr">
        <is>
          <t>Section</t>
        </is>
      </c>
      <c r="B4" s="73" t="inlineStr">
        <is>
          <t>Now</t>
        </is>
      </c>
      <c r="C4" s="73" t="inlineStr">
        <is>
          <t>Next</t>
        </is>
      </c>
      <c r="D4" s="73" t="inlineStr">
        <is>
          <t>Later</t>
        </is>
      </c>
      <c r="E4" s="73" t="inlineStr">
        <is>
          <t>Total</t>
        </is>
      </c>
      <c r="F4" s="73" t="inlineStr">
        <is>
          <t>Done</t>
        </is>
      </c>
    </row>
    <row r="5" ht="15" customHeight="1" s="70">
      <c r="A5" s="77" t="inlineStr">
        <is>
          <t>0. Monday &amp; Claude Setup</t>
        </is>
      </c>
      <c r="B5" s="78">
        <f>COUNTIFS('Task List'!$B$5:$B$142,$A5,'Task List'!$F$5:$F$142,"Now")</f>
        <v/>
      </c>
      <c r="C5" s="78">
        <f>COUNTIFS('Task List'!$B$5:$B$142,$A5,'Task List'!$F$5:$F$142,"Next")</f>
        <v/>
      </c>
      <c r="D5" s="78">
        <f>COUNTIFS('Task List'!$B$5:$B$142,$A5,'Task List'!$F$5:$F$142,"Later")</f>
        <v/>
      </c>
      <c r="E5" s="78">
        <f>SUM(B5:D5)</f>
        <v/>
      </c>
      <c r="F5" s="78">
        <f>COUNTIFS('Task List'!$B$5:$B$142,$A5,'Task List'!$I$5:$I$142,"Done")</f>
        <v/>
      </c>
    </row>
    <row r="6" ht="15" customHeight="1" s="70">
      <c r="A6" s="77" t="inlineStr">
        <is>
          <t>1. All Brands</t>
        </is>
      </c>
      <c r="B6" s="78">
        <f>COUNTIFS('Task List'!$B$5:$B$142,$A6,'Task List'!$F$5:$F$142,"Now")</f>
        <v/>
      </c>
      <c r="C6" s="78">
        <f>COUNTIFS('Task List'!$B$5:$B$142,$A6,'Task List'!$F$5:$F$142,"Next")</f>
        <v/>
      </c>
      <c r="D6" s="78">
        <f>COUNTIFS('Task List'!$B$5:$B$142,$A6,'Task List'!$F$5:$F$142,"Later")</f>
        <v/>
      </c>
      <c r="E6" s="78">
        <f>SUM(B6:D6)</f>
        <v/>
      </c>
      <c r="F6" s="78">
        <f>COUNTIFS('Task List'!$B$5:$B$142,$A6,'Task List'!$I$5:$I$142,"Done")</f>
        <v/>
      </c>
    </row>
    <row r="7" ht="15" customHeight="1" s="70">
      <c r="A7" s="77" t="inlineStr">
        <is>
          <t>1b. BNC Exhibition (end Oct)</t>
        </is>
      </c>
      <c r="B7" s="78">
        <f>COUNTIFS('Task List'!$B$5:$B$142,$A7,'Task List'!$F$5:$F$142,"Now")</f>
        <v/>
      </c>
      <c r="C7" s="78">
        <f>COUNTIFS('Task List'!$B$5:$B$142,$A7,'Task List'!$F$5:$F$142,"Next")</f>
        <v/>
      </c>
      <c r="D7" s="78">
        <f>COUNTIFS('Task List'!$B$5:$B$142,$A7,'Task List'!$F$5:$F$142,"Later")</f>
        <v/>
      </c>
      <c r="E7" s="78">
        <f>SUM(B7:D7)</f>
        <v/>
      </c>
      <c r="F7" s="78">
        <f>COUNTIFS('Task List'!$B$5:$B$142,$A7,'Task List'!$I$5:$I$142,"Done")</f>
        <v/>
      </c>
    </row>
    <row r="8" ht="15" customHeight="1" s="70">
      <c r="A8" s="77" t="inlineStr">
        <is>
          <t>1c. Venue Sourcing</t>
        </is>
      </c>
      <c r="B8" s="78">
        <f>COUNTIFS('Task List'!$B$5:$B$142,$A8,'Task List'!$F$5:$F$142,"Now")</f>
        <v/>
      </c>
      <c r="C8" s="78">
        <f>COUNTIFS('Task List'!$B$5:$B$142,$A8,'Task List'!$F$5:$F$142,"Next")</f>
        <v/>
      </c>
      <c r="D8" s="78">
        <f>COUNTIFS('Task List'!$B$5:$B$142,$A8,'Task List'!$F$5:$F$142,"Later")</f>
        <v/>
      </c>
      <c r="E8" s="78">
        <f>SUM(B8:D8)</f>
        <v/>
      </c>
      <c r="F8" s="78">
        <f>COUNTIFS('Task List'!$B$5:$B$142,$A8,'Task List'!$I$5:$I$142,"Done")</f>
        <v/>
      </c>
    </row>
    <row r="9" ht="15" customHeight="1" s="70">
      <c r="A9" s="77" t="inlineStr">
        <is>
          <t>2. PenniBlack Catering &amp; Events</t>
        </is>
      </c>
      <c r="B9" s="78">
        <f>COUNTIFS('Task List'!$B$5:$B$142,$A9,'Task List'!$F$5:$F$142,"Now")</f>
        <v/>
      </c>
      <c r="C9" s="78">
        <f>COUNTIFS('Task List'!$B$5:$B$142,$A9,'Task List'!$F$5:$F$142,"Next")</f>
        <v/>
      </c>
      <c r="D9" s="78">
        <f>COUNTIFS('Task List'!$B$5:$B$142,$A9,'Task List'!$F$5:$F$142,"Later")</f>
        <v/>
      </c>
      <c r="E9" s="78">
        <f>SUM(B9:D9)</f>
        <v/>
      </c>
      <c r="F9" s="78">
        <f>COUNTIFS('Task List'!$B$5:$B$142,$A9,'Task List'!$I$5:$I$142,"Done")</f>
        <v/>
      </c>
    </row>
    <row r="10" ht="15" customHeight="1" s="70">
      <c r="A10" s="77" t="inlineStr">
        <is>
          <t>3. Free Spirit Wellness</t>
        </is>
      </c>
      <c r="B10" s="78">
        <f>COUNTIFS('Task List'!$B$5:$B$142,$A10,'Task List'!$F$5:$F$142,"Now")</f>
        <v/>
      </c>
      <c r="C10" s="78">
        <f>COUNTIFS('Task List'!$B$5:$B$142,$A10,'Task List'!$F$5:$F$142,"Next")</f>
        <v/>
      </c>
      <c r="D10" s="78">
        <f>COUNTIFS('Task List'!$B$5:$B$142,$A10,'Task List'!$F$5:$F$142,"Later")</f>
        <v/>
      </c>
      <c r="E10" s="78">
        <f>SUM(B10:D10)</f>
        <v/>
      </c>
      <c r="F10" s="78">
        <f>COUNTIFS('Task List'!$B$5:$B$142,$A10,'Task List'!$I$5:$I$142,"Done")</f>
        <v/>
      </c>
    </row>
    <row r="11" ht="15" customHeight="1" s="70">
      <c r="A11" s="77" t="inlineStr">
        <is>
          <t>4. Pichi</t>
        </is>
      </c>
      <c r="B11" s="78">
        <f>COUNTIFS('Task List'!$B$5:$B$142,$A11,'Task List'!$F$5:$F$142,"Now")</f>
        <v/>
      </c>
      <c r="C11" s="78">
        <f>COUNTIFS('Task List'!$B$5:$B$142,$A11,'Task List'!$F$5:$F$142,"Next")</f>
        <v/>
      </c>
      <c r="D11" s="78">
        <f>COUNTIFS('Task List'!$B$5:$B$142,$A11,'Task List'!$F$5:$F$142,"Later")</f>
        <v/>
      </c>
      <c r="E11" s="78">
        <f>SUM(B11:D11)</f>
        <v/>
      </c>
      <c r="F11" s="78">
        <f>COUNTIFS('Task List'!$B$5:$B$142,$A11,'Task List'!$I$5:$I$142,"Done")</f>
        <v/>
      </c>
    </row>
    <row r="12" ht="15" customHeight="1" s="70">
      <c r="A12" s="77" t="inlineStr">
        <is>
          <t>5. Raquel's Staffing &amp; Bar</t>
        </is>
      </c>
      <c r="B12" s="78">
        <f>COUNTIFS('Task List'!$B$5:$B$142,$A12,'Task List'!$F$5:$F$142,"Now")</f>
        <v/>
      </c>
      <c r="C12" s="78">
        <f>COUNTIFS('Task List'!$B$5:$B$142,$A12,'Task List'!$F$5:$F$142,"Next")</f>
        <v/>
      </c>
      <c r="D12" s="78">
        <f>COUNTIFS('Task List'!$B$5:$B$142,$A12,'Task List'!$F$5:$F$142,"Later")</f>
        <v/>
      </c>
      <c r="E12" s="78">
        <f>SUM(B12:D12)</f>
        <v/>
      </c>
      <c r="F12" s="78">
        <f>COUNTIFS('Task List'!$B$5:$B$142,$A12,'Task List'!$I$5:$I$142,"Done")</f>
        <v/>
      </c>
    </row>
    <row r="13" ht="15" customHeight="1" s="70">
      <c r="A13" s="77" t="inlineStr">
        <is>
          <t>6. VENN Productions</t>
        </is>
      </c>
      <c r="B13" s="78">
        <f>COUNTIFS('Task List'!$B$5:$B$142,$A13,'Task List'!$F$5:$F$142,"Now")</f>
        <v/>
      </c>
      <c r="C13" s="78">
        <f>COUNTIFS('Task List'!$B$5:$B$142,$A13,'Task List'!$F$5:$F$142,"Next")</f>
        <v/>
      </c>
      <c r="D13" s="78">
        <f>COUNTIFS('Task List'!$B$5:$B$142,$A13,'Task List'!$F$5:$F$142,"Later")</f>
        <v/>
      </c>
      <c r="E13" s="78">
        <f>SUM(B13:D13)</f>
        <v/>
      </c>
      <c r="F13" s="78">
        <f>COUNTIFS('Task List'!$B$5:$B$142,$A13,'Task List'!$I$5:$I$142,"Done")</f>
        <v/>
      </c>
    </row>
    <row r="14" ht="15" customHeight="1" s="70">
      <c r="A14" s="77" t="inlineStr">
        <is>
          <t>7. Be-Zing (Kids + Youth)</t>
        </is>
      </c>
      <c r="B14" s="78">
        <f>COUNTIFS('Task List'!$B$5:$B$142,$A14,'Task List'!$F$5:$F$142,"Now")</f>
        <v/>
      </c>
      <c r="C14" s="78">
        <f>COUNTIFS('Task List'!$B$5:$B$142,$A14,'Task List'!$F$5:$F$142,"Next")</f>
        <v/>
      </c>
      <c r="D14" s="78">
        <f>COUNTIFS('Task List'!$B$5:$B$142,$A14,'Task List'!$F$5:$F$142,"Later")</f>
        <v/>
      </c>
      <c r="E14" s="78">
        <f>SUM(B14:D14)</f>
        <v/>
      </c>
      <c r="F14" s="78">
        <f>COUNTIFS('Task List'!$B$5:$B$142,$A14,'Task List'!$I$5:$I$142,"Done")</f>
        <v/>
      </c>
    </row>
    <row r="15" ht="15" customHeight="1" s="70">
      <c r="A15" s="77" t="inlineStr">
        <is>
          <t>8. The Edit (PBC Edit)</t>
        </is>
      </c>
      <c r="B15" s="78">
        <f>COUNTIFS('Task List'!$B$5:$B$142,$A15,'Task List'!$F$5:$F$142,"Now")</f>
        <v/>
      </c>
      <c r="C15" s="78">
        <f>COUNTIFS('Task List'!$B$5:$B$142,$A15,'Task List'!$F$5:$F$142,"Next")</f>
        <v/>
      </c>
      <c r="D15" s="78">
        <f>COUNTIFS('Task List'!$B$5:$B$142,$A15,'Task List'!$F$5:$F$142,"Later")</f>
        <v/>
      </c>
      <c r="E15" s="78">
        <f>SUM(B15:D15)</f>
        <v/>
      </c>
      <c r="F15" s="78">
        <f>COUNTIFS('Task List'!$B$5:$B$142,$A15,'Task List'!$I$5:$I$142,"Done")</f>
        <v/>
      </c>
    </row>
    <row r="16" ht="15" customHeight="1" s="70">
      <c r="A16" s="77" t="inlineStr">
        <is>
          <t>9. Systems &amp; Admin</t>
        </is>
      </c>
      <c r="B16" s="78">
        <f>COUNTIFS('Task List'!$B$5:$B$142,$A16,'Task List'!$F$5:$F$142,"Now")</f>
        <v/>
      </c>
      <c r="C16" s="78">
        <f>COUNTIFS('Task List'!$B$5:$B$142,$A16,'Task List'!$F$5:$F$142,"Next")</f>
        <v/>
      </c>
      <c r="D16" s="78">
        <f>COUNTIFS('Task List'!$B$5:$B$142,$A16,'Task List'!$F$5:$F$142,"Later")</f>
        <v/>
      </c>
      <c r="E16" s="78">
        <f>SUM(B16:D16)</f>
        <v/>
      </c>
      <c r="F16" s="78">
        <f>COUNTIFS('Task List'!$B$5:$B$142,$A16,'Task List'!$I$5:$I$142,"Done")</f>
        <v/>
      </c>
    </row>
    <row r="17" ht="15" customHeight="1" s="70">
      <c r="A17" s="77" t="inlineStr">
        <is>
          <t>Total</t>
        </is>
      </c>
      <c r="B17" s="79">
        <f>SUM(B5:B16)</f>
        <v/>
      </c>
      <c r="C17" s="79">
        <f>SUM(C5:C16)</f>
        <v/>
      </c>
      <c r="D17" s="79">
        <f>SUM(D5:D16)</f>
        <v/>
      </c>
      <c r="E17" s="79">
        <f>SUM(E5:E16)</f>
        <v/>
      </c>
      <c r="F17" s="79">
        <f>SUM(F5:F16)</f>
        <v/>
      </c>
    </row>
    <row r="19" ht="15" customHeight="1" s="70">
      <c r="A19" s="80" t="inlineStr">
        <is>
          <t>How to use</t>
        </is>
      </c>
    </row>
    <row r="20" ht="15" customHeight="1" s="70">
      <c r="A20" s="81" t="inlineStr">
        <is>
          <t>• Start Here: the next two weeks only. Cat works from this, not the full list.</t>
        </is>
      </c>
    </row>
    <row r="21" ht="15" customHeight="1" s="70">
      <c r="A21" s="81" t="inlineStr">
        <is>
          <t>• Task List: everything, grouped by brand. Filter by Stage = Now to see what's live. Owner, Stage and Status have dropdowns.</t>
        </is>
      </c>
    </row>
    <row r="22" ht="15" customHeight="1" s="70">
      <c r="A22" s="81" t="inlineStr">
        <is>
          <t>• Every Tuesday: Cat ticks off what's done, then moves the next 3–5 tasks per person from Next to Now.</t>
        </is>
      </c>
    </row>
    <row r="23" ht="15" customHeight="1" s="70">
      <c r="A23" s="81" t="inlineStr">
        <is>
          <t>• Once in Monday, each person uses 'My Work' to see only their own tasks.</t>
        </is>
      </c>
    </row>
    <row r="24" ht="15" customHeight="1" s="70">
      <c r="A24" s="81" t="inlineStr">
        <is>
          <t>• Built so Yahya can import it straight into Monday: Section = group, Task = item, other columns = Monday columns.</t>
        </is>
      </c>
    </row>
    <row r="25" ht="15" customHeight="1" s="70">
      <c r="A25" s="81" t="inlineStr">
        <is>
          <t>• Key dates: Free Spirit at the Menier Penthouse – hoping for Wed 21 Oct (awaiting Momoko). BNC exhibition – end of October (date TBC).</t>
        </is>
      </c>
    </row>
    <row r="26" ht="15" customHeight="1" s="70">
      <c r="A26" s="81" t="inlineStr">
        <is>
          <t>• Still to check: Be-Zing Kids award ceremony details.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69" min="1" max="1"/>
    <col width="28" customWidth="1" style="69" min="2" max="2"/>
    <col width="32" customWidth="1" style="69" min="3" max="3"/>
    <col width="55" customWidth="1" style="69" min="4" max="4"/>
    <col width="28" customWidth="1" style="69" min="5" max="5"/>
    <col width="14" customWidth="1" style="69" min="6" max="6"/>
    <col width="16" customWidth="1" style="69" min="7" max="8"/>
  </cols>
  <sheetData>
    <row r="1" ht="19.7" customHeight="1" s="70">
      <c r="A1" s="71" t="inlineStr">
        <is>
          <t>PenniBlack Collective – Team &amp; Roles</t>
        </is>
      </c>
    </row>
    <row r="2" ht="15" customHeight="1" s="70">
      <c r="A2" s="72" t="inlineStr">
        <is>
          <t>Rough seats, not fixed roles. October 2026.</t>
        </is>
      </c>
    </row>
    <row r="4" ht="15" customHeight="1" s="70">
      <c r="A4" s="73" t="inlineStr">
        <is>
          <t>Name</t>
        </is>
      </c>
      <c r="B4" s="73" t="inlineStr">
        <is>
          <t>Seat</t>
        </is>
      </c>
      <c r="C4" s="73" t="inlineStr">
        <is>
          <t>Strengths</t>
        </is>
      </c>
      <c r="D4" s="73" t="inlineStr">
        <is>
          <t>Typical work</t>
        </is>
      </c>
      <c r="E4" s="73" t="inlineStr">
        <is>
          <t>Works closely with</t>
        </is>
      </c>
      <c r="F4" s="73" t="inlineStr">
        <is>
          <t>Starts</t>
        </is>
      </c>
      <c r="G4" s="73" t="inlineStr">
        <is>
          <t>Monday</t>
        </is>
      </c>
      <c r="H4" s="73" t="inlineStr">
        <is>
          <t>Claude</t>
        </is>
      </c>
    </row>
    <row r="5" ht="15" customHeight="1" s="70">
      <c r="A5" s="75" t="inlineStr">
        <is>
          <t>Charlotte</t>
        </is>
      </c>
      <c r="B5" s="76" t="inlineStr">
        <is>
          <t>Founder</t>
        </is>
      </c>
      <c r="C5" s="76" t="inlineStr">
        <is>
          <t>Vision, concepts, all brands</t>
        </is>
      </c>
      <c r="D5" s="76" t="inlineStr">
        <is>
          <t>Own tasks in Monday – but doesn't run the system. Leads Be-Zing.</t>
        </is>
      </c>
      <c r="E5" s="76" t="inlineStr">
        <is>
          <t>Cat, Yahya</t>
        </is>
      </c>
      <c r="F5" s="76" t="inlineStr">
        <is>
          <t>Now</t>
        </is>
      </c>
      <c r="G5" s="76" t="inlineStr">
        <is>
          <t>Yes</t>
        </is>
      </c>
      <c r="H5" s="76" t="inlineStr">
        <is>
          <t>Premium</t>
        </is>
      </c>
    </row>
    <row r="6" ht="35.05" customHeight="1" s="70">
      <c r="A6" s="75" t="inlineStr">
        <is>
          <t>Cat (Catrin Dimond)</t>
        </is>
      </c>
      <c r="B6" s="76" t="inlineStr">
        <is>
          <t>Chief of Marketing – runs Monday</t>
        </is>
      </c>
      <c r="C6" s="76" t="inlineStr">
        <is>
          <t>Social media, photography, video, design, concepts &amp; styling</t>
        </is>
      </c>
      <c r="D6" s="76" t="inlineStr">
        <is>
          <t>Sets and manages everyone's tasks. Runs Tuesday meeting. Creates concepts (often off-site) and helps assemble them. Attends events, does case studies.</t>
        </is>
      </c>
      <c r="E6" s="76" t="inlineStr">
        <is>
          <t>Lois (content &amp; web), Jessica (concepts &amp; sales)</t>
        </is>
      </c>
      <c r="F6" s="76" t="inlineStr">
        <is>
          <t>Now</t>
        </is>
      </c>
      <c r="G6" s="76" t="inlineStr">
        <is>
          <t>Yes – Admin</t>
        </is>
      </c>
      <c r="H6" s="76" t="inlineStr">
        <is>
          <t>Premium</t>
        </is>
      </c>
    </row>
    <row r="7" ht="23.85" customHeight="1" s="70">
      <c r="A7" s="75" t="inlineStr">
        <is>
          <t>Lois Burton</t>
        </is>
      </c>
      <c r="B7" s="76" t="inlineStr">
        <is>
          <t>Content, PR &amp; Creative Lead</t>
        </is>
      </c>
      <c r="C7" s="76" t="inlineStr">
        <is>
          <t>Art PR degree, high-end photo &amp; video, writing</t>
        </is>
      </c>
      <c r="D7" s="76" t="inlineStr">
        <is>
          <t>Web content, blogs, SEO, client experience (with Cat). PR. Leads Be-Zing marketing and The Edit. Attends fewer events.</t>
        </is>
      </c>
      <c r="E7" s="76" t="inlineStr">
        <is>
          <t>Cat</t>
        </is>
      </c>
      <c r="F7" s="76" t="inlineStr">
        <is>
          <t>End of October</t>
        </is>
      </c>
      <c r="G7" s="76" t="inlineStr">
        <is>
          <t>Yes</t>
        </is>
      </c>
      <c r="H7" s="76" t="inlineStr">
        <is>
          <t>Standard</t>
        </is>
      </c>
    </row>
    <row r="8" ht="35.05" customHeight="1" s="70">
      <c r="A8" s="75" t="inlineStr">
        <is>
          <t>Jessica</t>
        </is>
      </c>
      <c r="B8" s="76" t="inlineStr">
        <is>
          <t>Sales &amp; Events Manager</t>
        </is>
      </c>
      <c r="C8" s="76" t="inlineStr">
        <is>
          <t>Client-facing, events, strong styling eye</t>
        </is>
      </c>
      <c r="D8" s="76" t="inlineStr">
        <is>
          <t>Meets clients, sees spaces, brings concepts to life on site, styles her areas (e.g. bar). Goes to client meetings with Cat. Admin skills TBC.</t>
        </is>
      </c>
      <c r="E8" s="76" t="inlineStr">
        <is>
          <t>Cat, Lois</t>
        </is>
      </c>
      <c r="F8" s="76" t="inlineStr">
        <is>
          <t>Mid-October</t>
        </is>
      </c>
      <c r="G8" s="76" t="inlineStr">
        <is>
          <t>Yes</t>
        </is>
      </c>
      <c r="H8" s="76" t="inlineStr">
        <is>
          <t>TBC</t>
        </is>
      </c>
    </row>
    <row r="9" ht="15" customHeight="1" s="70">
      <c r="A9" s="75" t="inlineStr">
        <is>
          <t>Danelle van Tonder</t>
        </is>
      </c>
      <c r="B9" s="76" t="inlineStr">
        <is>
          <t>Quotes &amp; Client Liaison</t>
        </is>
      </c>
      <c r="C9" s="76" t="inlineStr">
        <is>
          <t>Organised, client care</t>
        </is>
      </c>
      <c r="D9" s="76" t="inlineStr">
        <is>
          <t>Quotes and client liaison – reactive.</t>
        </is>
      </c>
      <c r="E9" s="76" t="inlineStr">
        <is>
          <t>Ana</t>
        </is>
      </c>
      <c r="F9" s="76" t="inlineStr">
        <is>
          <t>Now</t>
        </is>
      </c>
      <c r="G9" s="76" t="inlineStr">
        <is>
          <t>Yes</t>
        </is>
      </c>
      <c r="H9" s="76" t="inlineStr">
        <is>
          <t>Standard</t>
        </is>
      </c>
    </row>
    <row r="10" ht="23.85" customHeight="1" s="70">
      <c r="A10" s="75" t="inlineStr">
        <is>
          <t>Ana</t>
        </is>
      </c>
      <c r="B10" s="76" t="inlineStr">
        <is>
          <t>Quotes &amp; Client Support (part-time)</t>
        </is>
      </c>
      <c r="C10" s="76" t="inlineStr">
        <is>
          <t>Cost calculator trained</t>
        </is>
      </c>
      <c r="D10" s="76" t="inlineStr">
        <is>
          <t>Assists Danelle on quotes and clients. Uses sales@ email.</t>
        </is>
      </c>
      <c r="E10" s="76" t="inlineStr">
        <is>
          <t>Danelle</t>
        </is>
      </c>
      <c r="F10" s="76" t="inlineStr">
        <is>
          <t>Now</t>
        </is>
      </c>
      <c r="G10" s="76" t="inlineStr">
        <is>
          <t>Yes</t>
        </is>
      </c>
      <c r="H10" s="76" t="inlineStr">
        <is>
          <t>No – review later</t>
        </is>
      </c>
    </row>
    <row r="11" ht="23.85" customHeight="1" s="70">
      <c r="A11" s="75" t="inlineStr">
        <is>
          <t>Alex</t>
        </is>
      </c>
      <c r="B11" s="76" t="inlineStr">
        <is>
          <t>Systems &amp; Events (flexible)</t>
        </is>
      </c>
      <c r="C11" s="76" t="inlineStr">
        <is>
          <t>Business studies student, free days</t>
        </is>
      </c>
      <c r="D11" s="76" t="inlineStr">
        <is>
          <t>Builds stock control system first (trial). Possibly more systems, packing, events, bar.</t>
        </is>
      </c>
      <c r="E11" s="76" t="inlineStr">
        <is>
          <t>Charlotte, Yahya</t>
        </is>
      </c>
      <c r="F11" s="76" t="inlineStr">
        <is>
          <t>When free</t>
        </is>
      </c>
      <c r="G11" s="76" t="inlineStr">
        <is>
          <t>TBC</t>
        </is>
      </c>
      <c r="H11" s="76" t="inlineStr">
        <is>
          <t>No</t>
        </is>
      </c>
    </row>
    <row r="12" ht="23.85" customHeight="1" s="70">
      <c r="A12" s="75" t="inlineStr">
        <is>
          <t>Raquel</t>
        </is>
      </c>
      <c r="B12" s="76" t="inlineStr">
        <is>
          <t>Event Manager &amp; Logistics</t>
        </is>
      </c>
      <c r="C12" s="76" t="inlineStr">
        <is>
          <t>On the ground</t>
        </is>
      </c>
      <c r="D12" s="76" t="inlineStr">
        <is>
          <t>Events, logistics, occasional site visits. Outside the admin system for now. Pichi input.</t>
        </is>
      </c>
      <c r="E12" s="76" t="inlineStr">
        <is>
          <t>Steph, Ana</t>
        </is>
      </c>
      <c r="F12" s="76" t="inlineStr">
        <is>
          <t>Now</t>
        </is>
      </c>
      <c r="G12" s="76" t="inlineStr">
        <is>
          <t>View only / later</t>
        </is>
      </c>
      <c r="H12" s="76" t="inlineStr">
        <is>
          <t>No</t>
        </is>
      </c>
    </row>
    <row r="13" ht="15" customHeight="1" s="70">
      <c r="A13" s="75" t="inlineStr">
        <is>
          <t>Yahya (InfoVis)</t>
        </is>
      </c>
      <c r="B13" s="76" t="inlineStr">
        <is>
          <t>IT &amp; Database Consultant</t>
        </is>
      </c>
      <c r="C13" s="76" t="inlineStr">
        <is>
          <t>Systems integration</t>
        </is>
      </c>
      <c r="D13" s="76" t="inlineStr">
        <is>
          <t>Monday structure, Claude connections, Xero, staff app review.</t>
        </is>
      </c>
      <c r="E13" s="76" t="inlineStr">
        <is>
          <t>Cat, Charlotte</t>
        </is>
      </c>
      <c r="F13" s="76" t="inlineStr">
        <is>
          <t>Mon 5 Oct</t>
        </is>
      </c>
      <c r="G13" s="76" t="inlineStr">
        <is>
          <t>Member</t>
        </is>
      </c>
      <c r="H13" s="76" t="inlineStr">
        <is>
          <t>Not yet</t>
        </is>
      </c>
    </row>
    <row r="14" ht="15" customHeight="1" s="70">
      <c r="A14" s="75" t="inlineStr">
        <is>
          <t>Jess &amp; Dave</t>
        </is>
      </c>
      <c r="B14" s="76" t="inlineStr">
        <is>
          <t>Collective partners – design</t>
        </is>
      </c>
      <c r="C14" s="76" t="inlineStr">
        <is>
          <t>Design &amp; styling eye</t>
        </is>
      </c>
      <c r="D14" s="76" t="inlineStr">
        <is>
          <t>VENN Productions. Outside the admin system.</t>
        </is>
      </c>
      <c r="E14" s="76" t="inlineStr">
        <is>
          <t>Charlotte</t>
        </is>
      </c>
      <c r="F14" s="76" t="inlineStr">
        <is>
          <t>—</t>
        </is>
      </c>
      <c r="G14" s="76" t="inlineStr">
        <is>
          <t>No</t>
        </is>
      </c>
      <c r="H14" s="76" t="inlineStr">
        <is>
          <t>—</t>
        </is>
      </c>
    </row>
    <row r="15" ht="15" customHeight="1" s="70">
      <c r="A15" s="75" t="inlineStr">
        <is>
          <t>Steph</t>
        </is>
      </c>
      <c r="B15" s="76" t="inlineStr">
        <is>
          <t>Runs Pichi</t>
        </is>
      </c>
      <c r="C15" s="76" t="inlineStr">
        <is>
          <t>Latino culture</t>
        </is>
      </c>
      <c r="D15" s="76" t="inlineStr">
        <is>
          <t>Pichi brainstorms and vision. Outside the admin system.</t>
        </is>
      </c>
      <c r="E15" s="76" t="inlineStr">
        <is>
          <t>Raquel, Ana, Cat</t>
        </is>
      </c>
      <c r="F15" s="76" t="inlineStr">
        <is>
          <t>—</t>
        </is>
      </c>
      <c r="G15" s="76" t="inlineStr">
        <is>
          <t>No</t>
        </is>
      </c>
      <c r="H15" s="76" t="inlineStr">
        <is>
          <t>—</t>
        </is>
      </c>
    </row>
    <row r="17" ht="15" customHeight="1" s="70">
      <c r="A17" s="80" t="inlineStr">
        <is>
          <t>How they pair up</t>
        </is>
      </c>
    </row>
    <row r="18" ht="15" customHeight="1" s="70">
      <c r="A18" s="81" t="inlineStr">
        <is>
          <t>• Cat + Lois: website content, blogs, writing, client experience, content &amp; PR. They agree crossovers between them.</t>
        </is>
      </c>
    </row>
    <row r="19" ht="15" customHeight="1" s="70">
      <c r="A19" s="81" t="inlineStr">
        <is>
          <t>• Cat + Jessica: concepts, styling and sales. Cat creates the concept, Jessica brings it to life at the event. Client meetings together.</t>
        </is>
      </c>
    </row>
    <row r="20" ht="15" customHeight="1" s="70">
      <c r="A20" s="81" t="inlineStr">
        <is>
          <t>• Cat + Jessica + Lois: all brainstorm concepts and creative ideas.</t>
        </is>
      </c>
    </row>
    <row r="21" ht="15" customHeight="1" s="70">
      <c r="A21" s="81" t="inlineStr">
        <is>
          <t>• Danelle + Ana: quotes and client liaison (reactive).</t>
        </is>
      </c>
    </row>
    <row r="22" ht="15" customHeight="1" s="70">
      <c r="A22" s="81" t="inlineStr">
        <is>
          <t>• Rhythm: Cat sets tasks in Monday → Tuesday team meeting to review.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9" min="1" max="1"/>
    <col width="26" customWidth="1" style="69" min="2" max="2"/>
    <col width="20" customWidth="1" style="69" min="3" max="3"/>
    <col width="62" customWidth="1" style="69" min="4" max="4"/>
    <col width="9" customWidth="1" style="69" min="5" max="6"/>
    <col width="14" customWidth="1" style="69" min="7" max="7"/>
    <col width="16" customWidth="1" style="69" min="8" max="8"/>
    <col width="14" customWidth="1" style="69" min="9" max="9"/>
    <col width="30" customWidth="1" style="69" min="10" max="10"/>
    <col width="14" customWidth="1" style="70" min="11" max="11"/>
  </cols>
  <sheetData>
    <row r="1" ht="19.7" customHeight="1" s="70">
      <c r="A1" s="71" t="inlineStr">
        <is>
          <t>PenniBlack Collective – Master Task List</t>
        </is>
      </c>
    </row>
    <row r="2" ht="15" customHeight="1" s="70">
      <c r="A2" s="72" t="inlineStr">
        <is>
          <t>Stage: Now = next 2 weeks · Next = rest of Oct–Dec · Later = 2027 / once Now and Next are moving. Priority 1 = money before Christmas · 2 = build the brands · 3 = systems. Owner left blank for Cat to allocate.</t>
        </is>
      </c>
    </row>
    <row r="4" ht="15" customHeight="1" s="70">
      <c r="A4" s="73" t="inlineStr">
        <is>
          <t>ID</t>
        </is>
      </c>
      <c r="B4" s="73" t="inlineStr">
        <is>
          <t>Section</t>
        </is>
      </c>
      <c r="C4" s="73" t="inlineStr">
        <is>
          <t>Workstream</t>
        </is>
      </c>
      <c r="D4" s="73" t="inlineStr">
        <is>
          <t>Task</t>
        </is>
      </c>
      <c r="E4" s="73" t="inlineStr">
        <is>
          <t>Priority</t>
        </is>
      </c>
      <c r="F4" s="73" t="inlineStr">
        <is>
          <t>Stage</t>
        </is>
      </c>
      <c r="G4" s="73" t="inlineStr">
        <is>
          <t>When</t>
        </is>
      </c>
      <c r="H4" s="73" t="inlineStr">
        <is>
          <t>Owner</t>
        </is>
      </c>
      <c r="I4" s="73" t="inlineStr">
        <is>
          <t>Status</t>
        </is>
      </c>
      <c r="J4" s="73" t="inlineStr">
        <is>
          <t>Notes</t>
        </is>
      </c>
      <c r="K4" s="82" t="inlineStr">
        <is>
          <t>Due date</t>
        </is>
      </c>
    </row>
    <row r="5" ht="15" customHeight="1" s="70">
      <c r="A5" s="83" t="n">
        <v>1</v>
      </c>
      <c r="B5" s="84" t="inlineStr">
        <is>
          <t>0. Monday &amp; Claude Setup</t>
        </is>
      </c>
      <c r="C5" s="85" t="inlineStr">
        <is>
          <t>Setup</t>
        </is>
      </c>
      <c r="D5" s="85" t="inlineStr">
        <is>
          <t>Check Monday trial status and end date</t>
        </is>
      </c>
      <c r="E5" s="83" t="n">
        <v>1</v>
      </c>
      <c r="F5" s="86" t="inlineStr">
        <is>
          <t>Now</t>
        </is>
      </c>
      <c r="G5" s="85" t="inlineStr">
        <is>
          <t>Fri 2 Oct</t>
        </is>
      </c>
      <c r="H5" s="85" t="n"/>
      <c r="I5" s="85" t="inlineStr">
        <is>
          <t>Not started</t>
        </is>
      </c>
      <c r="J5" s="85" t="inlineStr">
        <is>
          <t>Cat – from the van</t>
        </is>
      </c>
      <c r="K5" s="87" t="n">
        <v>46297</v>
      </c>
    </row>
    <row r="6" ht="15" customHeight="1" s="70">
      <c r="A6" s="83" t="n">
        <v>2</v>
      </c>
      <c r="B6" s="84" t="inlineStr">
        <is>
          <t>0. Monday &amp; Claude Setup</t>
        </is>
      </c>
      <c r="C6" s="85" t="inlineStr">
        <is>
          <t>Setup</t>
        </is>
      </c>
      <c r="D6" s="85" t="inlineStr">
        <is>
          <t>Upgrade Monday to Pro, monthly billing</t>
        </is>
      </c>
      <c r="E6" s="83" t="n">
        <v>1</v>
      </c>
      <c r="F6" s="86" t="inlineStr">
        <is>
          <t>Now</t>
        </is>
      </c>
      <c r="G6" s="85" t="inlineStr">
        <is>
          <t>Fri 2 Oct</t>
        </is>
      </c>
      <c r="H6" s="85" t="n"/>
      <c r="I6" s="85" t="inlineStr">
        <is>
          <t>Not started</t>
        </is>
      </c>
      <c r="J6" s="85" t="inlineStr">
        <is>
          <t>Cat – call Charlotte for card</t>
        </is>
      </c>
      <c r="K6" s="87" t="n">
        <v>46297</v>
      </c>
    </row>
    <row r="7" ht="15" customHeight="1" s="70">
      <c r="A7" s="83" t="n">
        <v>3</v>
      </c>
      <c r="B7" s="84" t="inlineStr">
        <is>
          <t>0. Monday &amp; Claude Setup</t>
        </is>
      </c>
      <c r="C7" s="85" t="inlineStr">
        <is>
          <t>Setup</t>
        </is>
      </c>
      <c r="D7" s="85" t="inlineStr">
        <is>
          <t>Invite Yahya to Monday as Member (info@infovis.co.uk)</t>
        </is>
      </c>
      <c r="E7" s="83" t="n">
        <v>1</v>
      </c>
      <c r="F7" s="86" t="inlineStr">
        <is>
          <t>Now</t>
        </is>
      </c>
      <c r="G7" s="85" t="inlineStr">
        <is>
          <t>Fri 2 Oct</t>
        </is>
      </c>
      <c r="H7" s="85" t="n"/>
      <c r="I7" s="85" t="inlineStr">
        <is>
          <t>Not started</t>
        </is>
      </c>
      <c r="J7" s="85" t="inlineStr">
        <is>
          <t>Cat to email him once done</t>
        </is>
      </c>
      <c r="K7" s="87" t="n">
        <v>46297</v>
      </c>
    </row>
    <row r="8" ht="15" customHeight="1" s="70">
      <c r="A8" s="83" t="n">
        <v>4</v>
      </c>
      <c r="B8" s="84" t="inlineStr">
        <is>
          <t>0. Monday &amp; Claude Setup</t>
        </is>
      </c>
      <c r="C8" s="85" t="inlineStr">
        <is>
          <t>Setup</t>
        </is>
      </c>
      <c r="D8" s="85" t="inlineStr">
        <is>
          <t>Make sure Cat is a Monday admin</t>
        </is>
      </c>
      <c r="E8" s="83" t="n">
        <v>1</v>
      </c>
      <c r="F8" s="86" t="inlineStr">
        <is>
          <t>Now</t>
        </is>
      </c>
      <c r="G8" s="85" t="inlineStr">
        <is>
          <t>Fri 2 Oct</t>
        </is>
      </c>
      <c r="H8" s="85" t="n"/>
      <c r="I8" s="85" t="inlineStr">
        <is>
          <t>Not started</t>
        </is>
      </c>
      <c r="J8" s="85" t="n"/>
      <c r="K8" s="87" t="n">
        <v>46297</v>
      </c>
    </row>
    <row r="9" ht="23.85" customHeight="1" s="70">
      <c r="A9" s="83" t="n">
        <v>5</v>
      </c>
      <c r="B9" s="84" t="inlineStr">
        <is>
          <t>0. Monday &amp; Claude Setup</t>
        </is>
      </c>
      <c r="C9" s="85" t="inlineStr">
        <is>
          <t>Setup</t>
        </is>
      </c>
      <c r="D9" s="85" t="inlineStr">
        <is>
          <t>Send Yahya samples: spreadsheet, task list, marketing plan, targets, enquiry tracker extract</t>
        </is>
      </c>
      <c r="E9" s="83" t="n">
        <v>1</v>
      </c>
      <c r="F9" s="86" t="inlineStr">
        <is>
          <t>Now</t>
        </is>
      </c>
      <c r="G9" s="85" t="inlineStr">
        <is>
          <t>Weekend</t>
        </is>
      </c>
      <c r="H9" s="85" t="n"/>
      <c r="I9" s="85" t="inlineStr">
        <is>
          <t>Not started</t>
        </is>
      </c>
      <c r="J9" s="85" t="inlineStr">
        <is>
          <t>This workbook covers the task list</t>
        </is>
      </c>
      <c r="K9" s="87" t="n"/>
    </row>
    <row r="10" ht="15" customHeight="1" s="70">
      <c r="A10" s="83" t="n">
        <v>6</v>
      </c>
      <c r="B10" s="84" t="inlineStr">
        <is>
          <t>0. Monday &amp; Claude Setup</t>
        </is>
      </c>
      <c r="C10" s="85" t="inlineStr">
        <is>
          <t>Setup</t>
        </is>
      </c>
      <c r="D10" s="85" t="inlineStr">
        <is>
          <t>Setup day with Yahya, Cat and Charlotte</t>
        </is>
      </c>
      <c r="E10" s="83" t="n">
        <v>1</v>
      </c>
      <c r="F10" s="86" t="inlineStr">
        <is>
          <t>Now</t>
        </is>
      </c>
      <c r="G10" s="85" t="inlineStr">
        <is>
          <t>Mon 5 Oct</t>
        </is>
      </c>
      <c r="H10" s="85" t="n"/>
      <c r="I10" s="85" t="inlineStr">
        <is>
          <t>Not started</t>
        </is>
      </c>
      <c r="J10" s="85" t="n"/>
      <c r="K10" s="87" t="n">
        <v>46300</v>
      </c>
    </row>
    <row r="11" ht="15" customHeight="1" s="70">
      <c r="A11" s="83" t="n">
        <v>7</v>
      </c>
      <c r="B11" s="84" t="inlineStr">
        <is>
          <t>0. Monday &amp; Claude Setup</t>
        </is>
      </c>
      <c r="C11" s="85" t="inlineStr">
        <is>
          <t>Setup</t>
        </is>
      </c>
      <c r="D11" s="85" t="inlineStr">
        <is>
          <t>Build marketing board – one group per brand</t>
        </is>
      </c>
      <c r="E11" s="83" t="n">
        <v>1</v>
      </c>
      <c r="F11" s="86" t="inlineStr">
        <is>
          <t>Now</t>
        </is>
      </c>
      <c r="G11" s="85" t="inlineStr">
        <is>
          <t>Mon 5 Oct</t>
        </is>
      </c>
      <c r="H11" s="85" t="n"/>
      <c r="I11" s="85" t="inlineStr">
        <is>
          <t>Not started</t>
        </is>
      </c>
      <c r="J11" s="85" t="inlineStr">
        <is>
          <t>Yahya</t>
        </is>
      </c>
      <c r="K11" s="87" t="n">
        <v>46300</v>
      </c>
    </row>
    <row r="12" ht="15" customHeight="1" s="70">
      <c r="A12" s="83" t="n">
        <v>8</v>
      </c>
      <c r="B12" s="84" t="inlineStr">
        <is>
          <t>0. Monday &amp; Claude Setup</t>
        </is>
      </c>
      <c r="C12" s="85" t="inlineStr">
        <is>
          <t>Setup</t>
        </is>
      </c>
      <c r="D12" s="85" t="inlineStr">
        <is>
          <t>Load this task list into Monday</t>
        </is>
      </c>
      <c r="E12" s="83" t="n">
        <v>1</v>
      </c>
      <c r="F12" s="86" t="inlineStr">
        <is>
          <t>Now</t>
        </is>
      </c>
      <c r="G12" s="85" t="inlineStr">
        <is>
          <t>Mon 5 Oct</t>
        </is>
      </c>
      <c r="H12" s="85" t="n"/>
      <c r="I12" s="85" t="inlineStr">
        <is>
          <t>Not started</t>
        </is>
      </c>
      <c r="J12" s="85" t="inlineStr">
        <is>
          <t>Yahya</t>
        </is>
      </c>
      <c r="K12" s="87" t="n">
        <v>46300</v>
      </c>
    </row>
    <row r="13" ht="15" customHeight="1" s="70">
      <c r="A13" s="83" t="n">
        <v>9</v>
      </c>
      <c r="B13" s="84" t="inlineStr">
        <is>
          <t>0. Monday &amp; Claude Setup</t>
        </is>
      </c>
      <c r="C13" s="85" t="inlineStr">
        <is>
          <t>Setup</t>
        </is>
      </c>
      <c r="D13" s="85" t="inlineStr">
        <is>
          <t>Build goals &amp; targets dashboard for the Tuesday meeting</t>
        </is>
      </c>
      <c r="E13" s="83" t="n">
        <v>1</v>
      </c>
      <c r="F13" s="86" t="inlineStr">
        <is>
          <t>Now</t>
        </is>
      </c>
      <c r="G13" s="85" t="inlineStr">
        <is>
          <t>Mon 5 Oct</t>
        </is>
      </c>
      <c r="H13" s="85" t="n"/>
      <c r="I13" s="85" t="inlineStr">
        <is>
          <t>Not started</t>
        </is>
      </c>
      <c r="J13" s="85" t="inlineStr">
        <is>
          <t>Yahya</t>
        </is>
      </c>
      <c r="K13" s="87" t="n">
        <v>46300</v>
      </c>
    </row>
    <row r="14" ht="15" customHeight="1" s="70">
      <c r="A14" s="83" t="n">
        <v>10</v>
      </c>
      <c r="B14" s="84" t="inlineStr">
        <is>
          <t>0. Monday &amp; Claude Setup</t>
        </is>
      </c>
      <c r="C14" s="85" t="inlineStr">
        <is>
          <t>Setup</t>
        </is>
      </c>
      <c r="D14" s="85" t="inlineStr">
        <is>
          <t>Connect Claude to Monday</t>
        </is>
      </c>
      <c r="E14" s="83" t="n">
        <v>1</v>
      </c>
      <c r="F14" s="88" t="inlineStr">
        <is>
          <t>Next</t>
        </is>
      </c>
      <c r="G14" s="85" t="inlineStr">
        <is>
          <t>Oct</t>
        </is>
      </c>
      <c r="H14" s="85" t="n"/>
      <c r="I14" s="85" t="inlineStr">
        <is>
          <t>Not started</t>
        </is>
      </c>
      <c r="J14" s="85" t="inlineStr">
        <is>
          <t>Yahya</t>
        </is>
      </c>
      <c r="K14" s="87" t="n"/>
    </row>
    <row r="15" ht="15" customHeight="1" s="70">
      <c r="A15" s="83" t="n">
        <v>11</v>
      </c>
      <c r="B15" s="84" t="inlineStr">
        <is>
          <t>0. Monday &amp; Claude Setup</t>
        </is>
      </c>
      <c r="C15" s="85" t="inlineStr">
        <is>
          <t>Setup</t>
        </is>
      </c>
      <c r="D15" s="85" t="inlineStr">
        <is>
          <t>Add team to Monday (Danelle, Ana, Lois, Jessica, Alex as needed)</t>
        </is>
      </c>
      <c r="E15" s="83" t="n">
        <v>1</v>
      </c>
      <c r="F15" s="88" t="inlineStr">
        <is>
          <t>Next</t>
        </is>
      </c>
      <c r="G15" s="85" t="inlineStr">
        <is>
          <t>Oct</t>
        </is>
      </c>
      <c r="H15" s="85" t="n"/>
      <c r="I15" s="85" t="inlineStr">
        <is>
          <t>Not started</t>
        </is>
      </c>
      <c r="J15" s="85" t="n"/>
      <c r="K15" s="87" t="n"/>
    </row>
    <row r="16" ht="15" customHeight="1" s="70">
      <c r="A16" s="83" t="n">
        <v>12</v>
      </c>
      <c r="B16" s="84" t="inlineStr">
        <is>
          <t>0. Monday &amp; Claude Setup</t>
        </is>
      </c>
      <c r="C16" s="85" t="inlineStr">
        <is>
          <t>Setup</t>
        </is>
      </c>
      <c r="D16" s="85" t="inlineStr">
        <is>
          <t>Onboard Jessica – email, Monday, Claude (TBC)</t>
        </is>
      </c>
      <c r="E16" s="83" t="n">
        <v>1</v>
      </c>
      <c r="F16" s="88" t="inlineStr">
        <is>
          <t>Next</t>
        </is>
      </c>
      <c r="G16" s="85" t="inlineStr">
        <is>
          <t>Mid-Oct</t>
        </is>
      </c>
      <c r="H16" s="85" t="n"/>
      <c r="I16" s="85" t="inlineStr">
        <is>
          <t>Not started</t>
        </is>
      </c>
      <c r="J16" s="85" t="n"/>
      <c r="K16" s="87" t="n"/>
    </row>
    <row r="17" ht="15" customHeight="1" s="70">
      <c r="A17" s="83" t="n">
        <v>13</v>
      </c>
      <c r="B17" s="84" t="inlineStr">
        <is>
          <t>0. Monday &amp; Claude Setup</t>
        </is>
      </c>
      <c r="C17" s="85" t="inlineStr">
        <is>
          <t>Setup</t>
        </is>
      </c>
      <c r="D17" s="85" t="inlineStr">
        <is>
          <t>Onboard Lois – Monday, Claude Team (email done)</t>
        </is>
      </c>
      <c r="E17" s="83" t="n">
        <v>1</v>
      </c>
      <c r="F17" s="88" t="inlineStr">
        <is>
          <t>Next</t>
        </is>
      </c>
      <c r="G17" s="85" t="inlineStr">
        <is>
          <t>End Oct</t>
        </is>
      </c>
      <c r="H17" s="85" t="n"/>
      <c r="I17" s="85" t="inlineStr">
        <is>
          <t>Not started</t>
        </is>
      </c>
      <c r="J17" s="85" t="n"/>
      <c r="K17" s="87" t="n"/>
    </row>
    <row r="18" ht="23.85" customHeight="1" s="70">
      <c r="A18" s="89" t="n">
        <v>14</v>
      </c>
      <c r="B18" s="90" t="inlineStr">
        <is>
          <t>1. All Brands</t>
        </is>
      </c>
      <c r="C18" s="91" t="inlineStr">
        <is>
          <t>Marketing plans</t>
        </is>
      </c>
      <c r="D18" s="91" t="inlineStr">
        <is>
          <t>Write a one-page marketing plan per brand: who buys, what we sell, where we find them, monthly targets</t>
        </is>
      </c>
      <c r="E18" s="89" t="n">
        <v>1</v>
      </c>
      <c r="F18" s="92" t="inlineStr">
        <is>
          <t>Next</t>
        </is>
      </c>
      <c r="G18" s="91" t="inlineStr">
        <is>
          <t>Oct</t>
        </is>
      </c>
      <c r="H18" s="91" t="n"/>
      <c r="I18" s="91" t="inlineStr">
        <is>
          <t>Not started</t>
        </is>
      </c>
      <c r="J18" s="91" t="n"/>
      <c r="K18" s="93" t="n"/>
    </row>
    <row r="19" ht="15" customHeight="1" s="70">
      <c r="A19" s="89" t="n">
        <v>15</v>
      </c>
      <c r="B19" s="90" t="inlineStr">
        <is>
          <t>1. All Brands</t>
        </is>
      </c>
      <c r="C19" s="91" t="inlineStr">
        <is>
          <t>Marketing plans</t>
        </is>
      </c>
      <c r="D19" s="91" t="inlineStr">
        <is>
          <t>Set monthly targets per brand – enquiries, bookings, £ booked</t>
        </is>
      </c>
      <c r="E19" s="89" t="n">
        <v>1</v>
      </c>
      <c r="F19" s="92" t="inlineStr">
        <is>
          <t>Next</t>
        </is>
      </c>
      <c r="G19" s="91" t="inlineStr">
        <is>
          <t>Oct</t>
        </is>
      </c>
      <c r="H19" s="91" t="n"/>
      <c r="I19" s="91" t="inlineStr">
        <is>
          <t>Not started</t>
        </is>
      </c>
      <c r="J19" s="91" t="n"/>
      <c r="K19" s="93" t="n"/>
    </row>
    <row r="20" ht="15" customHeight="1" s="70">
      <c r="A20" s="89" t="n">
        <v>16</v>
      </c>
      <c r="B20" s="90" t="inlineStr">
        <is>
          <t>1. All Brands</t>
        </is>
      </c>
      <c r="C20" s="91" t="inlineStr">
        <is>
          <t>Marketing plans</t>
        </is>
      </c>
      <c r="D20" s="91" t="inlineStr">
        <is>
          <t>Track goals completed vs targets – review every Tuesday</t>
        </is>
      </c>
      <c r="E20" s="89" t="n">
        <v>1</v>
      </c>
      <c r="F20" s="92" t="inlineStr">
        <is>
          <t>Next</t>
        </is>
      </c>
      <c r="G20" s="91" t="inlineStr">
        <is>
          <t>Weekly</t>
        </is>
      </c>
      <c r="H20" s="91" t="n"/>
      <c r="I20" s="91" t="inlineStr">
        <is>
          <t>Not started</t>
        </is>
      </c>
      <c r="J20" s="91" t="n"/>
      <c r="K20" s="93" t="n"/>
    </row>
    <row r="21" ht="15" customHeight="1" s="70">
      <c r="A21" s="89" t="n">
        <v>17</v>
      </c>
      <c r="B21" s="90" t="inlineStr">
        <is>
          <t>1. All Brands</t>
        </is>
      </c>
      <c r="C21" s="91" t="inlineStr">
        <is>
          <t>Marketing plans</t>
        </is>
      </c>
      <c r="D21" s="91" t="inlineStr">
        <is>
          <t>Social media content calendar across all brands</t>
        </is>
      </c>
      <c r="E21" s="89" t="n">
        <v>1</v>
      </c>
      <c r="F21" s="92" t="inlineStr">
        <is>
          <t>Next</t>
        </is>
      </c>
      <c r="G21" s="91" t="inlineStr">
        <is>
          <t>Oct</t>
        </is>
      </c>
      <c r="H21" s="91" t="n"/>
      <c r="I21" s="91" t="inlineStr">
        <is>
          <t>Not started</t>
        </is>
      </c>
      <c r="J21" s="91" t="n"/>
      <c r="K21" s="93" t="n"/>
    </row>
    <row r="22" ht="15" customHeight="1" s="70">
      <c r="A22" s="89" t="n">
        <v>18</v>
      </c>
      <c r="B22" s="90" t="inlineStr">
        <is>
          <t>1. All Brands</t>
        </is>
      </c>
      <c r="C22" s="91" t="inlineStr">
        <is>
          <t>Website</t>
        </is>
      </c>
      <c r="D22" s="91" t="inlineStr">
        <is>
          <t>Audit every page on every brand website – wording and what goes where</t>
        </is>
      </c>
      <c r="E22" s="89" t="n">
        <v>1</v>
      </c>
      <c r="F22" s="92" t="inlineStr">
        <is>
          <t>Next</t>
        </is>
      </c>
      <c r="G22" s="91" t="inlineStr">
        <is>
          <t>From end Oct</t>
        </is>
      </c>
      <c r="H22" s="91" t="n"/>
      <c r="I22" s="91" t="inlineStr">
        <is>
          <t>Not started</t>
        </is>
      </c>
      <c r="J22" s="91" t="inlineStr">
        <is>
          <t>First job when Lois starts</t>
        </is>
      </c>
      <c r="K22" s="93" t="n"/>
    </row>
    <row r="23" ht="15" customHeight="1" s="70">
      <c r="A23" s="89" t="n">
        <v>19</v>
      </c>
      <c r="B23" s="90" t="inlineStr">
        <is>
          <t>1. All Brands</t>
        </is>
      </c>
      <c r="C23" s="91" t="inlineStr">
        <is>
          <t>Website</t>
        </is>
      </c>
      <c r="D23" s="91" t="inlineStr">
        <is>
          <t>Check all website wording is right for SEO</t>
        </is>
      </c>
      <c r="E23" s="89" t="n">
        <v>1</v>
      </c>
      <c r="F23" s="92" t="inlineStr">
        <is>
          <t>Next</t>
        </is>
      </c>
      <c r="G23" s="91" t="inlineStr">
        <is>
          <t>From end Oct</t>
        </is>
      </c>
      <c r="H23" s="91" t="n"/>
      <c r="I23" s="91" t="inlineStr">
        <is>
          <t>Not started</t>
        </is>
      </c>
      <c r="J23" s="91" t="n"/>
      <c r="K23" s="93" t="n"/>
    </row>
    <row r="24" ht="15" customHeight="1" s="70">
      <c r="A24" s="89" t="n">
        <v>20</v>
      </c>
      <c r="B24" s="90" t="inlineStr">
        <is>
          <t>1. All Brands</t>
        </is>
      </c>
      <c r="C24" s="91" t="inlineStr">
        <is>
          <t>Website</t>
        </is>
      </c>
      <c r="D24" s="91" t="inlineStr">
        <is>
          <t>Extend website wording where pages are thin</t>
        </is>
      </c>
      <c r="E24" s="89" t="n">
        <v>2</v>
      </c>
      <c r="F24" s="94" t="inlineStr">
        <is>
          <t>Later</t>
        </is>
      </c>
      <c r="G24" s="91" t="inlineStr">
        <is>
          <t>Nov–Dec</t>
        </is>
      </c>
      <c r="H24" s="91" t="n"/>
      <c r="I24" s="91" t="inlineStr">
        <is>
          <t>Not started</t>
        </is>
      </c>
      <c r="J24" s="91" t="n"/>
      <c r="K24" s="93" t="n"/>
    </row>
    <row r="25" ht="15" customHeight="1" s="70">
      <c r="A25" s="89" t="n">
        <v>21</v>
      </c>
      <c r="B25" s="90" t="inlineStr">
        <is>
          <t>1. All Brands</t>
        </is>
      </c>
      <c r="C25" s="91" t="inlineStr">
        <is>
          <t>Website</t>
        </is>
      </c>
      <c r="D25" s="91" t="inlineStr">
        <is>
          <t>Bring case studies up to date on every site</t>
        </is>
      </c>
      <c r="E25" s="89" t="n">
        <v>1</v>
      </c>
      <c r="F25" s="92" t="inlineStr">
        <is>
          <t>Next</t>
        </is>
      </c>
      <c r="G25" s="91" t="inlineStr">
        <is>
          <t>From end Oct</t>
        </is>
      </c>
      <c r="H25" s="91" t="n"/>
      <c r="I25" s="91" t="inlineStr">
        <is>
          <t>Not started</t>
        </is>
      </c>
      <c r="J25" s="91" t="n"/>
      <c r="K25" s="93" t="n"/>
    </row>
    <row r="26" ht="15" customHeight="1" s="70">
      <c r="A26" s="89" t="n">
        <v>22</v>
      </c>
      <c r="B26" s="90" t="inlineStr">
        <is>
          <t>1. All Brands</t>
        </is>
      </c>
      <c r="C26" s="91" t="inlineStr">
        <is>
          <t>Blogs</t>
        </is>
      </c>
      <c r="D26" s="91" t="inlineStr">
        <is>
          <t>Check blogs are generating SEO traffic</t>
        </is>
      </c>
      <c r="E26" s="89" t="n">
        <v>1</v>
      </c>
      <c r="F26" s="92" t="inlineStr">
        <is>
          <t>Next</t>
        </is>
      </c>
      <c r="G26" s="91" t="inlineStr">
        <is>
          <t>From end Oct</t>
        </is>
      </c>
      <c r="H26" s="91" t="n"/>
      <c r="I26" s="91" t="inlineStr">
        <is>
          <t>Not started</t>
        </is>
      </c>
      <c r="J26" s="91" t="n"/>
      <c r="K26" s="93" t="n"/>
    </row>
    <row r="27" ht="15" customHeight="1" s="70">
      <c r="A27" s="89" t="n">
        <v>23</v>
      </c>
      <c r="B27" s="90" t="inlineStr">
        <is>
          <t>1. All Brands</t>
        </is>
      </c>
      <c r="C27" s="91" t="inlineStr">
        <is>
          <t>Blogs</t>
        </is>
      </c>
      <c r="D27" s="91" t="inlineStr">
        <is>
          <t>Blog calendar for each brand</t>
        </is>
      </c>
      <c r="E27" s="89" t="n">
        <v>2</v>
      </c>
      <c r="F27" s="94" t="inlineStr">
        <is>
          <t>Later</t>
        </is>
      </c>
      <c r="G27" s="91" t="inlineStr">
        <is>
          <t>Nov</t>
        </is>
      </c>
      <c r="H27" s="91" t="n"/>
      <c r="I27" s="91" t="inlineStr">
        <is>
          <t>Not started</t>
        </is>
      </c>
      <c r="J27" s="91" t="n"/>
      <c r="K27" s="93" t="n"/>
    </row>
    <row r="28" ht="15" customHeight="1" s="70">
      <c r="A28" s="89" t="n">
        <v>24</v>
      </c>
      <c r="B28" s="90" t="inlineStr">
        <is>
          <t>1. All Brands</t>
        </is>
      </c>
      <c r="C28" s="91" t="inlineStr">
        <is>
          <t>Client experience</t>
        </is>
      </c>
      <c r="D28" s="91" t="inlineStr">
        <is>
          <t>Map the client journey: enquiry → quote → booking → event → follow-up</t>
        </is>
      </c>
      <c r="E28" s="89" t="n">
        <v>2</v>
      </c>
      <c r="F28" s="94" t="inlineStr">
        <is>
          <t>Later</t>
        </is>
      </c>
      <c r="G28" s="91" t="inlineStr">
        <is>
          <t>Nov</t>
        </is>
      </c>
      <c r="H28" s="91" t="n"/>
      <c r="I28" s="91" t="inlineStr">
        <is>
          <t>Not started</t>
        </is>
      </c>
      <c r="J28" s="91" t="inlineStr">
        <is>
          <t>Cat + Lois brainstorm</t>
        </is>
      </c>
      <c r="K28" s="93" t="n"/>
    </row>
    <row r="29" ht="15" customHeight="1" s="70">
      <c r="A29" s="89" t="n">
        <v>25</v>
      </c>
      <c r="B29" s="90" t="inlineStr">
        <is>
          <t>1. All Brands</t>
        </is>
      </c>
      <c r="C29" s="91" t="inlineStr">
        <is>
          <t>Client experience</t>
        </is>
      </c>
      <c r="D29" s="91" t="inlineStr">
        <is>
          <t>Collect reviews after every event – set a simple process</t>
        </is>
      </c>
      <c r="E29" s="89" t="n">
        <v>1</v>
      </c>
      <c r="F29" s="92" t="inlineStr">
        <is>
          <t>Next</t>
        </is>
      </c>
      <c r="G29" s="91" t="inlineStr">
        <is>
          <t>Oct</t>
        </is>
      </c>
      <c r="H29" s="91" t="n"/>
      <c r="I29" s="91" t="inlineStr">
        <is>
          <t>Not started</t>
        </is>
      </c>
      <c r="J29" s="91" t="n"/>
      <c r="K29" s="93" t="n"/>
    </row>
    <row r="30" ht="15" customHeight="1" s="70">
      <c r="A30" s="89" t="n">
        <v>26</v>
      </c>
      <c r="B30" s="90" t="inlineStr">
        <is>
          <t>1. All Brands</t>
        </is>
      </c>
      <c r="C30" s="91" t="inlineStr">
        <is>
          <t>Brochures</t>
        </is>
      </c>
      <c r="D30" s="91" t="inlineStr">
        <is>
          <t>Check every brand has a brochure ready to send</t>
        </is>
      </c>
      <c r="E30" s="89" t="n">
        <v>1</v>
      </c>
      <c r="F30" s="92" t="inlineStr">
        <is>
          <t>Next</t>
        </is>
      </c>
      <c r="G30" s="91" t="inlineStr">
        <is>
          <t>Oct</t>
        </is>
      </c>
      <c r="H30" s="91" t="n"/>
      <c r="I30" s="91" t="inlineStr">
        <is>
          <t>Not started</t>
        </is>
      </c>
      <c r="J30" s="91" t="n"/>
      <c r="K30" s="93" t="n"/>
    </row>
    <row r="31" ht="15" customHeight="1" s="70">
      <c r="A31" s="89" t="n">
        <v>27</v>
      </c>
      <c r="B31" s="90" t="inlineStr">
        <is>
          <t>1. All Brands</t>
        </is>
      </c>
      <c r="C31" s="91" t="inlineStr">
        <is>
          <t>Mail shots</t>
        </is>
      </c>
      <c r="D31" s="91" t="inlineStr">
        <is>
          <t>Mail shot plan for every brand – calendar and contact lists</t>
        </is>
      </c>
      <c r="E31" s="89" t="n">
        <v>1</v>
      </c>
      <c r="F31" s="92" t="inlineStr">
        <is>
          <t>Next</t>
        </is>
      </c>
      <c r="G31" s="91" t="inlineStr">
        <is>
          <t>Oct–Nov</t>
        </is>
      </c>
      <c r="H31" s="91" t="n"/>
      <c r="I31" s="91" t="inlineStr">
        <is>
          <t>Not started</t>
        </is>
      </c>
      <c r="J31" s="91" t="n"/>
      <c r="K31" s="93" t="n"/>
    </row>
    <row r="32" ht="15" customHeight="1" s="70">
      <c r="A32" s="89" t="n">
        <v>28</v>
      </c>
      <c r="B32" s="90" t="inlineStr">
        <is>
          <t>1. All Brands</t>
        </is>
      </c>
      <c r="C32" s="91" t="inlineStr">
        <is>
          <t>PR</t>
        </is>
      </c>
      <c r="D32" s="91" t="inlineStr">
        <is>
          <t>Include BNC in every press release, for every brand</t>
        </is>
      </c>
      <c r="E32" s="89" t="n">
        <v>1</v>
      </c>
      <c r="F32" s="95" t="inlineStr">
        <is>
          <t>Now</t>
        </is>
      </c>
      <c r="G32" s="91" t="inlineStr">
        <is>
          <t>Ongoing</t>
        </is>
      </c>
      <c r="H32" s="91" t="n"/>
      <c r="I32" s="91" t="inlineStr">
        <is>
          <t>Not started</t>
        </is>
      </c>
      <c r="J32" s="91" t="inlineStr">
        <is>
          <t>Use BNC's marketing systems</t>
        </is>
      </c>
      <c r="K32" s="93" t="n"/>
    </row>
    <row r="33" ht="15" customHeight="1" s="70">
      <c r="A33" s="89" t="n">
        <v>29</v>
      </c>
      <c r="B33" s="90" t="inlineStr">
        <is>
          <t>1. All Brands</t>
        </is>
      </c>
      <c r="C33" s="91" t="inlineStr">
        <is>
          <t>PR</t>
        </is>
      </c>
      <c r="D33" s="91" t="inlineStr">
        <is>
          <t>Press release plan for each brand</t>
        </is>
      </c>
      <c r="E33" s="89" t="n">
        <v>1</v>
      </c>
      <c r="F33" s="92" t="inlineStr">
        <is>
          <t>Next</t>
        </is>
      </c>
      <c r="G33" s="91" t="inlineStr">
        <is>
          <t>Oct–Nov</t>
        </is>
      </c>
      <c r="H33" s="91" t="n"/>
      <c r="I33" s="91" t="inlineStr">
        <is>
          <t>Not started</t>
        </is>
      </c>
      <c r="J33" s="91" t="n"/>
      <c r="K33" s="93" t="n"/>
    </row>
    <row r="34" ht="15" customHeight="1" s="70">
      <c r="A34" s="96" t="n">
        <v>30</v>
      </c>
      <c r="B34" s="97" t="inlineStr">
        <is>
          <t>1b. BNC Exhibition (end Oct)</t>
        </is>
      </c>
      <c r="C34" s="98" t="inlineStr">
        <is>
          <t>BNC Exhibition</t>
        </is>
      </c>
      <c r="D34" s="98" t="inlineStr">
        <is>
          <t>Confirm exhibition date, venue, stand size and what's included</t>
        </is>
      </c>
      <c r="E34" s="96" t="n">
        <v>1</v>
      </c>
      <c r="F34" s="99" t="inlineStr">
        <is>
          <t>Now</t>
        </is>
      </c>
      <c r="G34" s="98" t="inlineStr">
        <is>
          <t>Now</t>
        </is>
      </c>
      <c r="H34" s="98" t="n"/>
      <c r="I34" s="98" t="inlineStr">
        <is>
          <t>Not started</t>
        </is>
      </c>
      <c r="J34" s="98" t="inlineStr">
        <is>
          <t>Date TBC – end of October</t>
        </is>
      </c>
      <c r="K34" s="100" t="n"/>
    </row>
    <row r="35" ht="23.85" customHeight="1" s="70">
      <c r="A35" s="96" t="n">
        <v>31</v>
      </c>
      <c r="B35" s="97" t="inlineStr">
        <is>
          <t>1b. BNC Exhibition (end Oct)</t>
        </is>
      </c>
      <c r="C35" s="98" t="inlineStr">
        <is>
          <t>BNC Exhibition</t>
        </is>
      </c>
      <c r="D35" s="98" t="inlineStr">
        <is>
          <t>Find out what marketing BNC offers exhibitors – newsletters, social, website listings, press</t>
        </is>
      </c>
      <c r="E35" s="96" t="n">
        <v>1</v>
      </c>
      <c r="F35" s="99" t="inlineStr">
        <is>
          <t>Now</t>
        </is>
      </c>
      <c r="G35" s="98" t="inlineStr">
        <is>
          <t>Now</t>
        </is>
      </c>
      <c r="H35" s="98" t="n"/>
      <c r="I35" s="98" t="inlineStr">
        <is>
          <t>Not started</t>
        </is>
      </c>
      <c r="J35" s="98" t="n"/>
      <c r="K35" s="100" t="n"/>
    </row>
    <row r="36" ht="15" customHeight="1" s="70">
      <c r="A36" s="96" t="n">
        <v>32</v>
      </c>
      <c r="B36" s="97" t="inlineStr">
        <is>
          <t>1b. BNC Exhibition (end Oct)</t>
        </is>
      </c>
      <c r="C36" s="98" t="inlineStr">
        <is>
          <t>BNC Exhibition</t>
        </is>
      </c>
      <c r="D36" s="98" t="inlineStr">
        <is>
          <t>Get BNC logos, brand guidelines and exhibitor wording</t>
        </is>
      </c>
      <c r="E36" s="96" t="n">
        <v>1</v>
      </c>
      <c r="F36" s="99" t="inlineStr">
        <is>
          <t>Now</t>
        </is>
      </c>
      <c r="G36" s="98" t="inlineStr">
        <is>
          <t>Oct</t>
        </is>
      </c>
      <c r="H36" s="98" t="n"/>
      <c r="I36" s="98" t="inlineStr">
        <is>
          <t>Not started</t>
        </is>
      </c>
      <c r="J36" s="98" t="n"/>
      <c r="K36" s="100" t="n"/>
    </row>
    <row r="37" ht="15" customHeight="1" s="70">
      <c r="A37" s="96" t="n">
        <v>33</v>
      </c>
      <c r="B37" s="97" t="inlineStr">
        <is>
          <t>1b. BNC Exhibition (end Oct)</t>
        </is>
      </c>
      <c r="C37" s="98" t="inlineStr">
        <is>
          <t>BNC Exhibition</t>
        </is>
      </c>
      <c r="D37" s="98" t="inlineStr">
        <is>
          <t>Decide which brands we showcase and how – one Collective stand</t>
        </is>
      </c>
      <c r="E37" s="96" t="n">
        <v>1</v>
      </c>
      <c r="F37" s="99" t="inlineStr">
        <is>
          <t>Now</t>
        </is>
      </c>
      <c r="G37" s="98" t="inlineStr">
        <is>
          <t>Oct</t>
        </is>
      </c>
      <c r="H37" s="98" t="n"/>
      <c r="I37" s="98" t="inlineStr">
        <is>
          <t>Not started</t>
        </is>
      </c>
      <c r="J37" s="98" t="n"/>
      <c r="K37" s="100" t="n"/>
    </row>
    <row r="38" ht="15" customHeight="1" s="70">
      <c r="A38" s="96" t="n">
        <v>34</v>
      </c>
      <c r="B38" s="97" t="inlineStr">
        <is>
          <t>1b. BNC Exhibition (end Oct)</t>
        </is>
      </c>
      <c r="C38" s="98" t="inlineStr">
        <is>
          <t>BNC Exhibition</t>
        </is>
      </c>
      <c r="D38" s="98" t="inlineStr">
        <is>
          <t>Stand concept, styling and layout</t>
        </is>
      </c>
      <c r="E38" s="96" t="n">
        <v>1</v>
      </c>
      <c r="F38" s="101" t="inlineStr">
        <is>
          <t>Next</t>
        </is>
      </c>
      <c r="G38" s="98" t="inlineStr">
        <is>
          <t>Oct</t>
        </is>
      </c>
      <c r="H38" s="98" t="n"/>
      <c r="I38" s="98" t="inlineStr">
        <is>
          <t>Not started</t>
        </is>
      </c>
      <c r="J38" s="98" t="n"/>
      <c r="K38" s="100" t="n"/>
    </row>
    <row r="39" ht="15" customHeight="1" s="70">
      <c r="A39" s="96" t="n">
        <v>35</v>
      </c>
      <c r="B39" s="97" t="inlineStr">
        <is>
          <t>1b. BNC Exhibition (end Oct)</t>
        </is>
      </c>
      <c r="C39" s="98" t="inlineStr">
        <is>
          <t>BNC Exhibition</t>
        </is>
      </c>
      <c r="D39" s="98" t="inlineStr">
        <is>
          <t>Stand materials – banners, brochures, signage</t>
        </is>
      </c>
      <c r="E39" s="96" t="n">
        <v>1</v>
      </c>
      <c r="F39" s="101" t="inlineStr">
        <is>
          <t>Next</t>
        </is>
      </c>
      <c r="G39" s="98" t="inlineStr">
        <is>
          <t>Oct</t>
        </is>
      </c>
      <c r="H39" s="98" t="n"/>
      <c r="I39" s="98" t="inlineStr">
        <is>
          <t>Not started</t>
        </is>
      </c>
      <c r="J39" s="98" t="n"/>
      <c r="K39" s="100" t="n"/>
    </row>
    <row r="40" ht="15" customHeight="1" s="70">
      <c r="A40" s="96" t="n">
        <v>36</v>
      </c>
      <c r="B40" s="97" t="inlineStr">
        <is>
          <t>1b. BNC Exhibition (end Oct)</t>
        </is>
      </c>
      <c r="C40" s="98" t="inlineStr">
        <is>
          <t>BNC Exhibition</t>
        </is>
      </c>
      <c r="D40" s="98" t="inlineStr">
        <is>
          <t>Tasting, demo or experience on the stand</t>
        </is>
      </c>
      <c r="E40" s="96" t="n">
        <v>1</v>
      </c>
      <c r="F40" s="101" t="inlineStr">
        <is>
          <t>Next</t>
        </is>
      </c>
      <c r="G40" s="98" t="inlineStr">
        <is>
          <t>Oct</t>
        </is>
      </c>
      <c r="H40" s="98" t="n"/>
      <c r="I40" s="98" t="inlineStr">
        <is>
          <t>Not started</t>
        </is>
      </c>
      <c r="J40" s="98" t="n"/>
      <c r="K40" s="100" t="n"/>
    </row>
    <row r="41" ht="15" customHeight="1" s="70">
      <c r="A41" s="96" t="n">
        <v>37</v>
      </c>
      <c r="B41" s="97" t="inlineStr">
        <is>
          <t>1b. BNC Exhibition (end Oct)</t>
        </is>
      </c>
      <c r="C41" s="98" t="inlineStr">
        <is>
          <t>BNC Exhibition</t>
        </is>
      </c>
      <c r="D41" s="98" t="inlineStr">
        <is>
          <t>Staff rota for the stand</t>
        </is>
      </c>
      <c r="E41" s="96" t="n">
        <v>1</v>
      </c>
      <c r="F41" s="101" t="inlineStr">
        <is>
          <t>Next</t>
        </is>
      </c>
      <c r="G41" s="98" t="inlineStr">
        <is>
          <t>Oct</t>
        </is>
      </c>
      <c r="H41" s="98" t="n"/>
      <c r="I41" s="98" t="inlineStr">
        <is>
          <t>Not started</t>
        </is>
      </c>
      <c r="J41" s="98" t="n"/>
      <c r="K41" s="100" t="n"/>
    </row>
    <row r="42" ht="15" customHeight="1" s="70">
      <c r="A42" s="96" t="n">
        <v>38</v>
      </c>
      <c r="B42" s="97" t="inlineStr">
        <is>
          <t>1b. BNC Exhibition (end Oct)</t>
        </is>
      </c>
      <c r="C42" s="98" t="inlineStr">
        <is>
          <t>BNC Exhibition</t>
        </is>
      </c>
      <c r="D42" s="98" t="inlineStr">
        <is>
          <t>Promote our attendance through BNC's marketing channels</t>
        </is>
      </c>
      <c r="E42" s="96" t="n">
        <v>1</v>
      </c>
      <c r="F42" s="101" t="inlineStr">
        <is>
          <t>Next</t>
        </is>
      </c>
      <c r="G42" s="98" t="inlineStr">
        <is>
          <t>Oct</t>
        </is>
      </c>
      <c r="H42" s="98" t="n"/>
      <c r="I42" s="98" t="inlineStr">
        <is>
          <t>Not started</t>
        </is>
      </c>
      <c r="J42" s="98" t="n"/>
      <c r="K42" s="100" t="n"/>
    </row>
    <row r="43" ht="15" customHeight="1" s="70">
      <c r="A43" s="96" t="n">
        <v>39</v>
      </c>
      <c r="B43" s="97" t="inlineStr">
        <is>
          <t>1b. BNC Exhibition (end Oct)</t>
        </is>
      </c>
      <c r="C43" s="98" t="inlineStr">
        <is>
          <t>BNC Exhibition</t>
        </is>
      </c>
      <c r="D43" s="98" t="inlineStr">
        <is>
          <t>Promote our attendance on our own social media and mail shots</t>
        </is>
      </c>
      <c r="E43" s="96" t="n">
        <v>1</v>
      </c>
      <c r="F43" s="101" t="inlineStr">
        <is>
          <t>Next</t>
        </is>
      </c>
      <c r="G43" s="98" t="inlineStr">
        <is>
          <t>Oct</t>
        </is>
      </c>
      <c r="H43" s="98" t="n"/>
      <c r="I43" s="98" t="inlineStr">
        <is>
          <t>Not started</t>
        </is>
      </c>
      <c r="J43" s="98" t="n"/>
      <c r="K43" s="100" t="n"/>
    </row>
    <row r="44" ht="15" customHeight="1" s="70">
      <c r="A44" s="96" t="n">
        <v>40</v>
      </c>
      <c r="B44" s="97" t="inlineStr">
        <is>
          <t>1b. BNC Exhibition (end Oct)</t>
        </is>
      </c>
      <c r="C44" s="98" t="inlineStr">
        <is>
          <t>BNC Exhibition</t>
        </is>
      </c>
      <c r="D44" s="98" t="inlineStr">
        <is>
          <t>Lead capture on the day – contact details and enquiries</t>
        </is>
      </c>
      <c r="E44" s="96" t="n">
        <v>1</v>
      </c>
      <c r="F44" s="101" t="inlineStr">
        <is>
          <t>Next</t>
        </is>
      </c>
      <c r="G44" s="98" t="inlineStr">
        <is>
          <t>Event day</t>
        </is>
      </c>
      <c r="H44" s="98" t="n"/>
      <c r="I44" s="98" t="inlineStr">
        <is>
          <t>Not started</t>
        </is>
      </c>
      <c r="J44" s="98" t="n"/>
      <c r="K44" s="100" t="n"/>
    </row>
    <row r="45" ht="15" customHeight="1" s="70">
      <c r="A45" s="96" t="n">
        <v>41</v>
      </c>
      <c r="B45" s="97" t="inlineStr">
        <is>
          <t>1b. BNC Exhibition (end Oct)</t>
        </is>
      </c>
      <c r="C45" s="98" t="inlineStr">
        <is>
          <t>BNC Exhibition</t>
        </is>
      </c>
      <c r="D45" s="98" t="inlineStr">
        <is>
          <t>Photos and video on the day</t>
        </is>
      </c>
      <c r="E45" s="96" t="n">
        <v>1</v>
      </c>
      <c r="F45" s="101" t="inlineStr">
        <is>
          <t>Next</t>
        </is>
      </c>
      <c r="G45" s="98" t="inlineStr">
        <is>
          <t>Event day</t>
        </is>
      </c>
      <c r="H45" s="98" t="n"/>
      <c r="I45" s="98" t="inlineStr">
        <is>
          <t>Not started</t>
        </is>
      </c>
      <c r="J45" s="98" t="n"/>
      <c r="K45" s="100" t="n"/>
    </row>
    <row r="46" ht="15" customHeight="1" s="70">
      <c r="A46" s="96" t="n">
        <v>42</v>
      </c>
      <c r="B46" s="97" t="inlineStr">
        <is>
          <t>1b. BNC Exhibition (end Oct)</t>
        </is>
      </c>
      <c r="C46" s="98" t="inlineStr">
        <is>
          <t>BNC Exhibition</t>
        </is>
      </c>
      <c r="D46" s="98" t="inlineStr">
        <is>
          <t>Follow up every lead within a week</t>
        </is>
      </c>
      <c r="E46" s="96" t="n">
        <v>1</v>
      </c>
      <c r="F46" s="101" t="inlineStr">
        <is>
          <t>Next</t>
        </is>
      </c>
      <c r="G46" s="98" t="inlineStr">
        <is>
          <t>Early Nov</t>
        </is>
      </c>
      <c r="H46" s="98" t="n"/>
      <c r="I46" s="98" t="inlineStr">
        <is>
          <t>Not started</t>
        </is>
      </c>
      <c r="J46" s="98" t="n"/>
      <c r="K46" s="100" t="n"/>
    </row>
    <row r="47" ht="35.05" customHeight="1" s="70">
      <c r="A47" s="102" t="n">
        <v>43</v>
      </c>
      <c r="B47" s="103" t="inlineStr">
        <is>
          <t>1c. Venue Sourcing</t>
        </is>
      </c>
      <c r="C47" s="104" t="inlineStr">
        <is>
          <t>Venue Sourcing</t>
        </is>
      </c>
      <c r="D47" s="104" t="inlineStr">
        <is>
          <t>Brainstorm our point of difference – every caterer wants the venues, why us? (Cat, Jessica, Lois)</t>
        </is>
      </c>
      <c r="E47" s="102" t="n">
        <v>1</v>
      </c>
      <c r="F47" s="105" t="inlineStr">
        <is>
          <t>Now</t>
        </is>
      </c>
      <c r="G47" s="104" t="inlineStr">
        <is>
          <t>Now</t>
        </is>
      </c>
      <c r="H47" s="104" t="n"/>
      <c r="I47" s="104" t="inlineStr">
        <is>
          <t>Not started</t>
        </is>
      </c>
      <c r="J47" s="104" t="inlineStr">
        <is>
          <t>Whole Collective as one supplier: food, drink, styling, staffing, wellness, Latino</t>
        </is>
      </c>
      <c r="K47" s="106" t="n"/>
    </row>
    <row r="48" ht="15" customHeight="1" s="70">
      <c r="A48" s="102" t="n">
        <v>44</v>
      </c>
      <c r="B48" s="103" t="inlineStr">
        <is>
          <t>1c. Venue Sourcing</t>
        </is>
      </c>
      <c r="C48" s="104" t="inlineStr">
        <is>
          <t>Venue Sourcing</t>
        </is>
      </c>
      <c r="D48" s="104" t="inlineStr">
        <is>
          <t>Write the point of difference in one line, plus 3 proof points</t>
        </is>
      </c>
      <c r="E48" s="102" t="n">
        <v>1</v>
      </c>
      <c r="F48" s="105" t="inlineStr">
        <is>
          <t>Now</t>
        </is>
      </c>
      <c r="G48" s="104" t="inlineStr">
        <is>
          <t>Now</t>
        </is>
      </c>
      <c r="H48" s="104" t="n"/>
      <c r="I48" s="104" t="inlineStr">
        <is>
          <t>Not started</t>
        </is>
      </c>
      <c r="J48" s="104" t="n"/>
      <c r="K48" s="106" t="n"/>
    </row>
    <row r="49" ht="15" customHeight="1" s="70">
      <c r="A49" s="102" t="n">
        <v>45</v>
      </c>
      <c r="B49" s="103" t="inlineStr">
        <is>
          <t>1c. Venue Sourcing</t>
        </is>
      </c>
      <c r="C49" s="104" t="inlineStr">
        <is>
          <t>Venue Sourcing</t>
        </is>
      </c>
      <c r="D49" s="104" t="inlineStr">
        <is>
          <t>Build the target venue list – type, capacity, current caterer, contact</t>
        </is>
      </c>
      <c r="E49" s="102" t="n">
        <v>1</v>
      </c>
      <c r="F49" s="105" t="inlineStr">
        <is>
          <t>Now</t>
        </is>
      </c>
      <c r="G49" s="104" t="inlineStr">
        <is>
          <t>Now</t>
        </is>
      </c>
      <c r="H49" s="104" t="n"/>
      <c r="I49" s="104" t="inlineStr">
        <is>
          <t>Not started</t>
        </is>
      </c>
      <c r="J49" s="104" t="n"/>
      <c r="K49" s="106" t="n"/>
    </row>
    <row r="50" ht="15" customHeight="1" s="70">
      <c r="A50" s="102" t="n">
        <v>46</v>
      </c>
      <c r="B50" s="103" t="inlineStr">
        <is>
          <t>1c. Venue Sourcing</t>
        </is>
      </c>
      <c r="C50" s="104" t="inlineStr">
        <is>
          <t>Venue Sourcing</t>
        </is>
      </c>
      <c r="D50" s="104" t="inlineStr">
        <is>
          <t>Pick the top 20 venues to go after first</t>
        </is>
      </c>
      <c r="E50" s="102" t="n">
        <v>1</v>
      </c>
      <c r="F50" s="107" t="inlineStr">
        <is>
          <t>Next</t>
        </is>
      </c>
      <c r="G50" s="104" t="inlineStr">
        <is>
          <t>Oct</t>
        </is>
      </c>
      <c r="H50" s="104" t="n"/>
      <c r="I50" s="104" t="inlineStr">
        <is>
          <t>Not started</t>
        </is>
      </c>
      <c r="J50" s="104" t="n"/>
      <c r="K50" s="106" t="n"/>
    </row>
    <row r="51" ht="23.85" customHeight="1" s="70">
      <c r="A51" s="102" t="n">
        <v>47</v>
      </c>
      <c r="B51" s="103" t="inlineStr">
        <is>
          <t>1c. Venue Sourcing</t>
        </is>
      </c>
      <c r="C51" s="104" t="inlineStr">
        <is>
          <t>Venue Sourcing</t>
        </is>
      </c>
      <c r="D51" s="104" t="inlineStr">
        <is>
          <t>Find out how each venue picks suppliers – preferred supplier lists, tenders, commission</t>
        </is>
      </c>
      <c r="E51" s="102" t="n">
        <v>1</v>
      </c>
      <c r="F51" s="107" t="inlineStr">
        <is>
          <t>Next</t>
        </is>
      </c>
      <c r="G51" s="104" t="inlineStr">
        <is>
          <t>Oct</t>
        </is>
      </c>
      <c r="H51" s="104" t="n"/>
      <c r="I51" s="104" t="inlineStr">
        <is>
          <t>Not started</t>
        </is>
      </c>
      <c r="J51" s="104" t="n"/>
      <c r="K51" s="106" t="n"/>
    </row>
    <row r="52" ht="23.85" customHeight="1" s="70">
      <c r="A52" s="102" t="n">
        <v>48</v>
      </c>
      <c r="B52" s="103" t="inlineStr">
        <is>
          <t>1c. Venue Sourcing</t>
        </is>
      </c>
      <c r="C52" s="104" t="inlineStr">
        <is>
          <t>Venue Sourcing</t>
        </is>
      </c>
      <c r="D52" s="104" t="inlineStr">
        <is>
          <t>Christmas packages for venues</t>
        </is>
      </c>
      <c r="E52" s="102" t="n">
        <v>1</v>
      </c>
      <c r="F52" s="105" t="inlineStr">
        <is>
          <t>Now</t>
        </is>
      </c>
      <c r="G52" s="104" t="inlineStr">
        <is>
          <t>Now</t>
        </is>
      </c>
      <c r="H52" s="104" t="n"/>
      <c r="I52" s="104" t="inlineStr">
        <is>
          <t>Not started</t>
        </is>
      </c>
      <c r="J52" s="104" t="inlineStr">
        <is>
          <t>Link with PenniBlack Christmas packages</t>
        </is>
      </c>
      <c r="K52" s="106" t="n"/>
    </row>
    <row r="53" ht="15" customHeight="1" s="70">
      <c r="A53" s="102" t="n">
        <v>49</v>
      </c>
      <c r="B53" s="103" t="inlineStr">
        <is>
          <t>1c. Venue Sourcing</t>
        </is>
      </c>
      <c r="C53" s="104" t="inlineStr">
        <is>
          <t>Venue Sourcing</t>
        </is>
      </c>
      <c r="D53" s="104" t="inlineStr">
        <is>
          <t>Supper club packages</t>
        </is>
      </c>
      <c r="E53" s="102" t="n">
        <v>1</v>
      </c>
      <c r="F53" s="107" t="inlineStr">
        <is>
          <t>Next</t>
        </is>
      </c>
      <c r="G53" s="104" t="inlineStr">
        <is>
          <t>Oct</t>
        </is>
      </c>
      <c r="H53" s="104" t="n"/>
      <c r="I53" s="104" t="inlineStr">
        <is>
          <t>Not started</t>
        </is>
      </c>
      <c r="J53" s="104" t="n"/>
      <c r="K53" s="106" t="n"/>
    </row>
    <row r="54" ht="15" customHeight="1" s="70">
      <c r="A54" s="102" t="n">
        <v>50</v>
      </c>
      <c r="B54" s="103" t="inlineStr">
        <is>
          <t>1c. Venue Sourcing</t>
        </is>
      </c>
      <c r="C54" s="104" t="inlineStr">
        <is>
          <t>Venue Sourcing</t>
        </is>
      </c>
      <c r="D54" s="104" t="inlineStr">
        <is>
          <t>Other packages – corporate, launches, wellness days, Latino nights</t>
        </is>
      </c>
      <c r="E54" s="102" t="n">
        <v>1</v>
      </c>
      <c r="F54" s="107" t="inlineStr">
        <is>
          <t>Next</t>
        </is>
      </c>
      <c r="G54" s="104" t="inlineStr">
        <is>
          <t>Oct–Nov</t>
        </is>
      </c>
      <c r="H54" s="104" t="n"/>
      <c r="I54" s="104" t="inlineStr">
        <is>
          <t>Not started</t>
        </is>
      </c>
      <c r="J54" s="104" t="n"/>
      <c r="K54" s="106" t="n"/>
    </row>
    <row r="55" ht="15" customHeight="1" s="70">
      <c r="A55" s="102" t="n">
        <v>51</v>
      </c>
      <c r="B55" s="103" t="inlineStr">
        <is>
          <t>1c. Venue Sourcing</t>
        </is>
      </c>
      <c r="C55" s="104" t="inlineStr">
        <is>
          <t>Venue Sourcing</t>
        </is>
      </c>
      <c r="D55" s="104" t="inlineStr">
        <is>
          <t>Venue brochure / supplier pack</t>
        </is>
      </c>
      <c r="E55" s="102" t="n">
        <v>1</v>
      </c>
      <c r="F55" s="107" t="inlineStr">
        <is>
          <t>Next</t>
        </is>
      </c>
      <c r="G55" s="104" t="inlineStr">
        <is>
          <t>Oct</t>
        </is>
      </c>
      <c r="H55" s="104" t="n"/>
      <c r="I55" s="104" t="inlineStr">
        <is>
          <t>Not started</t>
        </is>
      </c>
      <c r="J55" s="104" t="n"/>
      <c r="K55" s="106" t="n"/>
    </row>
    <row r="56" ht="23.85" customHeight="1" s="70">
      <c r="A56" s="102" t="n">
        <v>52</v>
      </c>
      <c r="B56" s="103" t="inlineStr">
        <is>
          <t>1c. Venue Sourcing</t>
        </is>
      </c>
      <c r="C56" s="104" t="inlineStr">
        <is>
          <t>Venue Sourcing</t>
        </is>
      </c>
      <c r="D56" s="104" t="inlineStr">
        <is>
          <t>Case studies to show venues</t>
        </is>
      </c>
      <c r="E56" s="102" t="n">
        <v>1</v>
      </c>
      <c r="F56" s="107" t="inlineStr">
        <is>
          <t>Next</t>
        </is>
      </c>
      <c r="G56" s="104" t="inlineStr">
        <is>
          <t>Oct–Nov</t>
        </is>
      </c>
      <c r="H56" s="104" t="n"/>
      <c r="I56" s="104" t="inlineStr">
        <is>
          <t>Not started</t>
        </is>
      </c>
      <c r="J56" s="104" t="inlineStr">
        <is>
          <t>Use Free Spirit at Menier as the model</t>
        </is>
      </c>
      <c r="K56" s="106" t="n"/>
    </row>
    <row r="57" ht="15" customHeight="1" s="70">
      <c r="A57" s="102" t="n">
        <v>53</v>
      </c>
      <c r="B57" s="103" t="inlineStr">
        <is>
          <t>1c. Venue Sourcing</t>
        </is>
      </c>
      <c r="C57" s="104" t="inlineStr">
        <is>
          <t>Venue Sourcing</t>
        </is>
      </c>
      <c r="D57" s="104" t="inlineStr">
        <is>
          <t>Outreach plan – email, call, visit</t>
        </is>
      </c>
      <c r="E57" s="102" t="n">
        <v>1</v>
      </c>
      <c r="F57" s="107" t="inlineStr">
        <is>
          <t>Next</t>
        </is>
      </c>
      <c r="G57" s="104" t="inlineStr">
        <is>
          <t>Oct</t>
        </is>
      </c>
      <c r="H57" s="104" t="n"/>
      <c r="I57" s="104" t="inlineStr">
        <is>
          <t>Not started</t>
        </is>
      </c>
      <c r="J57" s="104" t="n"/>
      <c r="K57" s="106" t="n"/>
    </row>
    <row r="58" ht="15" customHeight="1" s="70">
      <c r="A58" s="102" t="n">
        <v>54</v>
      </c>
      <c r="B58" s="103" t="inlineStr">
        <is>
          <t>1c. Venue Sourcing</t>
        </is>
      </c>
      <c r="C58" s="104" t="inlineStr">
        <is>
          <t>Venue Sourcing</t>
        </is>
      </c>
      <c r="D58" s="104" t="inlineStr">
        <is>
          <t>Invite venue managers to a tasting or showcase</t>
        </is>
      </c>
      <c r="E58" s="102" t="n">
        <v>1</v>
      </c>
      <c r="F58" s="107" t="inlineStr">
        <is>
          <t>Next</t>
        </is>
      </c>
      <c r="G58" s="104" t="inlineStr">
        <is>
          <t>Oct–Nov</t>
        </is>
      </c>
      <c r="H58" s="104" t="n"/>
      <c r="I58" s="104" t="inlineStr">
        <is>
          <t>Not started</t>
        </is>
      </c>
      <c r="J58" s="104" t="n"/>
      <c r="K58" s="106" t="n"/>
    </row>
    <row r="59" ht="15" customHeight="1" s="70">
      <c r="A59" s="102" t="n">
        <v>55</v>
      </c>
      <c r="B59" s="103" t="inlineStr">
        <is>
          <t>1c. Venue Sourcing</t>
        </is>
      </c>
      <c r="C59" s="104" t="inlineStr">
        <is>
          <t>Venue Sourcing</t>
        </is>
      </c>
      <c r="D59" s="104" t="inlineStr">
        <is>
          <t>Venue pipeline board in Monday – contacted, meeting, trial, on supplier list</t>
        </is>
      </c>
      <c r="E59" s="102" t="n">
        <v>1</v>
      </c>
      <c r="F59" s="105" t="inlineStr">
        <is>
          <t>Now</t>
        </is>
      </c>
      <c r="G59" s="104" t="inlineStr">
        <is>
          <t>Mon 5 Oct</t>
        </is>
      </c>
      <c r="H59" s="104" t="n"/>
      <c r="I59" s="104" t="inlineStr">
        <is>
          <t>Not started</t>
        </is>
      </c>
      <c r="J59" s="104" t="inlineStr">
        <is>
          <t>Ask Yahya</t>
        </is>
      </c>
      <c r="K59" s="106" t="n">
        <v>46300</v>
      </c>
    </row>
    <row r="60" ht="15" customHeight="1" s="70">
      <c r="A60" s="102" t="n">
        <v>56</v>
      </c>
      <c r="B60" s="103" t="inlineStr">
        <is>
          <t>1c. Venue Sourcing</t>
        </is>
      </c>
      <c r="C60" s="104" t="inlineStr">
        <is>
          <t>Venue Sourcing</t>
        </is>
      </c>
      <c r="D60" s="104" t="inlineStr">
        <is>
          <t>Follow up and get onto preferred supplier lists</t>
        </is>
      </c>
      <c r="E60" s="102" t="n">
        <v>1</v>
      </c>
      <c r="F60" s="107" t="inlineStr">
        <is>
          <t>Next</t>
        </is>
      </c>
      <c r="G60" s="104" t="inlineStr">
        <is>
          <t>Nov–Dec</t>
        </is>
      </c>
      <c r="H60" s="104" t="n"/>
      <c r="I60" s="104" t="inlineStr">
        <is>
          <t>Not started</t>
        </is>
      </c>
      <c r="J60" s="104" t="n"/>
      <c r="K60" s="106" t="n"/>
    </row>
    <row r="61" ht="23.85" customHeight="1" s="70">
      <c r="A61" s="108" t="n">
        <v>57</v>
      </c>
      <c r="B61" s="109" t="inlineStr">
        <is>
          <t>2. PenniBlack Catering &amp; Events</t>
        </is>
      </c>
      <c r="C61" s="110" t="inlineStr">
        <is>
          <t>Christmas</t>
        </is>
      </c>
      <c r="D61" s="110" t="inlineStr">
        <is>
          <t>Christmas campaign to existing followers – social posts</t>
        </is>
      </c>
      <c r="E61" s="108" t="n">
        <v>1</v>
      </c>
      <c r="F61" s="111" t="inlineStr">
        <is>
          <t>Now</t>
        </is>
      </c>
      <c r="G61" s="110" t="inlineStr">
        <is>
          <t>Oct–Dec</t>
        </is>
      </c>
      <c r="H61" s="110" t="n"/>
      <c r="I61" s="110" t="inlineStr">
        <is>
          <t>Not started</t>
        </is>
      </c>
      <c r="J61" s="110" t="inlineStr">
        <is>
          <t>Big follower base – use it</t>
        </is>
      </c>
      <c r="K61" s="112" t="n"/>
    </row>
    <row r="62" ht="23.85" customHeight="1" s="70">
      <c r="A62" s="108" t="n">
        <v>58</v>
      </c>
      <c r="B62" s="109" t="inlineStr">
        <is>
          <t>2. PenniBlack Catering &amp; Events</t>
        </is>
      </c>
      <c r="C62" s="110" t="inlineStr">
        <is>
          <t>Christmas</t>
        </is>
      </c>
      <c r="D62" s="110" t="inlineStr">
        <is>
          <t>Christmas mail shot to past clients and followers</t>
        </is>
      </c>
      <c r="E62" s="108" t="n">
        <v>1</v>
      </c>
      <c r="F62" s="113" t="inlineStr">
        <is>
          <t>Next</t>
        </is>
      </c>
      <c r="G62" s="110" t="inlineStr">
        <is>
          <t>Oct</t>
        </is>
      </c>
      <c r="H62" s="110" t="n"/>
      <c r="I62" s="110" t="inlineStr">
        <is>
          <t>Not started</t>
        </is>
      </c>
      <c r="J62" s="110" t="n"/>
      <c r="K62" s="112" t="n"/>
    </row>
    <row r="63" ht="23.85" customHeight="1" s="70">
      <c r="A63" s="108" t="n">
        <v>59</v>
      </c>
      <c r="B63" s="109" t="inlineStr">
        <is>
          <t>2. PenniBlack Catering &amp; Events</t>
        </is>
      </c>
      <c r="C63" s="110" t="inlineStr">
        <is>
          <t>Christmas</t>
        </is>
      </c>
      <c r="D63" s="110" t="inlineStr">
        <is>
          <t>Christmas packages with 'from £' prices</t>
        </is>
      </c>
      <c r="E63" s="108" t="n">
        <v>1</v>
      </c>
      <c r="F63" s="111" t="inlineStr">
        <is>
          <t>Now</t>
        </is>
      </c>
      <c r="G63" s="110" t="inlineStr">
        <is>
          <t>Oct</t>
        </is>
      </c>
      <c r="H63" s="110" t="n"/>
      <c r="I63" s="110" t="inlineStr">
        <is>
          <t>Not started</t>
        </is>
      </c>
      <c r="J63" s="110" t="n"/>
      <c r="K63" s="112" t="n"/>
    </row>
    <row r="64" ht="23.85" customHeight="1" s="70">
      <c r="A64" s="108" t="n">
        <v>60</v>
      </c>
      <c r="B64" s="109" t="inlineStr">
        <is>
          <t>2. PenniBlack Catering &amp; Events</t>
        </is>
      </c>
      <c r="C64" s="110" t="inlineStr">
        <is>
          <t>Christmas</t>
        </is>
      </c>
      <c r="D64" s="110" t="inlineStr">
        <is>
          <t>Christmas brochure</t>
        </is>
      </c>
      <c r="E64" s="108" t="n">
        <v>1</v>
      </c>
      <c r="F64" s="113" t="inlineStr">
        <is>
          <t>Next</t>
        </is>
      </c>
      <c r="G64" s="110" t="inlineStr">
        <is>
          <t>Oct</t>
        </is>
      </c>
      <c r="H64" s="110" t="n"/>
      <c r="I64" s="110" t="inlineStr">
        <is>
          <t>Not started</t>
        </is>
      </c>
      <c r="J64" s="110" t="n"/>
      <c r="K64" s="112" t="n"/>
    </row>
    <row r="65" ht="23.85" customHeight="1" s="70">
      <c r="A65" s="108" t="n">
        <v>61</v>
      </c>
      <c r="B65" s="109" t="inlineStr">
        <is>
          <t>2. PenniBlack Catering &amp; Events</t>
        </is>
      </c>
      <c r="C65" s="110" t="inlineStr">
        <is>
          <t>Christmas</t>
        </is>
      </c>
      <c r="D65" s="110" t="inlineStr">
        <is>
          <t>Fast follow-up on Christmas enquiries and quotes</t>
        </is>
      </c>
      <c r="E65" s="108" t="n">
        <v>1</v>
      </c>
      <c r="F65" s="113" t="inlineStr">
        <is>
          <t>Next</t>
        </is>
      </c>
      <c r="G65" s="110" t="inlineStr">
        <is>
          <t>Oct–Dec</t>
        </is>
      </c>
      <c r="H65" s="110" t="n"/>
      <c r="I65" s="110" t="inlineStr">
        <is>
          <t>Not started</t>
        </is>
      </c>
      <c r="J65" s="110" t="inlineStr">
        <is>
          <t>Danelle + Ana</t>
        </is>
      </c>
      <c r="K65" s="112" t="n"/>
    </row>
    <row r="66" ht="23.85" customHeight="1" s="70">
      <c r="A66" s="108" t="n">
        <v>62</v>
      </c>
      <c r="B66" s="109" t="inlineStr">
        <is>
          <t>2. PenniBlack Catering &amp; Events</t>
        </is>
      </c>
      <c r="C66" s="110" t="inlineStr">
        <is>
          <t>Brand activations</t>
        </is>
      </c>
      <c r="D66" s="110" t="inlineStr">
        <is>
          <t>Gather photos and case studies from past brand activations</t>
        </is>
      </c>
      <c r="E66" s="108" t="n">
        <v>1</v>
      </c>
      <c r="F66" s="113" t="inlineStr">
        <is>
          <t>Next</t>
        </is>
      </c>
      <c r="G66" s="110" t="inlineStr">
        <is>
          <t>Oct</t>
        </is>
      </c>
      <c r="H66" s="110" t="n"/>
      <c r="I66" s="110" t="inlineStr">
        <is>
          <t>Not started</t>
        </is>
      </c>
      <c r="J66" s="110" t="n"/>
      <c r="K66" s="112" t="n"/>
    </row>
    <row r="67" ht="23.85" customHeight="1" s="70">
      <c r="A67" s="108" t="n">
        <v>63</v>
      </c>
      <c r="B67" s="109" t="inlineStr">
        <is>
          <t>2. PenniBlack Catering &amp; Events</t>
        </is>
      </c>
      <c r="C67" s="110" t="inlineStr">
        <is>
          <t>Brand activations</t>
        </is>
      </c>
      <c r="D67" s="110" t="inlineStr">
        <is>
          <t>Brand activation pitch – 'we bring your brand to life'</t>
        </is>
      </c>
      <c r="E67" s="108" t="n">
        <v>1</v>
      </c>
      <c r="F67" s="113" t="inlineStr">
        <is>
          <t>Next</t>
        </is>
      </c>
      <c r="G67" s="110" t="inlineStr">
        <is>
          <t>Oct</t>
        </is>
      </c>
      <c r="H67" s="110" t="n"/>
      <c r="I67" s="110" t="inlineStr">
        <is>
          <t>Not started</t>
        </is>
      </c>
      <c r="J67" s="110" t="n"/>
      <c r="K67" s="112" t="n"/>
    </row>
    <row r="68" ht="23.85" customHeight="1" s="70">
      <c r="A68" s="108" t="n">
        <v>64</v>
      </c>
      <c r="B68" s="109" t="inlineStr">
        <is>
          <t>2. PenniBlack Catering &amp; Events</t>
        </is>
      </c>
      <c r="C68" s="110" t="inlineStr">
        <is>
          <t>Brand activations</t>
        </is>
      </c>
      <c r="D68" s="110" t="inlineStr">
        <is>
          <t>Target list of companies to pitch</t>
        </is>
      </c>
      <c r="E68" s="108" t="n">
        <v>1</v>
      </c>
      <c r="F68" s="113" t="inlineStr">
        <is>
          <t>Next</t>
        </is>
      </c>
      <c r="G68" s="110" t="inlineStr">
        <is>
          <t>Oct</t>
        </is>
      </c>
      <c r="H68" s="110" t="n"/>
      <c r="I68" s="110" t="inlineStr">
        <is>
          <t>Not started</t>
        </is>
      </c>
      <c r="J68" s="110" t="n"/>
      <c r="K68" s="112" t="n"/>
    </row>
    <row r="69" ht="23.85" customHeight="1" s="70">
      <c r="A69" s="108" t="n">
        <v>65</v>
      </c>
      <c r="B69" s="109" t="inlineStr">
        <is>
          <t>2. PenniBlack Catering &amp; Events</t>
        </is>
      </c>
      <c r="C69" s="110" t="inlineStr">
        <is>
          <t>Brand activations</t>
        </is>
      </c>
      <c r="D69" s="110" t="inlineStr">
        <is>
          <t>Outreach and book meetings with target companies</t>
        </is>
      </c>
      <c r="E69" s="108" t="n">
        <v>1</v>
      </c>
      <c r="F69" s="113" t="inlineStr">
        <is>
          <t>Next</t>
        </is>
      </c>
      <c r="G69" s="110" t="inlineStr">
        <is>
          <t>Oct–Nov</t>
        </is>
      </c>
      <c r="H69" s="110" t="n"/>
      <c r="I69" s="110" t="inlineStr">
        <is>
          <t>Not started</t>
        </is>
      </c>
      <c r="J69" s="110" t="n"/>
      <c r="K69" s="112" t="n"/>
    </row>
    <row r="70" ht="23.85" customHeight="1" s="70">
      <c r="A70" s="108" t="n">
        <v>66</v>
      </c>
      <c r="B70" s="109" t="inlineStr">
        <is>
          <t>2. PenniBlack Catering &amp; Events</t>
        </is>
      </c>
      <c r="C70" s="110" t="inlineStr">
        <is>
          <t>Harvest Moon</t>
        </is>
      </c>
      <c r="D70" s="110" t="inlineStr">
        <is>
          <t>Write up Harvest Moon as the flagship concept example – photos, story, menu</t>
        </is>
      </c>
      <c r="E70" s="108" t="n">
        <v>1</v>
      </c>
      <c r="F70" s="113" t="inlineStr">
        <is>
          <t>Next</t>
        </is>
      </c>
      <c r="G70" s="110" t="inlineStr">
        <is>
          <t>Oct</t>
        </is>
      </c>
      <c r="H70" s="110" t="n"/>
      <c r="I70" s="110" t="inlineStr">
        <is>
          <t>Not started</t>
        </is>
      </c>
      <c r="J70" s="110" t="n"/>
      <c r="K70" s="112" t="n"/>
    </row>
    <row r="71" ht="23.85" customHeight="1" s="70">
      <c r="A71" s="108" t="n">
        <v>67</v>
      </c>
      <c r="B71" s="109" t="inlineStr">
        <is>
          <t>2. PenniBlack Catering &amp; Events</t>
        </is>
      </c>
      <c r="C71" s="110" t="inlineStr">
        <is>
          <t>Harvest Moon</t>
        </is>
      </c>
      <c r="D71" s="110" t="inlineStr">
        <is>
          <t>Develop more concepts in the same style for pitches</t>
        </is>
      </c>
      <c r="E71" s="108" t="n">
        <v>2</v>
      </c>
      <c r="F71" s="114" t="inlineStr">
        <is>
          <t>Later</t>
        </is>
      </c>
      <c r="G71" s="110" t="inlineStr">
        <is>
          <t>Nov–Jan</t>
        </is>
      </c>
      <c r="H71" s="110" t="n"/>
      <c r="I71" s="110" t="inlineStr">
        <is>
          <t>Not started</t>
        </is>
      </c>
      <c r="J71" s="110" t="n"/>
      <c r="K71" s="112" t="n"/>
    </row>
    <row r="72" ht="23.85" customHeight="1" s="70">
      <c r="A72" s="115" t="n">
        <v>68</v>
      </c>
      <c r="B72" s="116" t="inlineStr">
        <is>
          <t>3. Free Spirit Wellness</t>
        </is>
      </c>
      <c r="C72" s="117" t="inlineStr">
        <is>
          <t>Showcase event</t>
        </is>
      </c>
      <c r="D72" s="117" t="inlineStr">
        <is>
          <t>Chase Momoko (Menier Venues) to confirm the date – push hard, nothing can be booked until it's set</t>
        </is>
      </c>
      <c r="E72" s="115" t="n">
        <v>1</v>
      </c>
      <c r="F72" s="118" t="inlineStr">
        <is>
          <t>Now</t>
        </is>
      </c>
      <c r="G72" s="117" t="inlineStr">
        <is>
          <t>Now</t>
        </is>
      </c>
      <c r="H72" s="117" t="n"/>
      <c r="I72" s="117" t="inlineStr">
        <is>
          <t>Not started</t>
        </is>
      </c>
      <c r="J72" s="117" t="inlineStr">
        <is>
          <t>Hoping for Wed 21 Oct</t>
        </is>
      </c>
      <c r="K72" s="119" t="n"/>
    </row>
    <row r="73" ht="23.85" customHeight="1" s="70">
      <c r="A73" s="115" t="n">
        <v>69</v>
      </c>
      <c r="B73" s="116" t="inlineStr">
        <is>
          <t>3. Free Spirit Wellness</t>
        </is>
      </c>
      <c r="C73" s="117" t="inlineStr">
        <is>
          <t>Showcase event</t>
        </is>
      </c>
      <c r="D73" s="117" t="inlineStr">
        <is>
          <t>Confirm which Menier team members are coming and agree the run of show</t>
        </is>
      </c>
      <c r="E73" s="115" t="n">
        <v>1</v>
      </c>
      <c r="F73" s="118" t="inlineStr">
        <is>
          <t>Now</t>
        </is>
      </c>
      <c r="G73" s="117" t="inlineStr">
        <is>
          <t>Once date set</t>
        </is>
      </c>
      <c r="H73" s="117" t="n"/>
      <c r="I73" s="117" t="inlineStr">
        <is>
          <t>Not started</t>
        </is>
      </c>
      <c r="J73" s="117" t="inlineStr">
        <is>
          <t>Purpose: the Menier team try it and review it</t>
        </is>
      </c>
      <c r="K73" s="119" t="n"/>
    </row>
    <row r="74" ht="15" customHeight="1" s="70">
      <c r="A74" s="115" t="n">
        <v>70</v>
      </c>
      <c r="B74" s="116" t="inlineStr">
        <is>
          <t>3. Free Spirit Wellness</t>
        </is>
      </c>
      <c r="C74" s="117" t="inlineStr">
        <is>
          <t>Showcase event</t>
        </is>
      </c>
      <c r="D74" s="117" t="inlineStr">
        <is>
          <t>Book workshop hosts – Ayurvedic scrubs, yoga, self-defence</t>
        </is>
      </c>
      <c r="E74" s="115" t="n">
        <v>1</v>
      </c>
      <c r="F74" s="118" t="inlineStr">
        <is>
          <t>Now</t>
        </is>
      </c>
      <c r="G74" s="117" t="inlineStr">
        <is>
          <t>Once date set</t>
        </is>
      </c>
      <c r="H74" s="117" t="n"/>
      <c r="I74" s="117" t="inlineStr">
        <is>
          <t>Not started</t>
        </is>
      </c>
      <c r="J74" s="117" t="inlineStr">
        <is>
          <t>Waiting on date</t>
        </is>
      </c>
      <c r="K74" s="119" t="n"/>
    </row>
    <row r="75" ht="15" customHeight="1" s="70">
      <c r="A75" s="115" t="n">
        <v>71</v>
      </c>
      <c r="B75" s="116" t="inlineStr">
        <is>
          <t>3. Free Spirit Wellness</t>
        </is>
      </c>
      <c r="C75" s="117" t="inlineStr">
        <is>
          <t>Showcase event</t>
        </is>
      </c>
      <c r="D75" s="117" t="inlineStr">
        <is>
          <t>Plan the food and menu</t>
        </is>
      </c>
      <c r="E75" s="115" t="n">
        <v>1</v>
      </c>
      <c r="F75" s="120" t="inlineStr">
        <is>
          <t>Next</t>
        </is>
      </c>
      <c r="G75" s="117" t="inlineStr">
        <is>
          <t>Oct</t>
        </is>
      </c>
      <c r="H75" s="117" t="n"/>
      <c r="I75" s="117" t="inlineStr">
        <is>
          <t>Not started</t>
        </is>
      </c>
      <c r="J75" s="117" t="n"/>
      <c r="K75" s="119" t="n"/>
    </row>
    <row r="76" ht="15" customHeight="1" s="70">
      <c r="A76" s="115" t="n">
        <v>72</v>
      </c>
      <c r="B76" s="116" t="inlineStr">
        <is>
          <t>3. Free Spirit Wellness</t>
        </is>
      </c>
      <c r="C76" s="117" t="inlineStr">
        <is>
          <t>Showcase event</t>
        </is>
      </c>
      <c r="D76" s="117" t="inlineStr">
        <is>
          <t>Create a luxury concept and styling – every touchpoint high-end</t>
        </is>
      </c>
      <c r="E76" s="115" t="n">
        <v>1</v>
      </c>
      <c r="F76" s="120" t="inlineStr">
        <is>
          <t>Next</t>
        </is>
      </c>
      <c r="G76" s="117" t="inlineStr">
        <is>
          <t>Oct</t>
        </is>
      </c>
      <c r="H76" s="117" t="n"/>
      <c r="I76" s="117" t="inlineStr">
        <is>
          <t>Not started</t>
        </is>
      </c>
      <c r="J76" s="117" t="inlineStr">
        <is>
          <t>Luxury experience is the brief</t>
        </is>
      </c>
      <c r="K76" s="119" t="n"/>
    </row>
    <row r="77" ht="23.85" customHeight="1" s="70">
      <c r="A77" s="115" t="n">
        <v>73</v>
      </c>
      <c r="B77" s="116" t="inlineStr">
        <is>
          <t>3. Free Spirit Wellness</t>
        </is>
      </c>
      <c r="C77" s="117" t="inlineStr">
        <is>
          <t>Showcase event</t>
        </is>
      </c>
      <c r="D77" s="117" t="inlineStr">
        <is>
          <t>Videographer and photographer brief and shot list – film the whole experience</t>
        </is>
      </c>
      <c r="E77" s="115" t="n">
        <v>1</v>
      </c>
      <c r="F77" s="120" t="inlineStr">
        <is>
          <t>Next</t>
        </is>
      </c>
      <c r="G77" s="117" t="inlineStr">
        <is>
          <t>Oct</t>
        </is>
      </c>
      <c r="H77" s="117" t="n"/>
      <c r="I77" s="117" t="inlineStr">
        <is>
          <t>Not started</t>
        </is>
      </c>
      <c r="J77" s="117" t="n"/>
      <c r="K77" s="119" t="n"/>
    </row>
    <row r="78" ht="15" customHeight="1" s="70">
      <c r="A78" s="115" t="n">
        <v>74</v>
      </c>
      <c r="B78" s="116" t="inlineStr">
        <is>
          <t>3. Free Spirit Wellness</t>
        </is>
      </c>
      <c r="C78" s="117" t="inlineStr">
        <is>
          <t>Showcase event</t>
        </is>
      </c>
      <c r="D78" s="117" t="inlineStr">
        <is>
          <t>Capture video testimonials and written reviews from the Menier team</t>
        </is>
      </c>
      <c r="E78" s="115" t="n">
        <v>1</v>
      </c>
      <c r="F78" s="120" t="inlineStr">
        <is>
          <t>Next</t>
        </is>
      </c>
      <c r="G78" s="117" t="inlineStr">
        <is>
          <t>Event day</t>
        </is>
      </c>
      <c r="H78" s="117" t="n"/>
      <c r="I78" s="117" t="inlineStr">
        <is>
          <t>Not started</t>
        </is>
      </c>
      <c r="J78" s="117" t="n"/>
      <c r="K78" s="119" t="n"/>
    </row>
    <row r="79" ht="15" customHeight="1" s="70">
      <c r="A79" s="115" t="n">
        <v>75</v>
      </c>
      <c r="B79" s="116" t="inlineStr">
        <is>
          <t>3. Free Spirit Wellness</t>
        </is>
      </c>
      <c r="C79" s="117" t="inlineStr">
        <is>
          <t>After the event</t>
        </is>
      </c>
      <c r="D79" s="117" t="inlineStr">
        <is>
          <t>Write the case study</t>
        </is>
      </c>
      <c r="E79" s="115" t="n">
        <v>1</v>
      </c>
      <c r="F79" s="120" t="inlineStr">
        <is>
          <t>Next</t>
        </is>
      </c>
      <c r="G79" s="117" t="inlineStr">
        <is>
          <t>After event</t>
        </is>
      </c>
      <c r="H79" s="117" t="n"/>
      <c r="I79" s="117" t="inlineStr">
        <is>
          <t>Not started</t>
        </is>
      </c>
      <c r="J79" s="117" t="n"/>
      <c r="K79" s="119" t="n"/>
    </row>
    <row r="80" ht="15" customHeight="1" s="70">
      <c r="A80" s="115" t="n">
        <v>76</v>
      </c>
      <c r="B80" s="116" t="inlineStr">
        <is>
          <t>3. Free Spirit Wellness</t>
        </is>
      </c>
      <c r="C80" s="117" t="inlineStr">
        <is>
          <t>After the event</t>
        </is>
      </c>
      <c r="D80" s="117" t="inlineStr">
        <is>
          <t>Marketing campaign to venues showing what we can do</t>
        </is>
      </c>
      <c r="E80" s="115" t="n">
        <v>1</v>
      </c>
      <c r="F80" s="120" t="inlineStr">
        <is>
          <t>Next</t>
        </is>
      </c>
      <c r="G80" s="117" t="inlineStr">
        <is>
          <t>After event</t>
        </is>
      </c>
      <c r="H80" s="117" t="n"/>
      <c r="I80" s="117" t="inlineStr">
        <is>
          <t>Not started</t>
        </is>
      </c>
      <c r="J80" s="117" t="n"/>
      <c r="K80" s="119" t="n"/>
    </row>
    <row r="81" ht="15" customHeight="1" s="70">
      <c r="A81" s="115" t="n">
        <v>77</v>
      </c>
      <c r="B81" s="116" t="inlineStr">
        <is>
          <t>3. Free Spirit Wellness</t>
        </is>
      </c>
      <c r="C81" s="117" t="inlineStr">
        <is>
          <t>After the event</t>
        </is>
      </c>
      <c r="D81" s="117" t="inlineStr">
        <is>
          <t>Free Spirit brochure / venue pack</t>
        </is>
      </c>
      <c r="E81" s="115" t="n">
        <v>1</v>
      </c>
      <c r="F81" s="120" t="inlineStr">
        <is>
          <t>Next</t>
        </is>
      </c>
      <c r="G81" s="117" t="inlineStr">
        <is>
          <t>After event</t>
        </is>
      </c>
      <c r="H81" s="117" t="n"/>
      <c r="I81" s="117" t="inlineStr">
        <is>
          <t>Not started</t>
        </is>
      </c>
      <c r="J81" s="117" t="n"/>
      <c r="K81" s="119" t="n"/>
    </row>
    <row r="82" ht="15" customHeight="1" s="70">
      <c r="A82" s="115" t="n">
        <v>78</v>
      </c>
      <c r="B82" s="116" t="inlineStr">
        <is>
          <t>3. Free Spirit Wellness</t>
        </is>
      </c>
      <c r="C82" s="117" t="inlineStr">
        <is>
          <t>After the event</t>
        </is>
      </c>
      <c r="D82" s="117" t="inlineStr">
        <is>
          <t>Add case study and gallery to website</t>
        </is>
      </c>
      <c r="E82" s="115" t="n">
        <v>2</v>
      </c>
      <c r="F82" s="121" t="inlineStr">
        <is>
          <t>Later</t>
        </is>
      </c>
      <c r="G82" s="117" t="inlineStr">
        <is>
          <t>Nov</t>
        </is>
      </c>
      <c r="H82" s="117" t="n"/>
      <c r="I82" s="117" t="inlineStr">
        <is>
          <t>Not started</t>
        </is>
      </c>
      <c r="J82" s="117" t="n"/>
      <c r="K82" s="119" t="n"/>
    </row>
    <row r="83" ht="15" customHeight="1" s="70">
      <c r="A83" s="115" t="n">
        <v>79</v>
      </c>
      <c r="B83" s="116" t="inlineStr">
        <is>
          <t>3. Free Spirit Wellness</t>
        </is>
      </c>
      <c r="C83" s="117" t="inlineStr">
        <is>
          <t>Research</t>
        </is>
      </c>
      <c r="D83" s="117" t="inlineStr">
        <is>
          <t>Research what's trending in the wellness industry</t>
        </is>
      </c>
      <c r="E83" s="115" t="n">
        <v>2</v>
      </c>
      <c r="F83" s="121" t="inlineStr">
        <is>
          <t>Later</t>
        </is>
      </c>
      <c r="G83" s="117" t="inlineStr">
        <is>
          <t>Nov</t>
        </is>
      </c>
      <c r="H83" s="117" t="n"/>
      <c r="I83" s="117" t="inlineStr">
        <is>
          <t>Not started</t>
        </is>
      </c>
      <c r="J83" s="117" t="n"/>
      <c r="K83" s="119" t="n"/>
    </row>
    <row r="84" ht="23.85" customHeight="1" s="70">
      <c r="A84" s="122" t="n">
        <v>80</v>
      </c>
      <c r="B84" s="123" t="inlineStr">
        <is>
          <t>4. Pichi</t>
        </is>
      </c>
      <c r="C84" s="124" t="inlineStr">
        <is>
          <t>Launch follow-up</t>
        </is>
      </c>
      <c r="D84" s="124" t="inlineStr">
        <is>
          <t>Send Momoko (Menier Venues) the full attendee list from the Pichi launch</t>
        </is>
      </c>
      <c r="E84" s="122" t="n">
        <v>1</v>
      </c>
      <c r="F84" s="125" t="inlineStr">
        <is>
          <t>Now</t>
        </is>
      </c>
      <c r="G84" s="124" t="inlineStr">
        <is>
          <t>Mon 5 Oct</t>
        </is>
      </c>
      <c r="H84" s="124" t="n"/>
      <c r="I84" s="124" t="inlineStr">
        <is>
          <t>Not started</t>
        </is>
      </c>
      <c r="J84" s="124" t="inlineStr">
        <is>
          <t>Promised in Charlotte's email of 1 Oct – Cat</t>
        </is>
      </c>
      <c r="K84" s="126" t="n">
        <v>46300</v>
      </c>
    </row>
    <row r="85" ht="15" customHeight="1" s="70">
      <c r="A85" s="122" t="n">
        <v>81</v>
      </c>
      <c r="B85" s="123" t="inlineStr">
        <is>
          <t>4. Pichi</t>
        </is>
      </c>
      <c r="C85" s="124" t="inlineStr">
        <is>
          <t>Launch follow-up</t>
        </is>
      </c>
      <c r="D85" s="124" t="inlineStr">
        <is>
          <t>Use launch photos and videos for a case study and social posts</t>
        </is>
      </c>
      <c r="E85" s="122" t="n">
        <v>1</v>
      </c>
      <c r="F85" s="127" t="inlineStr">
        <is>
          <t>Next</t>
        </is>
      </c>
      <c r="G85" s="124" t="inlineStr">
        <is>
          <t>Oct</t>
        </is>
      </c>
      <c r="H85" s="124" t="n"/>
      <c r="I85" s="124" t="inlineStr">
        <is>
          <t>Not started</t>
        </is>
      </c>
      <c r="J85" s="124" t="inlineStr">
        <is>
          <t>Quick win</t>
        </is>
      </c>
      <c r="K85" s="126" t="n"/>
    </row>
    <row r="86" ht="15" customHeight="1" s="70">
      <c r="A86" s="122" t="n">
        <v>82</v>
      </c>
      <c r="B86" s="123" t="inlineStr">
        <is>
          <t>4. Pichi</t>
        </is>
      </c>
      <c r="C86" s="124" t="inlineStr">
        <is>
          <t>Vision</t>
        </is>
      </c>
      <c r="D86" s="124" t="inlineStr">
        <is>
          <t>Brainstorm sessions with Steph, Raquel and Ana</t>
        </is>
      </c>
      <c r="E86" s="122" t="n">
        <v>2</v>
      </c>
      <c r="F86" s="128" t="inlineStr">
        <is>
          <t>Later</t>
        </is>
      </c>
      <c r="G86" s="124" t="inlineStr">
        <is>
          <t>Oct–Nov</t>
        </is>
      </c>
      <c r="H86" s="124" t="n"/>
      <c r="I86" s="124" t="inlineStr">
        <is>
          <t>Not started</t>
        </is>
      </c>
      <c r="J86" s="124" t="n"/>
      <c r="K86" s="126" t="n"/>
    </row>
    <row r="87" ht="15" customHeight="1" s="70">
      <c r="A87" s="122" t="n">
        <v>83</v>
      </c>
      <c r="B87" s="123" t="inlineStr">
        <is>
          <t>4. Pichi</t>
        </is>
      </c>
      <c r="C87" s="124" t="inlineStr">
        <is>
          <t>Vision</t>
        </is>
      </c>
      <c r="D87" s="124" t="inlineStr">
        <is>
          <t>Define the Pichi vision – music, food, energy, Zumba, all of Latino culture</t>
        </is>
      </c>
      <c r="E87" s="122" t="n">
        <v>2</v>
      </c>
      <c r="F87" s="128" t="inlineStr">
        <is>
          <t>Later</t>
        </is>
      </c>
      <c r="G87" s="124" t="inlineStr">
        <is>
          <t>Nov</t>
        </is>
      </c>
      <c r="H87" s="124" t="n"/>
      <c r="I87" s="124" t="inlineStr">
        <is>
          <t>Not started</t>
        </is>
      </c>
      <c r="J87" s="124" t="n"/>
      <c r="K87" s="126" t="n"/>
    </row>
    <row r="88" ht="15" customHeight="1" s="70">
      <c r="A88" s="122" t="n">
        <v>84</v>
      </c>
      <c r="B88" s="123" t="inlineStr">
        <is>
          <t>4. Pichi</t>
        </is>
      </c>
      <c r="C88" s="124" t="inlineStr">
        <is>
          <t>Website</t>
        </is>
      </c>
      <c r="D88" s="124" t="inlineStr">
        <is>
          <t>Plan the website structure</t>
        </is>
      </c>
      <c r="E88" s="122" t="n">
        <v>2</v>
      </c>
      <c r="F88" s="128" t="inlineStr">
        <is>
          <t>Later</t>
        </is>
      </c>
      <c r="G88" s="124" t="inlineStr">
        <is>
          <t>Nov</t>
        </is>
      </c>
      <c r="H88" s="124" t="n"/>
      <c r="I88" s="124" t="inlineStr">
        <is>
          <t>Not started</t>
        </is>
      </c>
      <c r="J88" s="124" t="n"/>
      <c r="K88" s="126" t="n"/>
    </row>
    <row r="89" ht="15" customHeight="1" s="70">
      <c r="A89" s="122" t="n">
        <v>85</v>
      </c>
      <c r="B89" s="123" t="inlineStr">
        <is>
          <t>4. Pichi</t>
        </is>
      </c>
      <c r="C89" s="124" t="inlineStr">
        <is>
          <t>Website</t>
        </is>
      </c>
      <c r="D89" s="124" t="inlineStr">
        <is>
          <t>Write all website wording</t>
        </is>
      </c>
      <c r="E89" s="122" t="n">
        <v>2</v>
      </c>
      <c r="F89" s="128" t="inlineStr">
        <is>
          <t>Later</t>
        </is>
      </c>
      <c r="G89" s="124" t="inlineStr">
        <is>
          <t>Nov–Dec</t>
        </is>
      </c>
      <c r="H89" s="124" t="n"/>
      <c r="I89" s="124" t="inlineStr">
        <is>
          <t>Not started</t>
        </is>
      </c>
      <c r="J89" s="124" t="n"/>
      <c r="K89" s="126" t="n"/>
    </row>
    <row r="90" ht="15" customHeight="1" s="70">
      <c r="A90" s="122" t="n">
        <v>86</v>
      </c>
      <c r="B90" s="123" t="inlineStr">
        <is>
          <t>4. Pichi</t>
        </is>
      </c>
      <c r="C90" s="124" t="inlineStr">
        <is>
          <t>Website</t>
        </is>
      </c>
      <c r="D90" s="124" t="inlineStr">
        <is>
          <t>Build and launch the website</t>
        </is>
      </c>
      <c r="E90" s="122" t="n">
        <v>2</v>
      </c>
      <c r="F90" s="128" t="inlineStr">
        <is>
          <t>Later</t>
        </is>
      </c>
      <c r="G90" s="124" t="inlineStr">
        <is>
          <t>Dec–Jan</t>
        </is>
      </c>
      <c r="H90" s="124" t="n"/>
      <c r="I90" s="124" t="inlineStr">
        <is>
          <t>Not started</t>
        </is>
      </c>
      <c r="J90" s="124" t="n"/>
      <c r="K90" s="126" t="n"/>
    </row>
    <row r="91" ht="15" customHeight="1" s="70">
      <c r="A91" s="122" t="n">
        <v>87</v>
      </c>
      <c r="B91" s="123" t="inlineStr">
        <is>
          <t>4. Pichi</t>
        </is>
      </c>
      <c r="C91" s="124" t="inlineStr">
        <is>
          <t>Marketing</t>
        </is>
      </c>
      <c r="D91" s="124" t="inlineStr">
        <is>
          <t>Pichi marketing materials – brochure and social templates</t>
        </is>
      </c>
      <c r="E91" s="122" t="n">
        <v>2</v>
      </c>
      <c r="F91" s="128" t="inlineStr">
        <is>
          <t>Later</t>
        </is>
      </c>
      <c r="G91" s="124" t="inlineStr">
        <is>
          <t>Nov</t>
        </is>
      </c>
      <c r="H91" s="124" t="n"/>
      <c r="I91" s="124" t="inlineStr">
        <is>
          <t>Not started</t>
        </is>
      </c>
      <c r="J91" s="124" t="n"/>
      <c r="K91" s="126" t="n"/>
    </row>
    <row r="92" ht="15" customHeight="1" s="70">
      <c r="A92" s="122" t="n">
        <v>88</v>
      </c>
      <c r="B92" s="123" t="inlineStr">
        <is>
          <t>4. Pichi</t>
        </is>
      </c>
      <c r="C92" s="124" t="inlineStr">
        <is>
          <t>Marketing</t>
        </is>
      </c>
      <c r="D92" s="124" t="inlineStr">
        <is>
          <t>Pichi social media pages and content</t>
        </is>
      </c>
      <c r="E92" s="122" t="n">
        <v>2</v>
      </c>
      <c r="F92" s="128" t="inlineStr">
        <is>
          <t>Later</t>
        </is>
      </c>
      <c r="G92" s="124" t="inlineStr">
        <is>
          <t>Nov</t>
        </is>
      </c>
      <c r="H92" s="124" t="n"/>
      <c r="I92" s="124" t="inlineStr">
        <is>
          <t>Not started</t>
        </is>
      </c>
      <c r="J92" s="124" t="n"/>
      <c r="K92" s="126" t="n"/>
    </row>
    <row r="93" ht="15" customHeight="1" s="70">
      <c r="A93" s="129" t="n">
        <v>89</v>
      </c>
      <c r="B93" s="130" t="inlineStr">
        <is>
          <t>5. Raquel's Staffing &amp; Bar</t>
        </is>
      </c>
      <c r="C93" s="131" t="inlineStr">
        <is>
          <t>Marketing plan</t>
        </is>
      </c>
      <c r="D93" s="131" t="inlineStr">
        <is>
          <t>Marketing plan built on 'we make people look cool'</t>
        </is>
      </c>
      <c r="E93" s="129" t="n">
        <v>1</v>
      </c>
      <c r="F93" s="132" t="inlineStr">
        <is>
          <t>Next</t>
        </is>
      </c>
      <c r="G93" s="131" t="inlineStr">
        <is>
          <t>Oct</t>
        </is>
      </c>
      <c r="H93" s="131" t="n"/>
      <c r="I93" s="131" t="inlineStr">
        <is>
          <t>Not started</t>
        </is>
      </c>
      <c r="J93" s="131" t="n"/>
      <c r="K93" s="133" t="n"/>
    </row>
    <row r="94" ht="15" customHeight="1" s="70">
      <c r="A94" s="129" t="n">
        <v>90</v>
      </c>
      <c r="B94" s="130" t="inlineStr">
        <is>
          <t>5. Raquel's Staffing &amp; Bar</t>
        </is>
      </c>
      <c r="C94" s="131" t="inlineStr">
        <is>
          <t>Showcase</t>
        </is>
      </c>
      <c r="D94" s="131" t="inlineStr">
        <is>
          <t>Photoshoot of the regular team – the great faces and attitude</t>
        </is>
      </c>
      <c r="E94" s="129" t="n">
        <v>1</v>
      </c>
      <c r="F94" s="132" t="inlineStr">
        <is>
          <t>Next</t>
        </is>
      </c>
      <c r="G94" s="131" t="inlineStr">
        <is>
          <t>Oct</t>
        </is>
      </c>
      <c r="H94" s="131" t="n"/>
      <c r="I94" s="131" t="inlineStr">
        <is>
          <t>Not started</t>
        </is>
      </c>
      <c r="J94" s="131" t="n"/>
      <c r="K94" s="133" t="n"/>
    </row>
    <row r="95" ht="15" customHeight="1" s="70">
      <c r="A95" s="129" t="n">
        <v>91</v>
      </c>
      <c r="B95" s="130" t="inlineStr">
        <is>
          <t>5. Raquel's Staffing &amp; Bar</t>
        </is>
      </c>
      <c r="C95" s="131" t="inlineStr">
        <is>
          <t>Showcase</t>
        </is>
      </c>
      <c r="D95" s="131" t="inlineStr">
        <is>
          <t>Team profiles and social posts featuring the staff</t>
        </is>
      </c>
      <c r="E95" s="129" t="n">
        <v>1</v>
      </c>
      <c r="F95" s="132" t="inlineStr">
        <is>
          <t>Next</t>
        </is>
      </c>
      <c r="G95" s="131" t="inlineStr">
        <is>
          <t>Oct–Dec</t>
        </is>
      </c>
      <c r="H95" s="131" t="n"/>
      <c r="I95" s="131" t="inlineStr">
        <is>
          <t>Not started</t>
        </is>
      </c>
      <c r="J95" s="131" t="n"/>
      <c r="K95" s="133" t="n"/>
    </row>
    <row r="96" ht="15" customHeight="1" s="70">
      <c r="A96" s="129" t="n">
        <v>92</v>
      </c>
      <c r="B96" s="130" t="inlineStr">
        <is>
          <t>5. Raquel's Staffing &amp; Bar</t>
        </is>
      </c>
      <c r="C96" s="131" t="inlineStr">
        <is>
          <t>Sales</t>
        </is>
      </c>
      <c r="D96" s="131" t="inlineStr">
        <is>
          <t>Staffing brochure for venues and agencies</t>
        </is>
      </c>
      <c r="E96" s="129" t="n">
        <v>1</v>
      </c>
      <c r="F96" s="132" t="inlineStr">
        <is>
          <t>Next</t>
        </is>
      </c>
      <c r="G96" s="131" t="inlineStr">
        <is>
          <t>Oct</t>
        </is>
      </c>
      <c r="H96" s="131" t="n"/>
      <c r="I96" s="131" t="inlineStr">
        <is>
          <t>Not started</t>
        </is>
      </c>
      <c r="J96" s="131" t="n"/>
      <c r="K96" s="133" t="n"/>
    </row>
    <row r="97" ht="15" customHeight="1" s="70">
      <c r="A97" s="129" t="n">
        <v>93</v>
      </c>
      <c r="B97" s="130" t="inlineStr">
        <is>
          <t>5. Raquel's Staffing &amp; Bar</t>
        </is>
      </c>
      <c r="C97" s="131" t="inlineStr">
        <is>
          <t>Sales</t>
        </is>
      </c>
      <c r="D97" s="131" t="inlineStr">
        <is>
          <t>Target list of venues, agencies and event companies</t>
        </is>
      </c>
      <c r="E97" s="129" t="n">
        <v>1</v>
      </c>
      <c r="F97" s="132" t="inlineStr">
        <is>
          <t>Next</t>
        </is>
      </c>
      <c r="G97" s="131" t="inlineStr">
        <is>
          <t>Oct</t>
        </is>
      </c>
      <c r="H97" s="131" t="n"/>
      <c r="I97" s="131" t="inlineStr">
        <is>
          <t>Not started</t>
        </is>
      </c>
      <c r="J97" s="131" t="n"/>
      <c r="K97" s="133" t="n"/>
    </row>
    <row r="98" ht="15" customHeight="1" s="70">
      <c r="A98" s="129" t="n">
        <v>94</v>
      </c>
      <c r="B98" s="130" t="inlineStr">
        <is>
          <t>5. Raquel's Staffing &amp; Bar</t>
        </is>
      </c>
      <c r="C98" s="131" t="inlineStr">
        <is>
          <t>Sales</t>
        </is>
      </c>
      <c r="D98" s="131" t="inlineStr">
        <is>
          <t>Christmas staffing push to venues</t>
        </is>
      </c>
      <c r="E98" s="129" t="n">
        <v>1</v>
      </c>
      <c r="F98" s="132" t="inlineStr">
        <is>
          <t>Next</t>
        </is>
      </c>
      <c r="G98" s="131" t="inlineStr">
        <is>
          <t>Oct–Nov</t>
        </is>
      </c>
      <c r="H98" s="131" t="n"/>
      <c r="I98" s="131" t="inlineStr">
        <is>
          <t>Not started</t>
        </is>
      </c>
      <c r="J98" s="131" t="n"/>
      <c r="K98" s="133" t="n"/>
    </row>
    <row r="99" ht="15" customHeight="1" s="70">
      <c r="A99" s="129" t="n">
        <v>95</v>
      </c>
      <c r="B99" s="130" t="inlineStr">
        <is>
          <t>5. Raquel's Staffing &amp; Bar</t>
        </is>
      </c>
      <c r="C99" s="131" t="inlineStr">
        <is>
          <t>Sales</t>
        </is>
      </c>
      <c r="D99" s="131" t="inlineStr">
        <is>
          <t>Collect client reviews</t>
        </is>
      </c>
      <c r="E99" s="129" t="n">
        <v>1</v>
      </c>
      <c r="F99" s="132" t="inlineStr">
        <is>
          <t>Next</t>
        </is>
      </c>
      <c r="G99" s="131" t="inlineStr">
        <is>
          <t>Ongoing</t>
        </is>
      </c>
      <c r="H99" s="131" t="n"/>
      <c r="I99" s="131" t="inlineStr">
        <is>
          <t>Not started</t>
        </is>
      </c>
      <c r="J99" s="131" t="n"/>
      <c r="K99" s="133" t="n"/>
    </row>
    <row r="100" ht="15" customHeight="1" s="70">
      <c r="A100" s="134" t="n">
        <v>96</v>
      </c>
      <c r="B100" s="135" t="inlineStr">
        <is>
          <t>6. VENN Productions</t>
        </is>
      </c>
      <c r="C100" s="136" t="inlineStr">
        <is>
          <t>Content</t>
        </is>
      </c>
      <c r="D100" s="136" t="inlineStr">
        <is>
          <t>Gather photos and videos of past VENN work</t>
        </is>
      </c>
      <c r="E100" s="134" t="n">
        <v>2</v>
      </c>
      <c r="F100" s="137" t="inlineStr">
        <is>
          <t>Later</t>
        </is>
      </c>
      <c r="G100" s="136" t="inlineStr">
        <is>
          <t>Nov</t>
        </is>
      </c>
      <c r="H100" s="136" t="n"/>
      <c r="I100" s="136" t="inlineStr">
        <is>
          <t>Not started</t>
        </is>
      </c>
      <c r="J100" s="136" t="n"/>
      <c r="K100" s="138" t="n"/>
    </row>
    <row r="101" ht="15" customHeight="1" s="70">
      <c r="A101" s="134" t="n">
        <v>97</v>
      </c>
      <c r="B101" s="135" t="inlineStr">
        <is>
          <t>6. VENN Productions</t>
        </is>
      </c>
      <c r="C101" s="136" t="inlineStr">
        <is>
          <t>Content</t>
        </is>
      </c>
      <c r="D101" s="136" t="inlineStr">
        <is>
          <t>Content showcasing Jess and Dave's eye and styling ideas</t>
        </is>
      </c>
      <c r="E101" s="134" t="n">
        <v>2</v>
      </c>
      <c r="F101" s="137" t="inlineStr">
        <is>
          <t>Later</t>
        </is>
      </c>
      <c r="G101" s="136" t="inlineStr">
        <is>
          <t>Nov–Dec</t>
        </is>
      </c>
      <c r="H101" s="136" t="n"/>
      <c r="I101" s="136" t="inlineStr">
        <is>
          <t>Not started</t>
        </is>
      </c>
      <c r="J101" s="136" t="n"/>
      <c r="K101" s="138" t="n"/>
    </row>
    <row r="102" ht="15" customHeight="1" s="70">
      <c r="A102" s="134" t="n">
        <v>98</v>
      </c>
      <c r="B102" s="135" t="inlineStr">
        <is>
          <t>6. VENN Productions</t>
        </is>
      </c>
      <c r="C102" s="136" t="inlineStr">
        <is>
          <t>Content</t>
        </is>
      </c>
      <c r="D102" s="136" t="inlineStr">
        <is>
          <t>VENN case studies</t>
        </is>
      </c>
      <c r="E102" s="134" t="n">
        <v>2</v>
      </c>
      <c r="F102" s="137" t="inlineStr">
        <is>
          <t>Later</t>
        </is>
      </c>
      <c r="G102" s="136" t="inlineStr">
        <is>
          <t>Nov–Dec</t>
        </is>
      </c>
      <c r="H102" s="136" t="n"/>
      <c r="I102" s="136" t="inlineStr">
        <is>
          <t>Not started</t>
        </is>
      </c>
      <c r="J102" s="136" t="n"/>
      <c r="K102" s="138" t="n"/>
    </row>
    <row r="103" ht="15" customHeight="1" s="70">
      <c r="A103" s="134" t="n">
        <v>99</v>
      </c>
      <c r="B103" s="135" t="inlineStr">
        <is>
          <t>6. VENN Productions</t>
        </is>
      </c>
      <c r="C103" s="136" t="inlineStr">
        <is>
          <t>Sales</t>
        </is>
      </c>
      <c r="D103" s="136" t="inlineStr">
        <is>
          <t>VENN brochure</t>
        </is>
      </c>
      <c r="E103" s="134" t="n">
        <v>2</v>
      </c>
      <c r="F103" s="137" t="inlineStr">
        <is>
          <t>Later</t>
        </is>
      </c>
      <c r="G103" s="136" t="inlineStr">
        <is>
          <t>Dec</t>
        </is>
      </c>
      <c r="H103" s="136" t="n"/>
      <c r="I103" s="136" t="inlineStr">
        <is>
          <t>Not started</t>
        </is>
      </c>
      <c r="J103" s="136" t="n"/>
      <c r="K103" s="138" t="n"/>
    </row>
    <row r="104" ht="15" customHeight="1" s="70">
      <c r="A104" s="139" t="n">
        <v>100</v>
      </c>
      <c r="B104" s="140" t="inlineStr">
        <is>
          <t>7. Be-Zing (Kids + Youth)</t>
        </is>
      </c>
      <c r="C104" s="141" t="inlineStr">
        <is>
          <t>Be-Zing Kids</t>
        </is>
      </c>
      <c r="D104" s="141" t="inlineStr">
        <is>
          <t>Kids: marketing plan – its own plan, targets and audience (schools)</t>
        </is>
      </c>
      <c r="E104" s="139" t="n">
        <v>1</v>
      </c>
      <c r="F104" s="142" t="inlineStr">
        <is>
          <t>Next</t>
        </is>
      </c>
      <c r="G104" s="141" t="inlineStr">
        <is>
          <t>Oct</t>
        </is>
      </c>
      <c r="H104" s="141" t="n"/>
      <c r="I104" s="141" t="inlineStr">
        <is>
          <t>Not started</t>
        </is>
      </c>
      <c r="J104" s="141" t="inlineStr">
        <is>
          <t>Separate from Youth</t>
        </is>
      </c>
      <c r="K104" s="143" t="n"/>
    </row>
    <row r="105" ht="15" customHeight="1" s="70">
      <c r="A105" s="139" t="n">
        <v>101</v>
      </c>
      <c r="B105" s="140" t="inlineStr">
        <is>
          <t>7. Be-Zing (Kids + Youth)</t>
        </is>
      </c>
      <c r="C105" s="141" t="inlineStr">
        <is>
          <t>Be-Zing Kids</t>
        </is>
      </c>
      <c r="D105" s="141" t="inlineStr">
        <is>
          <t>Kids: bring the wellness wheel to life – content explaining each part</t>
        </is>
      </c>
      <c r="E105" s="139" t="n">
        <v>1</v>
      </c>
      <c r="F105" s="142" t="inlineStr">
        <is>
          <t>Next</t>
        </is>
      </c>
      <c r="G105" s="141" t="inlineStr">
        <is>
          <t>Oct–Nov</t>
        </is>
      </c>
      <c r="H105" s="141" t="n"/>
      <c r="I105" s="141" t="inlineStr">
        <is>
          <t>Not started</t>
        </is>
      </c>
      <c r="J105" s="141" t="n"/>
      <c r="K105" s="143" t="n"/>
    </row>
    <row r="106" ht="15" customHeight="1" s="70">
      <c r="A106" s="139" t="n">
        <v>102</v>
      </c>
      <c r="B106" s="140" t="inlineStr">
        <is>
          <t>7. Be-Zing (Kids + Youth)</t>
        </is>
      </c>
      <c r="C106" s="141" t="inlineStr">
        <is>
          <t>Be-Zing Kids</t>
        </is>
      </c>
      <c r="D106" s="141" t="inlineStr">
        <is>
          <t>Kids: introduce Be-Zing Kids to schools – intro pack / email</t>
        </is>
      </c>
      <c r="E106" s="139" t="n">
        <v>1</v>
      </c>
      <c r="F106" s="142" t="inlineStr">
        <is>
          <t>Next</t>
        </is>
      </c>
      <c r="G106" s="141" t="inlineStr">
        <is>
          <t>Oct–Nov</t>
        </is>
      </c>
      <c r="H106" s="141" t="n"/>
      <c r="I106" s="141" t="inlineStr">
        <is>
          <t>Not started</t>
        </is>
      </c>
      <c r="J106" s="141" t="n"/>
      <c r="K106" s="143" t="n"/>
    </row>
    <row r="107" ht="15" customHeight="1" s="70">
      <c r="A107" s="139" t="n">
        <v>103</v>
      </c>
      <c r="B107" s="140" t="inlineStr">
        <is>
          <t>7. Be-Zing (Kids + Youth)</t>
        </is>
      </c>
      <c r="C107" s="141" t="inlineStr">
        <is>
          <t>Be-Zing Kids</t>
        </is>
      </c>
      <c r="D107" s="141" t="inlineStr">
        <is>
          <t>Kids: build a schools contact list</t>
        </is>
      </c>
      <c r="E107" s="139" t="n">
        <v>1</v>
      </c>
      <c r="F107" s="142" t="inlineStr">
        <is>
          <t>Next</t>
        </is>
      </c>
      <c r="G107" s="141" t="inlineStr">
        <is>
          <t>Oct</t>
        </is>
      </c>
      <c r="H107" s="141" t="n"/>
      <c r="I107" s="141" t="inlineStr">
        <is>
          <t>Not started</t>
        </is>
      </c>
      <c r="J107" s="141" t="n"/>
      <c r="K107" s="143" t="n"/>
    </row>
    <row r="108" ht="15" customHeight="1" s="70">
      <c r="A108" s="139" t="n">
        <v>104</v>
      </c>
      <c r="B108" s="140" t="inlineStr">
        <is>
          <t>7. Be-Zing (Kids + Youth)</t>
        </is>
      </c>
      <c r="C108" s="141" t="inlineStr">
        <is>
          <t>Be-Zing Kids</t>
        </is>
      </c>
      <c r="D108" s="141" t="inlineStr">
        <is>
          <t>Kids: Christmas ideas for schools</t>
        </is>
      </c>
      <c r="E108" s="139" t="n">
        <v>1</v>
      </c>
      <c r="F108" s="142" t="inlineStr">
        <is>
          <t>Next</t>
        </is>
      </c>
      <c r="G108" s="141" t="inlineStr">
        <is>
          <t>Oct</t>
        </is>
      </c>
      <c r="H108" s="141" t="n"/>
      <c r="I108" s="141" t="inlineStr">
        <is>
          <t>Not started</t>
        </is>
      </c>
      <c r="J108" s="141" t="n"/>
      <c r="K108" s="143" t="n"/>
    </row>
    <row r="109" ht="15" customHeight="1" s="70">
      <c r="A109" s="139" t="n">
        <v>105</v>
      </c>
      <c r="B109" s="140" t="inlineStr">
        <is>
          <t>7. Be-Zing (Kids + Youth)</t>
        </is>
      </c>
      <c r="C109" s="141" t="inlineStr">
        <is>
          <t>Be-Zing Kids</t>
        </is>
      </c>
      <c r="D109" s="141" t="inlineStr">
        <is>
          <t>Kids: design the end-of-year competition – theme, rules, prizes</t>
        </is>
      </c>
      <c r="E109" s="139" t="n">
        <v>1</v>
      </c>
      <c r="F109" s="142" t="inlineStr">
        <is>
          <t>Next</t>
        </is>
      </c>
      <c r="G109" s="141" t="inlineStr">
        <is>
          <t>Oct–Nov</t>
        </is>
      </c>
      <c r="H109" s="141" t="n"/>
      <c r="I109" s="141" t="inlineStr">
        <is>
          <t>Not started</t>
        </is>
      </c>
      <c r="J109" s="141" t="n"/>
      <c r="K109" s="143" t="n"/>
    </row>
    <row r="110" ht="15" customHeight="1" s="70">
      <c r="A110" s="139" t="n">
        <v>106</v>
      </c>
      <c r="B110" s="140" t="inlineStr">
        <is>
          <t>7. Be-Zing (Kids + Youth)</t>
        </is>
      </c>
      <c r="C110" s="141" t="inlineStr">
        <is>
          <t>Be-Zing Kids</t>
        </is>
      </c>
      <c r="D110" s="141" t="inlineStr">
        <is>
          <t>Kids: launch the competition to schools by January</t>
        </is>
      </c>
      <c r="E110" s="139" t="n">
        <v>1</v>
      </c>
      <c r="F110" s="142" t="inlineStr">
        <is>
          <t>Next</t>
        </is>
      </c>
      <c r="G110" s="141" t="inlineStr">
        <is>
          <t>By Jan</t>
        </is>
      </c>
      <c r="H110" s="141" t="n"/>
      <c r="I110" s="141" t="inlineStr">
        <is>
          <t>Not started</t>
        </is>
      </c>
      <c r="J110" s="141" t="n"/>
      <c r="K110" s="143" t="n"/>
    </row>
    <row r="111" ht="15" customHeight="1" s="70">
      <c r="A111" s="139" t="n">
        <v>107</v>
      </c>
      <c r="B111" s="140" t="inlineStr">
        <is>
          <t>7. Be-Zing (Kids + Youth)</t>
        </is>
      </c>
      <c r="C111" s="141" t="inlineStr">
        <is>
          <t>Be-Zing Kids</t>
        </is>
      </c>
      <c r="D111" s="141" t="inlineStr">
        <is>
          <t>Kids: plan the award ceremony with the wellness wheel animals</t>
        </is>
      </c>
      <c r="E111" s="139" t="n">
        <v>2</v>
      </c>
      <c r="F111" s="144" t="inlineStr">
        <is>
          <t>Later</t>
        </is>
      </c>
      <c r="G111" s="141" t="inlineStr">
        <is>
          <t>Jan</t>
        </is>
      </c>
      <c r="H111" s="141" t="n"/>
      <c r="I111" s="141" t="inlineStr">
        <is>
          <t>Not started</t>
        </is>
      </c>
      <c r="J111" s="141" t="inlineStr">
        <is>
          <t>Check details with Charlotte</t>
        </is>
      </c>
      <c r="K111" s="143" t="n"/>
    </row>
    <row r="112" ht="15" customHeight="1" s="70">
      <c r="A112" s="139" t="n">
        <v>108</v>
      </c>
      <c r="B112" s="140" t="inlineStr">
        <is>
          <t>7. Be-Zing (Kids + Youth)</t>
        </is>
      </c>
      <c r="C112" s="141" t="inlineStr">
        <is>
          <t>Be-Zing Kids</t>
        </is>
      </c>
      <c r="D112" s="141" t="inlineStr">
        <is>
          <t>Kids: back-to-school ideas for next term</t>
        </is>
      </c>
      <c r="E112" s="139" t="n">
        <v>2</v>
      </c>
      <c r="F112" s="144" t="inlineStr">
        <is>
          <t>Later</t>
        </is>
      </c>
      <c r="G112" s="141" t="inlineStr">
        <is>
          <t>Dec</t>
        </is>
      </c>
      <c r="H112" s="141" t="n"/>
      <c r="I112" s="141" t="inlineStr">
        <is>
          <t>Not started</t>
        </is>
      </c>
      <c r="J112" s="141" t="n"/>
      <c r="K112" s="143" t="n"/>
    </row>
    <row r="113" ht="15" customHeight="1" s="70">
      <c r="A113" s="139" t="n">
        <v>109</v>
      </c>
      <c r="B113" s="140" t="inlineStr">
        <is>
          <t>7. Be-Zing (Kids + Youth)</t>
        </is>
      </c>
      <c r="C113" s="141" t="inlineStr">
        <is>
          <t>Be-Zing Kids</t>
        </is>
      </c>
      <c r="D113" s="141" t="inlineStr">
        <is>
          <t>Kids: mail shots to schools</t>
        </is>
      </c>
      <c r="E113" s="139" t="n">
        <v>1</v>
      </c>
      <c r="F113" s="142" t="inlineStr">
        <is>
          <t>Next</t>
        </is>
      </c>
      <c r="G113" s="141" t="inlineStr">
        <is>
          <t>Nov–Jan</t>
        </is>
      </c>
      <c r="H113" s="141" t="n"/>
      <c r="I113" s="141" t="inlineStr">
        <is>
          <t>Not started</t>
        </is>
      </c>
      <c r="J113" s="141" t="n"/>
      <c r="K113" s="143" t="n"/>
    </row>
    <row r="114" ht="15" customHeight="1" s="70">
      <c r="A114" s="139" t="n">
        <v>110</v>
      </c>
      <c r="B114" s="140" t="inlineStr">
        <is>
          <t>7. Be-Zing (Kids + Youth)</t>
        </is>
      </c>
      <c r="C114" s="141" t="inlineStr">
        <is>
          <t>Be-Zing Kids</t>
        </is>
      </c>
      <c r="D114" s="141" t="inlineStr">
        <is>
          <t>Kids: social media pages and content</t>
        </is>
      </c>
      <c r="E114" s="139" t="n">
        <v>2</v>
      </c>
      <c r="F114" s="144" t="inlineStr">
        <is>
          <t>Later</t>
        </is>
      </c>
      <c r="G114" s="141" t="inlineStr">
        <is>
          <t>Nov</t>
        </is>
      </c>
      <c r="H114" s="141" t="n"/>
      <c r="I114" s="141" t="inlineStr">
        <is>
          <t>Not started</t>
        </is>
      </c>
      <c r="J114" s="141" t="n"/>
      <c r="K114" s="143" t="n"/>
    </row>
    <row r="115" ht="15" customHeight="1" s="70">
      <c r="A115" s="139" t="n">
        <v>111</v>
      </c>
      <c r="B115" s="140" t="inlineStr">
        <is>
          <t>7. Be-Zing (Kids + Youth)</t>
        </is>
      </c>
      <c r="C115" s="141" t="inlineStr">
        <is>
          <t>Be-Zing Kids</t>
        </is>
      </c>
      <c r="D115" s="141" t="inlineStr">
        <is>
          <t>Kids: blogs</t>
        </is>
      </c>
      <c r="E115" s="139" t="n">
        <v>2</v>
      </c>
      <c r="F115" s="144" t="inlineStr">
        <is>
          <t>Later</t>
        </is>
      </c>
      <c r="G115" s="141" t="inlineStr">
        <is>
          <t>Nov–Jan</t>
        </is>
      </c>
      <c r="H115" s="141" t="n"/>
      <c r="I115" s="141" t="inlineStr">
        <is>
          <t>Not started</t>
        </is>
      </c>
      <c r="J115" s="141" t="n"/>
      <c r="K115" s="143" t="n"/>
    </row>
    <row r="116" ht="15" customHeight="1" s="70">
      <c r="A116" s="139" t="n">
        <v>112</v>
      </c>
      <c r="B116" s="140" t="inlineStr">
        <is>
          <t>7. Be-Zing (Kids + Youth)</t>
        </is>
      </c>
      <c r="C116" s="141" t="inlineStr">
        <is>
          <t>Be-Zing Kids</t>
        </is>
      </c>
      <c r="D116" s="141" t="inlineStr">
        <is>
          <t>Kids: brochure / schools pack</t>
        </is>
      </c>
      <c r="E116" s="139" t="n">
        <v>1</v>
      </c>
      <c r="F116" s="142" t="inlineStr">
        <is>
          <t>Next</t>
        </is>
      </c>
      <c r="G116" s="141" t="inlineStr">
        <is>
          <t>Nov</t>
        </is>
      </c>
      <c r="H116" s="141" t="n"/>
      <c r="I116" s="141" t="inlineStr">
        <is>
          <t>Not started</t>
        </is>
      </c>
      <c r="J116" s="141" t="n"/>
      <c r="K116" s="143" t="n"/>
    </row>
    <row r="117" ht="15" customHeight="1" s="70">
      <c r="A117" s="139" t="n">
        <v>113</v>
      </c>
      <c r="B117" s="140" t="inlineStr">
        <is>
          <t>7. Be-Zing (Kids + Youth)</t>
        </is>
      </c>
      <c r="C117" s="141" t="inlineStr">
        <is>
          <t>Be-Zing Kids</t>
        </is>
      </c>
      <c r="D117" s="141" t="inlineStr">
        <is>
          <t>Kids: website wording</t>
        </is>
      </c>
      <c r="E117" s="139" t="n">
        <v>2</v>
      </c>
      <c r="F117" s="144" t="inlineStr">
        <is>
          <t>Later</t>
        </is>
      </c>
      <c r="G117" s="141" t="inlineStr">
        <is>
          <t>Nov–Dec</t>
        </is>
      </c>
      <c r="H117" s="141" t="n"/>
      <c r="I117" s="141" t="inlineStr">
        <is>
          <t>Not started</t>
        </is>
      </c>
      <c r="J117" s="141" t="n"/>
      <c r="K117" s="143" t="n"/>
    </row>
    <row r="118" ht="15" customHeight="1" s="70">
      <c r="A118" s="139" t="n">
        <v>114</v>
      </c>
      <c r="B118" s="140" t="inlineStr">
        <is>
          <t>7. Be-Zing (Kids + Youth)</t>
        </is>
      </c>
      <c r="C118" s="141" t="inlineStr">
        <is>
          <t>Be-Zing Youth</t>
        </is>
      </c>
      <c r="D118" s="141" t="inlineStr">
        <is>
          <t>Youth: marketing plan – its own plan, targets and audience</t>
        </is>
      </c>
      <c r="E118" s="139" t="n">
        <v>2</v>
      </c>
      <c r="F118" s="144" t="inlineStr">
        <is>
          <t>Later</t>
        </is>
      </c>
      <c r="G118" s="141" t="inlineStr">
        <is>
          <t>Nov</t>
        </is>
      </c>
      <c r="H118" s="141" t="n"/>
      <c r="I118" s="141" t="inlineStr">
        <is>
          <t>Not started</t>
        </is>
      </c>
      <c r="J118" s="141" t="inlineStr">
        <is>
          <t>Separate from Kids</t>
        </is>
      </c>
      <c r="K118" s="143" t="n"/>
    </row>
    <row r="119" ht="15" customHeight="1" s="70">
      <c r="A119" s="139" t="n">
        <v>115</v>
      </c>
      <c r="B119" s="140" t="inlineStr">
        <is>
          <t>7. Be-Zing (Kids + Youth)</t>
        </is>
      </c>
      <c r="C119" s="141" t="inlineStr">
        <is>
          <t>Be-Zing Youth</t>
        </is>
      </c>
      <c r="D119" s="141" t="inlineStr">
        <is>
          <t>Youth: market the DofE courses to schools and DofE centres</t>
        </is>
      </c>
      <c r="E119" s="139" t="n">
        <v>2</v>
      </c>
      <c r="F119" s="144" t="inlineStr">
        <is>
          <t>Later</t>
        </is>
      </c>
      <c r="G119" s="141" t="inlineStr">
        <is>
          <t>Nov–Jan</t>
        </is>
      </c>
      <c r="H119" s="141" t="n"/>
      <c r="I119" s="141" t="inlineStr">
        <is>
          <t>Not started</t>
        </is>
      </c>
      <c r="J119" s="141" t="n"/>
      <c r="K119" s="143" t="n"/>
    </row>
    <row r="120" ht="15" customHeight="1" s="70">
      <c r="A120" s="139" t="n">
        <v>116</v>
      </c>
      <c r="B120" s="140" t="inlineStr">
        <is>
          <t>7. Be-Zing (Kids + Youth)</t>
        </is>
      </c>
      <c r="C120" s="141" t="inlineStr">
        <is>
          <t>Be-Zing Youth</t>
        </is>
      </c>
      <c r="D120" s="141" t="inlineStr">
        <is>
          <t>Youth: market the creative courses</t>
        </is>
      </c>
      <c r="E120" s="139" t="n">
        <v>2</v>
      </c>
      <c r="F120" s="144" t="inlineStr">
        <is>
          <t>Later</t>
        </is>
      </c>
      <c r="G120" s="141" t="inlineStr">
        <is>
          <t>Nov–Jan</t>
        </is>
      </c>
      <c r="H120" s="141" t="n"/>
      <c r="I120" s="141" t="inlineStr">
        <is>
          <t>Not started</t>
        </is>
      </c>
      <c r="J120" s="141" t="n"/>
      <c r="K120" s="143" t="n"/>
    </row>
    <row r="121" ht="15" customHeight="1" s="70">
      <c r="A121" s="139" t="n">
        <v>117</v>
      </c>
      <c r="B121" s="140" t="inlineStr">
        <is>
          <t>7. Be-Zing (Kids + Youth)</t>
        </is>
      </c>
      <c r="C121" s="141" t="inlineStr">
        <is>
          <t>Be-Zing Youth</t>
        </is>
      </c>
      <c r="D121" s="141" t="inlineStr">
        <is>
          <t>Youth: start TikTok</t>
        </is>
      </c>
      <c r="E121" s="139" t="n">
        <v>2</v>
      </c>
      <c r="F121" s="144" t="inlineStr">
        <is>
          <t>Later</t>
        </is>
      </c>
      <c r="G121" s="141" t="inlineStr">
        <is>
          <t>Nov</t>
        </is>
      </c>
      <c r="H121" s="141" t="n"/>
      <c r="I121" s="141" t="inlineStr">
        <is>
          <t>Not started</t>
        </is>
      </c>
      <c r="J121" s="141" t="n"/>
      <c r="K121" s="143" t="n"/>
    </row>
    <row r="122" ht="15" customHeight="1" s="70">
      <c r="A122" s="139" t="n">
        <v>118</v>
      </c>
      <c r="B122" s="140" t="inlineStr">
        <is>
          <t>7. Be-Zing (Kids + Youth)</t>
        </is>
      </c>
      <c r="C122" s="141" t="inlineStr">
        <is>
          <t>Be-Zing Youth</t>
        </is>
      </c>
      <c r="D122" s="141" t="inlineStr">
        <is>
          <t>Youth: social media pages and content</t>
        </is>
      </c>
      <c r="E122" s="139" t="n">
        <v>2</v>
      </c>
      <c r="F122" s="144" t="inlineStr">
        <is>
          <t>Later</t>
        </is>
      </c>
      <c r="G122" s="141" t="inlineStr">
        <is>
          <t>Nov</t>
        </is>
      </c>
      <c r="H122" s="141" t="n"/>
      <c r="I122" s="141" t="inlineStr">
        <is>
          <t>Not started</t>
        </is>
      </c>
      <c r="J122" s="141" t="n"/>
      <c r="K122" s="143" t="n"/>
    </row>
    <row r="123" ht="15" customHeight="1" s="70">
      <c r="A123" s="139" t="n">
        <v>119</v>
      </c>
      <c r="B123" s="140" t="inlineStr">
        <is>
          <t>7. Be-Zing (Kids + Youth)</t>
        </is>
      </c>
      <c r="C123" s="141" t="inlineStr">
        <is>
          <t>Be-Zing Youth</t>
        </is>
      </c>
      <c r="D123" s="141" t="inlineStr">
        <is>
          <t>Youth: mail shots</t>
        </is>
      </c>
      <c r="E123" s="139" t="n">
        <v>2</v>
      </c>
      <c r="F123" s="144" t="inlineStr">
        <is>
          <t>Later</t>
        </is>
      </c>
      <c r="G123" s="141" t="inlineStr">
        <is>
          <t>Nov–Jan</t>
        </is>
      </c>
      <c r="H123" s="141" t="n"/>
      <c r="I123" s="141" t="inlineStr">
        <is>
          <t>Not started</t>
        </is>
      </c>
      <c r="J123" s="141" t="n"/>
      <c r="K123" s="143" t="n"/>
    </row>
    <row r="124" ht="15" customHeight="1" s="70">
      <c r="A124" s="139" t="n">
        <v>120</v>
      </c>
      <c r="B124" s="140" t="inlineStr">
        <is>
          <t>7. Be-Zing (Kids + Youth)</t>
        </is>
      </c>
      <c r="C124" s="141" t="inlineStr">
        <is>
          <t>Be-Zing Youth</t>
        </is>
      </c>
      <c r="D124" s="141" t="inlineStr">
        <is>
          <t>Youth: blogs</t>
        </is>
      </c>
      <c r="E124" s="139" t="n">
        <v>2</v>
      </c>
      <c r="F124" s="144" t="inlineStr">
        <is>
          <t>Later</t>
        </is>
      </c>
      <c r="G124" s="141" t="inlineStr">
        <is>
          <t>Nov–Jan</t>
        </is>
      </c>
      <c r="H124" s="141" t="n"/>
      <c r="I124" s="141" t="inlineStr">
        <is>
          <t>Not started</t>
        </is>
      </c>
      <c r="J124" s="141" t="n"/>
      <c r="K124" s="143" t="n"/>
    </row>
    <row r="125" ht="15" customHeight="1" s="70">
      <c r="A125" s="139" t="n">
        <v>121</v>
      </c>
      <c r="B125" s="140" t="inlineStr">
        <is>
          <t>7. Be-Zing (Kids + Youth)</t>
        </is>
      </c>
      <c r="C125" s="141" t="inlineStr">
        <is>
          <t>Be-Zing Youth</t>
        </is>
      </c>
      <c r="D125" s="141" t="inlineStr">
        <is>
          <t>Youth: course brochure</t>
        </is>
      </c>
      <c r="E125" s="139" t="n">
        <v>2</v>
      </c>
      <c r="F125" s="144" t="inlineStr">
        <is>
          <t>Later</t>
        </is>
      </c>
      <c r="G125" s="141" t="inlineStr">
        <is>
          <t>Nov</t>
        </is>
      </c>
      <c r="H125" s="141" t="n"/>
      <c r="I125" s="141" t="inlineStr">
        <is>
          <t>Not started</t>
        </is>
      </c>
      <c r="J125" s="141" t="n"/>
      <c r="K125" s="143" t="n"/>
    </row>
    <row r="126" ht="15" customHeight="1" s="70">
      <c r="A126" s="139" t="n">
        <v>122</v>
      </c>
      <c r="B126" s="140" t="inlineStr">
        <is>
          <t>7. Be-Zing (Kids + Youth)</t>
        </is>
      </c>
      <c r="C126" s="141" t="inlineStr">
        <is>
          <t>Be-Zing Youth</t>
        </is>
      </c>
      <c r="D126" s="141" t="inlineStr">
        <is>
          <t>Youth: website wording and course pages</t>
        </is>
      </c>
      <c r="E126" s="139" t="n">
        <v>2</v>
      </c>
      <c r="F126" s="144" t="inlineStr">
        <is>
          <t>Later</t>
        </is>
      </c>
      <c r="G126" s="141" t="inlineStr">
        <is>
          <t>Nov–Dec</t>
        </is>
      </c>
      <c r="H126" s="141" t="n"/>
      <c r="I126" s="141" t="inlineStr">
        <is>
          <t>Not started</t>
        </is>
      </c>
      <c r="J126" s="141" t="n"/>
      <c r="K126" s="143" t="n"/>
    </row>
    <row r="127" ht="23.85" customHeight="1" s="70">
      <c r="A127" s="145" t="n">
        <v>123</v>
      </c>
      <c r="B127" s="146" t="inlineStr">
        <is>
          <t>8. The Edit (PBC Edit)</t>
        </is>
      </c>
      <c r="C127" s="147" t="inlineStr">
        <is>
          <t>The Edit</t>
        </is>
      </c>
      <c r="D127" s="147" t="inlineStr">
        <is>
          <t>Define the concept and sections – luxury catering, Latino culture, wellness, styling, staffing, youth</t>
        </is>
      </c>
      <c r="E127" s="145" t="n">
        <v>2</v>
      </c>
      <c r="F127" s="148" t="inlineStr">
        <is>
          <t>Later</t>
        </is>
      </c>
      <c r="G127" s="147" t="inlineStr">
        <is>
          <t>Nov</t>
        </is>
      </c>
      <c r="H127" s="147" t="n"/>
      <c r="I127" s="147" t="inlineStr">
        <is>
          <t>Not started</t>
        </is>
      </c>
      <c r="J127" s="147" t="inlineStr">
        <is>
          <t>'You've seen it here first'</t>
        </is>
      </c>
      <c r="K127" s="149" t="n"/>
    </row>
    <row r="128" ht="15" customHeight="1" s="70">
      <c r="A128" s="145" t="n">
        <v>124</v>
      </c>
      <c r="B128" s="146" t="inlineStr">
        <is>
          <t>8. The Edit (PBC Edit)</t>
        </is>
      </c>
      <c r="C128" s="147" t="inlineStr">
        <is>
          <t>The Edit</t>
        </is>
      </c>
      <c r="D128" s="147" t="inlineStr">
        <is>
          <t>Gather content and photos from every brand</t>
        </is>
      </c>
      <c r="E128" s="145" t="n">
        <v>2</v>
      </c>
      <c r="F128" s="148" t="inlineStr">
        <is>
          <t>Later</t>
        </is>
      </c>
      <c r="G128" s="147" t="inlineStr">
        <is>
          <t>Nov</t>
        </is>
      </c>
      <c r="H128" s="147" t="n"/>
      <c r="I128" s="147" t="inlineStr">
        <is>
          <t>Not started</t>
        </is>
      </c>
      <c r="J128" s="147" t="n"/>
      <c r="K128" s="149" t="n"/>
    </row>
    <row r="129" ht="15" customHeight="1" s="70">
      <c r="A129" s="145" t="n">
        <v>125</v>
      </c>
      <c r="B129" s="146" t="inlineStr">
        <is>
          <t>8. The Edit (PBC Edit)</t>
        </is>
      </c>
      <c r="C129" s="147" t="inlineStr">
        <is>
          <t>The Edit</t>
        </is>
      </c>
      <c r="D129" s="147" t="inlineStr">
        <is>
          <t>Write the copy</t>
        </is>
      </c>
      <c r="E129" s="145" t="n">
        <v>2</v>
      </c>
      <c r="F129" s="148" t="inlineStr">
        <is>
          <t>Later</t>
        </is>
      </c>
      <c r="G129" s="147" t="inlineStr">
        <is>
          <t>Nov–Dec</t>
        </is>
      </c>
      <c r="H129" s="147" t="n"/>
      <c r="I129" s="147" t="inlineStr">
        <is>
          <t>Not started</t>
        </is>
      </c>
      <c r="J129" s="147" t="n"/>
      <c r="K129" s="149" t="n"/>
    </row>
    <row r="130" ht="15" customHeight="1" s="70">
      <c r="A130" s="145" t="n">
        <v>126</v>
      </c>
      <c r="B130" s="146" t="inlineStr">
        <is>
          <t>8. The Edit (PBC Edit)</t>
        </is>
      </c>
      <c r="C130" s="147" t="inlineStr">
        <is>
          <t>The Edit</t>
        </is>
      </c>
      <c r="D130" s="147" t="inlineStr">
        <is>
          <t>Design it using the brand identities in Claude Design</t>
        </is>
      </c>
      <c r="E130" s="145" t="n">
        <v>2</v>
      </c>
      <c r="F130" s="148" t="inlineStr">
        <is>
          <t>Later</t>
        </is>
      </c>
      <c r="G130" s="147" t="inlineStr">
        <is>
          <t>Dec</t>
        </is>
      </c>
      <c r="H130" s="147" t="n"/>
      <c r="I130" s="147" t="inlineStr">
        <is>
          <t>Not started</t>
        </is>
      </c>
      <c r="J130" s="147" t="n"/>
      <c r="K130" s="149" t="n"/>
    </row>
    <row r="131" ht="15" customHeight="1" s="70">
      <c r="A131" s="145" t="n">
        <v>127</v>
      </c>
      <c r="B131" s="146" t="inlineStr">
        <is>
          <t>8. The Edit (PBC Edit)</t>
        </is>
      </c>
      <c r="C131" s="147" t="inlineStr">
        <is>
          <t>The Edit</t>
        </is>
      </c>
      <c r="D131" s="147" t="inlineStr">
        <is>
          <t>Plan distribution – print, digital, mail shot</t>
        </is>
      </c>
      <c r="E131" s="145" t="n">
        <v>2</v>
      </c>
      <c r="F131" s="148" t="inlineStr">
        <is>
          <t>Later</t>
        </is>
      </c>
      <c r="G131" s="147" t="inlineStr">
        <is>
          <t>Dec–Jan</t>
        </is>
      </c>
      <c r="H131" s="147" t="n"/>
      <c r="I131" s="147" t="inlineStr">
        <is>
          <t>Not started</t>
        </is>
      </c>
      <c r="J131" s="147" t="n"/>
      <c r="K131" s="149" t="n"/>
    </row>
    <row r="132" ht="15" customHeight="1" s="70">
      <c r="A132" s="83" t="n">
        <v>128</v>
      </c>
      <c r="B132" s="84" t="inlineStr">
        <is>
          <t>9. Systems &amp; Admin</t>
        </is>
      </c>
      <c r="C132" s="85" t="inlineStr">
        <is>
          <t>Team calendar</t>
        </is>
      </c>
      <c r="D132" s="85" t="inlineStr">
        <is>
          <t>Team availability calendar in Monday – who's free to work when</t>
        </is>
      </c>
      <c r="E132" s="83" t="n">
        <v>1</v>
      </c>
      <c r="F132" s="86" t="inlineStr">
        <is>
          <t>Now</t>
        </is>
      </c>
      <c r="G132" s="85" t="inlineStr">
        <is>
          <t>Oct</t>
        </is>
      </c>
      <c r="H132" s="85" t="n"/>
      <c r="I132" s="85" t="inlineStr">
        <is>
          <t>Not started</t>
        </is>
      </c>
      <c r="J132" s="85" t="inlineStr">
        <is>
          <t>Quick win – ask Yahya</t>
        </is>
      </c>
      <c r="K132" s="87" t="n"/>
    </row>
    <row r="133" ht="15" customHeight="1" s="70">
      <c r="A133" s="83" t="n">
        <v>129</v>
      </c>
      <c r="B133" s="84" t="inlineStr">
        <is>
          <t>9. Systems &amp; Admin</t>
        </is>
      </c>
      <c r="C133" s="85" t="inlineStr">
        <is>
          <t>Finance</t>
        </is>
      </c>
      <c r="D133" s="85" t="inlineStr">
        <is>
          <t>Connect Xero to Monday and Claude</t>
        </is>
      </c>
      <c r="E133" s="83" t="n">
        <v>2</v>
      </c>
      <c r="F133" s="150" t="inlineStr">
        <is>
          <t>Later</t>
        </is>
      </c>
      <c r="G133" s="85" t="inlineStr">
        <is>
          <t>Nov</t>
        </is>
      </c>
      <c r="H133" s="85" t="n"/>
      <c r="I133" s="85" t="inlineStr">
        <is>
          <t>Not started</t>
        </is>
      </c>
      <c r="J133" s="85" t="inlineStr">
        <is>
          <t>Yahya</t>
        </is>
      </c>
      <c r="K133" s="87" t="n"/>
    </row>
    <row r="134" ht="15" customHeight="1" s="70">
      <c r="A134" s="83" t="n">
        <v>130</v>
      </c>
      <c r="B134" s="84" t="inlineStr">
        <is>
          <t>9. Systems &amp; Admin</t>
        </is>
      </c>
      <c r="C134" s="85" t="inlineStr">
        <is>
          <t>Finance</t>
        </is>
      </c>
      <c r="D134" s="85" t="inlineStr">
        <is>
          <t>Integrate financial plans and targets</t>
        </is>
      </c>
      <c r="E134" s="83" t="n">
        <v>2</v>
      </c>
      <c r="F134" s="150" t="inlineStr">
        <is>
          <t>Later</t>
        </is>
      </c>
      <c r="G134" s="85" t="inlineStr">
        <is>
          <t>Nov–Dec</t>
        </is>
      </c>
      <c r="H134" s="85" t="n"/>
      <c r="I134" s="85" t="inlineStr">
        <is>
          <t>Not started</t>
        </is>
      </c>
      <c r="J134" s="85" t="n"/>
      <c r="K134" s="87" t="n"/>
    </row>
    <row r="135" ht="15" customHeight="1" s="70">
      <c r="A135" s="83" t="n">
        <v>131</v>
      </c>
      <c r="B135" s="84" t="inlineStr">
        <is>
          <t>9. Systems &amp; Admin</t>
        </is>
      </c>
      <c r="C135" s="85" t="inlineStr">
        <is>
          <t>Stock control</t>
        </is>
      </c>
      <c r="D135" s="85" t="inlineStr">
        <is>
          <t>Pull together the stock list</t>
        </is>
      </c>
      <c r="E135" s="83" t="n">
        <v>2</v>
      </c>
      <c r="F135" s="150" t="inlineStr">
        <is>
          <t>Later</t>
        </is>
      </c>
      <c r="G135" s="85" t="inlineStr">
        <is>
          <t>Nov</t>
        </is>
      </c>
      <c r="H135" s="85" t="n"/>
      <c r="I135" s="85" t="inlineStr">
        <is>
          <t>Not started</t>
        </is>
      </c>
      <c r="J135" s="85" t="n"/>
      <c r="K135" s="87" t="n"/>
    </row>
    <row r="136" ht="15" customHeight="1" s="70">
      <c r="A136" s="83" t="n">
        <v>132</v>
      </c>
      <c r="B136" s="84" t="inlineStr">
        <is>
          <t>9. Systems &amp; Admin</t>
        </is>
      </c>
      <c r="C136" s="85" t="inlineStr">
        <is>
          <t>Stock control</t>
        </is>
      </c>
      <c r="D136" s="85" t="inlineStr">
        <is>
          <t>Scope and build the stock control system (trial)</t>
        </is>
      </c>
      <c r="E136" s="83" t="n">
        <v>2</v>
      </c>
      <c r="F136" s="150" t="inlineStr">
        <is>
          <t>Later</t>
        </is>
      </c>
      <c r="G136" s="85" t="inlineStr">
        <is>
          <t>Nov–Jan</t>
        </is>
      </c>
      <c r="H136" s="85" t="n"/>
      <c r="I136" s="85" t="inlineStr">
        <is>
          <t>Not started</t>
        </is>
      </c>
      <c r="J136" s="85" t="inlineStr">
        <is>
          <t>Alex</t>
        </is>
      </c>
      <c r="K136" s="87" t="n"/>
    </row>
    <row r="137" ht="15" customHeight="1" s="70">
      <c r="A137" s="83" t="n">
        <v>133</v>
      </c>
      <c r="B137" s="84" t="inlineStr">
        <is>
          <t>9. Systems &amp; Admin</t>
        </is>
      </c>
      <c r="C137" s="85" t="inlineStr">
        <is>
          <t>Stock control</t>
        </is>
      </c>
      <c r="D137" s="85" t="inlineStr">
        <is>
          <t>Packing lists and processes</t>
        </is>
      </c>
      <c r="E137" s="83" t="n">
        <v>3</v>
      </c>
      <c r="F137" s="150" t="inlineStr">
        <is>
          <t>Later</t>
        </is>
      </c>
      <c r="G137" s="85" t="inlineStr">
        <is>
          <t>2027</t>
        </is>
      </c>
      <c r="H137" s="85" t="n"/>
      <c r="I137" s="85" t="inlineStr">
        <is>
          <t>Not started</t>
        </is>
      </c>
      <c r="J137" s="85" t="n"/>
      <c r="K137" s="87" t="n"/>
    </row>
    <row r="138" ht="15" customHeight="1" s="70">
      <c r="A138" s="83" t="n">
        <v>134</v>
      </c>
      <c r="B138" s="84" t="inlineStr">
        <is>
          <t>9. Systems &amp; Admin</t>
        </is>
      </c>
      <c r="C138" s="85" t="inlineStr">
        <is>
          <t>Hygiene &amp; safety</t>
        </is>
      </c>
      <c r="D138" s="85" t="inlineStr">
        <is>
          <t>Review the hygiene and safety systems</t>
        </is>
      </c>
      <c r="E138" s="83" t="n">
        <v>3</v>
      </c>
      <c r="F138" s="150" t="inlineStr">
        <is>
          <t>Later</t>
        </is>
      </c>
      <c r="G138" s="85" t="inlineStr">
        <is>
          <t>2027</t>
        </is>
      </c>
      <c r="H138" s="85" t="n"/>
      <c r="I138" s="85" t="inlineStr">
        <is>
          <t>Not started</t>
        </is>
      </c>
      <c r="J138" s="85" t="n"/>
      <c r="K138" s="87" t="n"/>
    </row>
    <row r="139" ht="15" customHeight="1" s="70">
      <c r="A139" s="83" t="n">
        <v>135</v>
      </c>
      <c r="B139" s="84" t="inlineStr">
        <is>
          <t>9. Systems &amp; Admin</t>
        </is>
      </c>
      <c r="C139" s="85" t="inlineStr">
        <is>
          <t>Hygiene &amp; safety</t>
        </is>
      </c>
      <c r="D139" s="85" t="inlineStr">
        <is>
          <t>Bring hygiene and safety files into one place</t>
        </is>
      </c>
      <c r="E139" s="83" t="n">
        <v>3</v>
      </c>
      <c r="F139" s="150" t="inlineStr">
        <is>
          <t>Later</t>
        </is>
      </c>
      <c r="G139" s="85" t="inlineStr">
        <is>
          <t>2027</t>
        </is>
      </c>
      <c r="H139" s="85" t="n"/>
      <c r="I139" s="85" t="inlineStr">
        <is>
          <t>Not started</t>
        </is>
      </c>
      <c r="J139" s="85" t="n"/>
      <c r="K139" s="87" t="n"/>
    </row>
    <row r="140" ht="15" customHeight="1" s="70">
      <c r="A140" s="83" t="n">
        <v>136</v>
      </c>
      <c r="B140" s="84" t="inlineStr">
        <is>
          <t>9. Systems &amp; Admin</t>
        </is>
      </c>
      <c r="C140" s="85" t="inlineStr">
        <is>
          <t>Staffing systems</t>
        </is>
      </c>
      <c r="D140" s="85" t="inlineStr">
        <is>
          <t>Database review of the Replit staff app</t>
        </is>
      </c>
      <c r="E140" s="83" t="n">
        <v>3</v>
      </c>
      <c r="F140" s="150" t="inlineStr">
        <is>
          <t>Later</t>
        </is>
      </c>
      <c r="G140" s="85" t="inlineStr">
        <is>
          <t>2027</t>
        </is>
      </c>
      <c r="H140" s="85" t="n"/>
      <c r="I140" s="85" t="inlineStr">
        <is>
          <t>Not started</t>
        </is>
      </c>
      <c r="J140" s="85" t="inlineStr">
        <is>
          <t>Yahya</t>
        </is>
      </c>
      <c r="K140" s="87" t="n"/>
    </row>
    <row r="141" ht="15" customHeight="1" s="70">
      <c r="A141" s="83" t="n">
        <v>137</v>
      </c>
      <c r="B141" s="84" t="inlineStr">
        <is>
          <t>9. Systems &amp; Admin</t>
        </is>
      </c>
      <c r="C141" s="85" t="inlineStr">
        <is>
          <t>Staffing systems</t>
        </is>
      </c>
      <c r="D141" s="85" t="inlineStr">
        <is>
          <t>Staff app – shifts, clocking in/out, pay, documents</t>
        </is>
      </c>
      <c r="E141" s="83" t="n">
        <v>3</v>
      </c>
      <c r="F141" s="150" t="inlineStr">
        <is>
          <t>Later</t>
        </is>
      </c>
      <c r="G141" s="85" t="inlineStr">
        <is>
          <t>2027</t>
        </is>
      </c>
      <c r="H141" s="85" t="n"/>
      <c r="I141" s="85" t="inlineStr">
        <is>
          <t>Not started</t>
        </is>
      </c>
      <c r="J141" s="85" t="n"/>
      <c r="K141" s="87" t="n"/>
    </row>
    <row r="142" ht="15" customHeight="1" s="70">
      <c r="A142" s="83" t="n">
        <v>138</v>
      </c>
      <c r="B142" s="84" t="inlineStr">
        <is>
          <t>9. Systems &amp; Admin</t>
        </is>
      </c>
      <c r="C142" s="85" t="inlineStr">
        <is>
          <t>Staffing systems</t>
        </is>
      </c>
      <c r="D142" s="85" t="inlineStr">
        <is>
          <t>Timesheets feeding into payroll</t>
        </is>
      </c>
      <c r="E142" s="83" t="n">
        <v>3</v>
      </c>
      <c r="F142" s="150" t="inlineStr">
        <is>
          <t>Later</t>
        </is>
      </c>
      <c r="G142" s="85" t="inlineStr">
        <is>
          <t>2027</t>
        </is>
      </c>
      <c r="H142" s="85" t="n"/>
      <c r="I142" s="85" t="inlineStr">
        <is>
          <t>Not started</t>
        </is>
      </c>
      <c r="J142" s="85" t="n"/>
      <c r="K142" s="87" t="n"/>
    </row>
  </sheetData>
  <autoFilter ref="A4:K142"/>
  <dataValidations count="4">
    <dataValidation sqref="H5:H142" showDropDown="0" showInputMessage="0" showErrorMessage="0" allowBlank="1" type="list" errorStyle="stop" operator="between">
      <formula1>"Cat,Lois,Jessica,Danelle,Ana,Alex,Charlotte,Yahya,Raquel"</formula1>
      <formula2>0</formula2>
    </dataValidation>
    <dataValidation sqref="I5:I142" showDropDown="0" showInputMessage="0" showErrorMessage="0" allowBlank="1" type="list" errorStyle="stop" operator="between">
      <formula1>"Not started,Working on it,Stuck,Done"</formula1>
      <formula2>0</formula2>
    </dataValidation>
    <dataValidation sqref="F5:F142" showDropDown="0" showInputMessage="0" showErrorMessage="0" allowBlank="0" type="list" errorStyle="stop" operator="between">
      <formula1>"Now,Next,Later"</formula1>
      <formula2>0</formula2>
    </dataValidation>
    <dataValidation sqref="K5:K142" showDropDown="0" showInputMessage="0" showErrorMessage="1" allowBlank="1" errorTitle="Date" error="Enter a date, e.g. 12/10/2026" type="date" operator="greaterThan">
      <formula1>36526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2026-10-01T19:34:08Z</dcterms:created>
  <dcterms:modified xsi:type="dcterms:W3CDTF">2026-10-02T16:48:07Z</dcterms:modified>
  <cp:revision>0</cp:revision>
</cp:coreProperties>
</file>