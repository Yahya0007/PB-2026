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Team" sheetId="3" state="visible" r:id="rId5"/>
    <sheet name="Task List" sheetId="4" state="visible" r:id="rId6"/>
  </sheets>
  <definedNames>
    <definedName function="false" hidden="true" localSheetId="3" name="_xlnm._FilterDatabase" vbProcedure="false">'Task List'!$A$4:$J$142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<sst xmlns="http://schemas.openxmlformats.org/spreadsheetml/2006/main" count="1136" uniqueCount="345">
  <si>
    <t xml:space="preserve">Start Here – the next two weeks</t>
  </si>
  <si>
    <t xml:space="preserve">Just the 'Now' tasks. Everything else waits on the Task List until it's its turn. Snapshot as of 1 Oct 2026.</t>
  </si>
  <si>
    <t xml:space="preserve">ID</t>
  </si>
  <si>
    <t xml:space="preserve">Section</t>
  </si>
  <si>
    <t xml:space="preserve">Task</t>
  </si>
  <si>
    <t xml:space="preserve">When</t>
  </si>
  <si>
    <t xml:space="preserve">Owner</t>
  </si>
  <si>
    <t xml:space="preserve">Done?</t>
  </si>
  <si>
    <t xml:space="preserve">Notes</t>
  </si>
  <si>
    <t xml:space="preserve">0. Monday &amp; Claude Setup</t>
  </si>
  <si>
    <t xml:space="preserve">Check Monday trial status and end date</t>
  </si>
  <si>
    <t xml:space="preserve">Fri 2 Oct</t>
  </si>
  <si>
    <t xml:space="preserve">☐</t>
  </si>
  <si>
    <t xml:space="preserve">Cat – from the van</t>
  </si>
  <si>
    <t xml:space="preserve">Upgrade Monday to Pro, monthly billing</t>
  </si>
  <si>
    <t xml:space="preserve">Cat – call Charlotte for card</t>
  </si>
  <si>
    <t xml:space="preserve">Invite Yahya to Monday as Member (info@infovis.co.uk)</t>
  </si>
  <si>
    <t xml:space="preserve">Cat to email him once done</t>
  </si>
  <si>
    <t xml:space="preserve">Make sure Cat is a Monday admin</t>
  </si>
  <si>
    <t xml:space="preserve">Send Yahya samples: spreadsheet, task list, marketing plan, targets, enquiry tracker extract</t>
  </si>
  <si>
    <t xml:space="preserve">Weekend</t>
  </si>
  <si>
    <t xml:space="preserve">This workbook covers the task list</t>
  </si>
  <si>
    <t xml:space="preserve">Setup day with Yahya, Cat and Charlotte</t>
  </si>
  <si>
    <t xml:space="preserve">Mon 5 Oct</t>
  </si>
  <si>
    <t xml:space="preserve">Build marketing board – one group per brand</t>
  </si>
  <si>
    <t xml:space="preserve">Yahya</t>
  </si>
  <si>
    <t xml:space="preserve">Load this task list into Monday</t>
  </si>
  <si>
    <t xml:space="preserve">Build goals &amp; targets dashboard for the Tuesday meeting</t>
  </si>
  <si>
    <t xml:space="preserve">1. All Brands</t>
  </si>
  <si>
    <t xml:space="preserve">Include BNC in every press release, for every brand</t>
  </si>
  <si>
    <t xml:space="preserve">Ongoing</t>
  </si>
  <si>
    <t xml:space="preserve">Use BNC's marketing systems</t>
  </si>
  <si>
    <t xml:space="preserve">1b. BNC Exhibition (end Oct)</t>
  </si>
  <si>
    <t xml:space="preserve">Confirm exhibition date, venue, stand size and what's included</t>
  </si>
  <si>
    <t xml:space="preserve">Now</t>
  </si>
  <si>
    <t xml:space="preserve">Date TBC – end of October</t>
  </si>
  <si>
    <t xml:space="preserve">Find out what marketing BNC offers exhibitors – newsletters, social, website listings, press</t>
  </si>
  <si>
    <t xml:space="preserve">Get BNC logos, brand guidelines and exhibitor wording</t>
  </si>
  <si>
    <t xml:space="preserve">Oct</t>
  </si>
  <si>
    <t xml:space="preserve">Decide which brands we showcase and how – one Collective stand</t>
  </si>
  <si>
    <t xml:space="preserve">1c. Venue Sourcing</t>
  </si>
  <si>
    <t xml:space="preserve">Brainstorm our point of difference – every caterer wants the venues, why us? (Cat, Jessica, Lois)</t>
  </si>
  <si>
    <t xml:space="preserve">Whole Collective as one supplier: food, drink, styling, staffing, wellness, Latino</t>
  </si>
  <si>
    <t xml:space="preserve">Write the point of difference in one line, plus 3 proof points</t>
  </si>
  <si>
    <t xml:space="preserve">Build the target venue list – type, capacity, current caterer, contact</t>
  </si>
  <si>
    <t xml:space="preserve">Christmas packages for venues</t>
  </si>
  <si>
    <t xml:space="preserve">Link with PenniBlack Christmas packages</t>
  </si>
  <si>
    <t xml:space="preserve">Venue pipeline board in Monday – contacted, meeting, trial, on supplier list</t>
  </si>
  <si>
    <t xml:space="preserve">Ask Yahya</t>
  </si>
  <si>
    <t xml:space="preserve">2. PenniBlack Catering &amp; Events</t>
  </si>
  <si>
    <t xml:space="preserve">Christmas campaign to existing followers – social posts</t>
  </si>
  <si>
    <t xml:space="preserve">Oct–Dec</t>
  </si>
  <si>
    <t xml:space="preserve">Big follower base – use it</t>
  </si>
  <si>
    <t xml:space="preserve">Christmas packages with 'from £' prices</t>
  </si>
  <si>
    <t xml:space="preserve">3. Free Spirit Wellness</t>
  </si>
  <si>
    <t xml:space="preserve">Chase Momoko (Menier Venues) to confirm the date – push hard, nothing can be booked until it's set</t>
  </si>
  <si>
    <t xml:space="preserve">Hoping for Wed 21 Oct</t>
  </si>
  <si>
    <t xml:space="preserve">Confirm which Menier team members are coming and agree the run of show</t>
  </si>
  <si>
    <t xml:space="preserve">Once date set</t>
  </si>
  <si>
    <t xml:space="preserve">Purpose: the Menier team try it and review it</t>
  </si>
  <si>
    <t xml:space="preserve">Book workshop hosts – Ayurvedic scrubs, yoga, self-defence</t>
  </si>
  <si>
    <t xml:space="preserve">Waiting on date</t>
  </si>
  <si>
    <t xml:space="preserve">4. Pichi</t>
  </si>
  <si>
    <t xml:space="preserve">Send Momoko (Menier Venues) the full attendee list from the Pichi launch</t>
  </si>
  <si>
    <t xml:space="preserve">Promised in Charlotte's email of 1 Oct – Cat</t>
  </si>
  <si>
    <t xml:space="preserve">9. Systems &amp; Admin</t>
  </si>
  <si>
    <t xml:space="preserve">Team availability calendar in Monday – who's free to work when</t>
  </si>
  <si>
    <t xml:space="preserve">Quick win – ask Yahya</t>
  </si>
  <si>
    <t xml:space="preserve">PenniBlack Collective – Task Summary</t>
  </si>
  <si>
    <t xml:space="preserve">Counts update automatically from the Task List tab.</t>
  </si>
  <si>
    <t xml:space="preserve">Next</t>
  </si>
  <si>
    <t xml:space="preserve">Later</t>
  </si>
  <si>
    <t xml:space="preserve">Total</t>
  </si>
  <si>
    <t xml:space="preserve">Done</t>
  </si>
  <si>
    <t xml:space="preserve">5. Raquel's Staffing &amp; Bar</t>
  </si>
  <si>
    <t xml:space="preserve">6. VENN Productions</t>
  </si>
  <si>
    <t xml:space="preserve">7. Be-Zing (Kids + Youth)</t>
  </si>
  <si>
    <t xml:space="preserve">8. The Edit (PBC Edit)</t>
  </si>
  <si>
    <t xml:space="preserve">How to use</t>
  </si>
  <si>
    <t xml:space="preserve">• Start Here: the next two weeks only. Cat works from this, not the full list.</t>
  </si>
  <si>
    <t xml:space="preserve">• Task List: everything, grouped by brand. Filter by Stage = Now to see what's live. Owner, Stage and Status have dropdowns.</t>
  </si>
  <si>
    <t xml:space="preserve">• Every Tuesday: Cat ticks off what's done, then moves the next 3–5 tasks per person from Next to Now.</t>
  </si>
  <si>
    <t xml:space="preserve">• Once in Monday, each person uses 'My Work' to see only their own tasks.</t>
  </si>
  <si>
    <t xml:space="preserve">• Built so Yahya can import it straight into Monday: Section = group, Task = item, other columns = Monday columns.</t>
  </si>
  <si>
    <t xml:space="preserve">• Key dates: Free Spirit at the Menier Penthouse – hoping for Wed 21 Oct (awaiting Momoko). BNC exhibition – end of October (date TBC).</t>
  </si>
  <si>
    <t xml:space="preserve">• Still to check: Be-Zing Kids award ceremony details.</t>
  </si>
  <si>
    <t xml:space="preserve">PenniBlack Collective – Team &amp; Roles</t>
  </si>
  <si>
    <t xml:space="preserve">Rough seats, not fixed roles. October 2026.</t>
  </si>
  <si>
    <t xml:space="preserve">Name</t>
  </si>
  <si>
    <t xml:space="preserve">Seat</t>
  </si>
  <si>
    <t xml:space="preserve">Strengths</t>
  </si>
  <si>
    <t xml:space="preserve">Typical work</t>
  </si>
  <si>
    <t xml:space="preserve">Works closely with</t>
  </si>
  <si>
    <t xml:space="preserve">Starts</t>
  </si>
  <si>
    <t xml:space="preserve">Monday</t>
  </si>
  <si>
    <t xml:space="preserve">Claude</t>
  </si>
  <si>
    <t xml:space="preserve">Charlotte</t>
  </si>
  <si>
    <t xml:space="preserve">Founder</t>
  </si>
  <si>
    <t xml:space="preserve">Vision, concepts, all brands</t>
  </si>
  <si>
    <t xml:space="preserve">Own tasks in Monday – but doesn't run the system. Leads Be-Zing.</t>
  </si>
  <si>
    <t xml:space="preserve">Cat, Yahya</t>
  </si>
  <si>
    <t xml:space="preserve">Yes</t>
  </si>
  <si>
    <t xml:space="preserve">Premium</t>
  </si>
  <si>
    <t xml:space="preserve">Cat (Catrin Dimond)</t>
  </si>
  <si>
    <t xml:space="preserve">Chief of Marketing – runs Monday</t>
  </si>
  <si>
    <t xml:space="preserve">Social media, photography, video, design, concepts &amp; styling</t>
  </si>
  <si>
    <t xml:space="preserve">Sets and manages everyone's tasks. Runs Tuesday meeting. Creates concepts (often off-site) and helps assemble them. Attends events, does case studies.</t>
  </si>
  <si>
    <t xml:space="preserve">Lois (content &amp; web), Jessica (concepts &amp; sales)</t>
  </si>
  <si>
    <t xml:space="preserve">Yes – Admin</t>
  </si>
  <si>
    <t xml:space="preserve">Lois Burton</t>
  </si>
  <si>
    <t xml:space="preserve">Content, PR &amp; Creative Lead</t>
  </si>
  <si>
    <t xml:space="preserve">Art PR degree, high-end photo &amp; video, writing</t>
  </si>
  <si>
    <t xml:space="preserve">Web content, blogs, SEO, client experience (with Cat). PR. Leads Be-Zing marketing and The Edit. Attends fewer events.</t>
  </si>
  <si>
    <t xml:space="preserve">Cat</t>
  </si>
  <si>
    <t xml:space="preserve">End of October</t>
  </si>
  <si>
    <t xml:space="preserve">Standard</t>
  </si>
  <si>
    <t xml:space="preserve">Jessica</t>
  </si>
  <si>
    <t xml:space="preserve">Sales &amp; Events Manager</t>
  </si>
  <si>
    <t xml:space="preserve">Client-facing, events, strong styling eye</t>
  </si>
  <si>
    <t xml:space="preserve">Meets clients, sees spaces, brings concepts to life on site, styles her areas (e.g. bar). Goes to client meetings with Cat. Admin skills TBC.</t>
  </si>
  <si>
    <t xml:space="preserve">Cat, Lois</t>
  </si>
  <si>
    <t xml:space="preserve">Mid-October</t>
  </si>
  <si>
    <t xml:space="preserve">TBC</t>
  </si>
  <si>
    <t xml:space="preserve">Danelle van Tonder</t>
  </si>
  <si>
    <t xml:space="preserve">Quotes &amp; Client Liaison</t>
  </si>
  <si>
    <t xml:space="preserve">Organised, client care</t>
  </si>
  <si>
    <t xml:space="preserve">Quotes and client liaison – reactive.</t>
  </si>
  <si>
    <t xml:space="preserve">Ana</t>
  </si>
  <si>
    <t xml:space="preserve">Quotes &amp; Client Support (part-time)</t>
  </si>
  <si>
    <t xml:space="preserve">Cost calculator trained</t>
  </si>
  <si>
    <t xml:space="preserve">Assists Danelle on quotes and clients. Uses sales@ email.</t>
  </si>
  <si>
    <t xml:space="preserve">Danelle</t>
  </si>
  <si>
    <t xml:space="preserve">No – review later</t>
  </si>
  <si>
    <t xml:space="preserve">Alex</t>
  </si>
  <si>
    <t xml:space="preserve">Systems &amp; Events (flexible)</t>
  </si>
  <si>
    <t xml:space="preserve">Business studies student, free days</t>
  </si>
  <si>
    <t xml:space="preserve">Builds stock control system first (trial). Possibly more systems, packing, events, bar.</t>
  </si>
  <si>
    <t xml:space="preserve">Charlotte, Yahya</t>
  </si>
  <si>
    <t xml:space="preserve">When free</t>
  </si>
  <si>
    <t xml:space="preserve">No</t>
  </si>
  <si>
    <t xml:space="preserve">Raquel</t>
  </si>
  <si>
    <t xml:space="preserve">Event Manager &amp; Logistics</t>
  </si>
  <si>
    <t xml:space="preserve">On the ground</t>
  </si>
  <si>
    <t xml:space="preserve">Events, logistics, occasional site visits. Outside the admin system for now. Pichi input.</t>
  </si>
  <si>
    <t xml:space="preserve">Steph, Ana</t>
  </si>
  <si>
    <t xml:space="preserve">View only / later</t>
  </si>
  <si>
    <t xml:space="preserve">Yahya (InfoVis)</t>
  </si>
  <si>
    <t xml:space="preserve">IT &amp; Database Consultant</t>
  </si>
  <si>
    <t xml:space="preserve">Systems integration</t>
  </si>
  <si>
    <t xml:space="preserve">Monday structure, Claude connections, Xero, staff app review.</t>
  </si>
  <si>
    <t xml:space="preserve">Cat, Charlotte</t>
  </si>
  <si>
    <t xml:space="preserve">Member</t>
  </si>
  <si>
    <t xml:space="preserve">Not yet</t>
  </si>
  <si>
    <t xml:space="preserve">Jess &amp; Dave</t>
  </si>
  <si>
    <t xml:space="preserve">Collective partners – design</t>
  </si>
  <si>
    <t xml:space="preserve">Design &amp; styling eye</t>
  </si>
  <si>
    <t xml:space="preserve">VENN Productions. Outside the admin system.</t>
  </si>
  <si>
    <t xml:space="preserve">—</t>
  </si>
  <si>
    <t xml:space="preserve">Steph</t>
  </si>
  <si>
    <t xml:space="preserve">Runs Pichi</t>
  </si>
  <si>
    <t xml:space="preserve">Latino culture</t>
  </si>
  <si>
    <t xml:space="preserve">Pichi brainstorms and vision. Outside the admin system.</t>
  </si>
  <si>
    <t xml:space="preserve">Raquel, Ana, Cat</t>
  </si>
  <si>
    <t xml:space="preserve">How they pair up</t>
  </si>
  <si>
    <t xml:space="preserve">• Cat + Lois: website content, blogs, writing, client experience, content &amp; PR. They agree crossovers between them.</t>
  </si>
  <si>
    <t xml:space="preserve">• Cat + Jessica: concepts, styling and sales. Cat creates the concept, Jessica brings it to life at the event. Client meetings together.</t>
  </si>
  <si>
    <t xml:space="preserve">• Cat + Jessica + Lois: all brainstorm concepts and creative ideas.</t>
  </si>
  <si>
    <t xml:space="preserve">• Danelle + Ana: quotes and client liaison (reactive).</t>
  </si>
  <si>
    <t xml:space="preserve">• Rhythm: Cat sets tasks in Monday → Tuesday team meeting to review.</t>
  </si>
  <si>
    <t xml:space="preserve">PenniBlack Collective – Master Task List</t>
  </si>
  <si>
    <t xml:space="preserve">Stage: Now = next 2 weeks · Next = rest of Oct–Dec · Later = 2027 / once Now and Next are moving. Priority 1 = money before Christmas · 2 = build the brands · 3 = systems. Owner left blank for Cat to allocate.</t>
  </si>
  <si>
    <t xml:space="preserve">Workstream</t>
  </si>
  <si>
    <t xml:space="preserve">Priority</t>
  </si>
  <si>
    <t xml:space="preserve">Stage</t>
  </si>
  <si>
    <t xml:space="preserve">Status</t>
  </si>
  <si>
    <t xml:space="preserve">Setup</t>
  </si>
  <si>
    <t xml:space="preserve">Not started</t>
  </si>
  <si>
    <t xml:space="preserve">Connect Claude to Monday</t>
  </si>
  <si>
    <t xml:space="preserve">Add team to Monday (Danelle, Ana, Lois, Jessica, Alex as needed)</t>
  </si>
  <si>
    <t xml:space="preserve">Onboard Jessica – email, Monday, Claude (TBC)</t>
  </si>
  <si>
    <t xml:space="preserve">Mid-Oct</t>
  </si>
  <si>
    <t xml:space="preserve">Onboard Lois – Monday, Claude Team (email done)</t>
  </si>
  <si>
    <t xml:space="preserve">End Oct</t>
  </si>
  <si>
    <t xml:space="preserve">Marketing plans</t>
  </si>
  <si>
    <t xml:space="preserve">Write a one-page marketing plan per brand: who buys, what we sell, where we find them, monthly targets</t>
  </si>
  <si>
    <t xml:space="preserve">Set monthly targets per brand – enquiries, bookings, £ booked</t>
  </si>
  <si>
    <t xml:space="preserve">Track goals completed vs targets – review every Tuesday</t>
  </si>
  <si>
    <t xml:space="preserve">Weekly</t>
  </si>
  <si>
    <t xml:space="preserve">Social media content calendar across all brands</t>
  </si>
  <si>
    <t xml:space="preserve">Website</t>
  </si>
  <si>
    <t xml:space="preserve">Audit every page on every brand website – wording and what goes where</t>
  </si>
  <si>
    <t xml:space="preserve">From end Oct</t>
  </si>
  <si>
    <t xml:space="preserve">First job when Lois starts</t>
  </si>
  <si>
    <t xml:space="preserve">Check all website wording is right for SEO</t>
  </si>
  <si>
    <t xml:space="preserve">Extend website wording where pages are thin</t>
  </si>
  <si>
    <t xml:space="preserve">Nov–Dec</t>
  </si>
  <si>
    <t xml:space="preserve">Bring case studies up to date on every site</t>
  </si>
  <si>
    <t xml:space="preserve">Blogs</t>
  </si>
  <si>
    <t xml:space="preserve">Check blogs are generating SEO traffic</t>
  </si>
  <si>
    <t xml:space="preserve">Blog calendar for each brand</t>
  </si>
  <si>
    <t xml:space="preserve">Nov</t>
  </si>
  <si>
    <t xml:space="preserve">Client experience</t>
  </si>
  <si>
    <t xml:space="preserve">Map the client journey: enquiry → quote → booking → event → follow-up</t>
  </si>
  <si>
    <t xml:space="preserve">Cat + Lois brainstorm</t>
  </si>
  <si>
    <t xml:space="preserve">Collect reviews after every event – set a simple process</t>
  </si>
  <si>
    <t xml:space="preserve">Brochures</t>
  </si>
  <si>
    <t xml:space="preserve">Check every brand has a brochure ready to send</t>
  </si>
  <si>
    <t xml:space="preserve">Mail shots</t>
  </si>
  <si>
    <t xml:space="preserve">Mail shot plan for every brand – calendar and contact lists</t>
  </si>
  <si>
    <t xml:space="preserve">Oct–Nov</t>
  </si>
  <si>
    <t xml:space="preserve">PR</t>
  </si>
  <si>
    <t xml:space="preserve">Press release plan for each brand</t>
  </si>
  <si>
    <t xml:space="preserve">BNC Exhibition</t>
  </si>
  <si>
    <t xml:space="preserve">Stand concept, styling and layout</t>
  </si>
  <si>
    <t xml:space="preserve">Stand materials – banners, brochures, signage</t>
  </si>
  <si>
    <t xml:space="preserve">Tasting, demo or experience on the stand</t>
  </si>
  <si>
    <t xml:space="preserve">Staff rota for the stand</t>
  </si>
  <si>
    <t xml:space="preserve">Promote our attendance through BNC's marketing channels</t>
  </si>
  <si>
    <t xml:space="preserve">Promote our attendance on our own social media and mail shots</t>
  </si>
  <si>
    <t xml:space="preserve">Lead capture on the day – contact details and enquiries</t>
  </si>
  <si>
    <t xml:space="preserve">Event day</t>
  </si>
  <si>
    <t xml:space="preserve">Photos and video on the day</t>
  </si>
  <si>
    <t xml:space="preserve">Follow up every lead within a week</t>
  </si>
  <si>
    <t xml:space="preserve">Early Nov</t>
  </si>
  <si>
    <t xml:space="preserve">Venue Sourcing</t>
  </si>
  <si>
    <t xml:space="preserve">Pick the top 20 venues to go after first</t>
  </si>
  <si>
    <t xml:space="preserve">Find out how each venue picks suppliers – preferred supplier lists, tenders, commission</t>
  </si>
  <si>
    <t xml:space="preserve">Supper club packages</t>
  </si>
  <si>
    <t xml:space="preserve">Other packages – corporate, launches, wellness days, Latino nights</t>
  </si>
  <si>
    <t xml:space="preserve">Venue brochure / supplier pack</t>
  </si>
  <si>
    <t xml:space="preserve">Case studies to show venues</t>
  </si>
  <si>
    <t xml:space="preserve">Use Free Spirit at Menier as the model</t>
  </si>
  <si>
    <t xml:space="preserve">Outreach plan – email, call, visit</t>
  </si>
  <si>
    <t xml:space="preserve">Invite venue managers to a tasting or showcase</t>
  </si>
  <si>
    <t xml:space="preserve">Follow up and get onto preferred supplier lists</t>
  </si>
  <si>
    <t xml:space="preserve">Christmas</t>
  </si>
  <si>
    <t xml:space="preserve">Christmas mail shot to past clients and followers</t>
  </si>
  <si>
    <t xml:space="preserve">Christmas brochure</t>
  </si>
  <si>
    <t xml:space="preserve">Fast follow-up on Christmas enquiries and quotes</t>
  </si>
  <si>
    <t xml:space="preserve">Danelle + Ana</t>
  </si>
  <si>
    <t xml:space="preserve">Brand activations</t>
  </si>
  <si>
    <t xml:space="preserve">Gather photos and case studies from past brand activations</t>
  </si>
  <si>
    <t xml:space="preserve">Brand activation pitch – 'we bring your brand to life'</t>
  </si>
  <si>
    <t xml:space="preserve">Target list of companies to pitch</t>
  </si>
  <si>
    <t xml:space="preserve">Outreach and book meetings with target companies</t>
  </si>
  <si>
    <t xml:space="preserve">Harvest Moon</t>
  </si>
  <si>
    <t xml:space="preserve">Write up Harvest Moon as the flagship concept example – photos, story, menu</t>
  </si>
  <si>
    <t xml:space="preserve">Develop more concepts in the same style for pitches</t>
  </si>
  <si>
    <t xml:space="preserve">Nov–Jan</t>
  </si>
  <si>
    <t xml:space="preserve">Showcase event</t>
  </si>
  <si>
    <t xml:space="preserve">Plan the food and menu</t>
  </si>
  <si>
    <t xml:space="preserve">Create a luxury concept and styling – every touchpoint high-end</t>
  </si>
  <si>
    <t xml:space="preserve">Luxury experience is the brief</t>
  </si>
  <si>
    <t xml:space="preserve">Videographer and photographer brief and shot list – film the whole experience</t>
  </si>
  <si>
    <t xml:space="preserve">Capture video testimonials and written reviews from the Menier team</t>
  </si>
  <si>
    <t xml:space="preserve">After the event</t>
  </si>
  <si>
    <t xml:space="preserve">Write the case study</t>
  </si>
  <si>
    <t xml:space="preserve">After event</t>
  </si>
  <si>
    <t xml:space="preserve">Marketing campaign to venues showing what we can do</t>
  </si>
  <si>
    <t xml:space="preserve">Free Spirit brochure / venue pack</t>
  </si>
  <si>
    <t xml:space="preserve">Add case study and gallery to website</t>
  </si>
  <si>
    <t xml:space="preserve">Research</t>
  </si>
  <si>
    <t xml:space="preserve">Research what's trending in the wellness industry</t>
  </si>
  <si>
    <t xml:space="preserve">Launch follow-up</t>
  </si>
  <si>
    <t xml:space="preserve">Use launch photos and videos for a case study and social posts</t>
  </si>
  <si>
    <t xml:space="preserve">Quick win</t>
  </si>
  <si>
    <t xml:space="preserve">Vision</t>
  </si>
  <si>
    <t xml:space="preserve">Brainstorm sessions with Steph, Raquel and Ana</t>
  </si>
  <si>
    <t xml:space="preserve">Define the Pichi vision – music, food, energy, Zumba, all of Latino culture</t>
  </si>
  <si>
    <t xml:space="preserve">Plan the website structure</t>
  </si>
  <si>
    <t xml:space="preserve">Write all website wording</t>
  </si>
  <si>
    <t xml:space="preserve">Build and launch the website</t>
  </si>
  <si>
    <t xml:space="preserve">Dec–Jan</t>
  </si>
  <si>
    <t xml:space="preserve">Marketing</t>
  </si>
  <si>
    <t xml:space="preserve">Pichi marketing materials – brochure and social templates</t>
  </si>
  <si>
    <t xml:space="preserve">Pichi social media pages and content</t>
  </si>
  <si>
    <t xml:space="preserve">Marketing plan</t>
  </si>
  <si>
    <t xml:space="preserve">Marketing plan built on 'we make people look cool'</t>
  </si>
  <si>
    <t xml:space="preserve">Showcase</t>
  </si>
  <si>
    <t xml:space="preserve">Photoshoot of the regular team – the great faces and attitude</t>
  </si>
  <si>
    <t xml:space="preserve">Team profiles and social posts featuring the staff</t>
  </si>
  <si>
    <t xml:space="preserve">Sales</t>
  </si>
  <si>
    <t xml:space="preserve">Staffing brochure for venues and agencies</t>
  </si>
  <si>
    <t xml:space="preserve">Target list of venues, agencies and event companies</t>
  </si>
  <si>
    <t xml:space="preserve">Christmas staffing push to venues</t>
  </si>
  <si>
    <t xml:space="preserve">Collect client reviews</t>
  </si>
  <si>
    <t xml:space="preserve">Content</t>
  </si>
  <si>
    <t xml:space="preserve">Gather photos and videos of past VENN work</t>
  </si>
  <si>
    <t xml:space="preserve">Content showcasing Jess and Dave's eye and styling ideas</t>
  </si>
  <si>
    <t xml:space="preserve">VENN case studies</t>
  </si>
  <si>
    <t xml:space="preserve">VENN brochure</t>
  </si>
  <si>
    <t xml:space="preserve">Dec</t>
  </si>
  <si>
    <t xml:space="preserve">Be-Zing Kids</t>
  </si>
  <si>
    <t xml:space="preserve">Kids: marketing plan – its own plan, targets and audience (schools)</t>
  </si>
  <si>
    <t xml:space="preserve">Separate from Youth</t>
  </si>
  <si>
    <t xml:space="preserve">Kids: bring the wellness wheel to life – content explaining each part</t>
  </si>
  <si>
    <t xml:space="preserve">Kids: introduce Be-Zing Kids to schools – intro pack / email</t>
  </si>
  <si>
    <t xml:space="preserve">Kids: build a schools contact list</t>
  </si>
  <si>
    <t xml:space="preserve">Kids: Christmas ideas for schools</t>
  </si>
  <si>
    <t xml:space="preserve">Kids: design the end-of-year competition – theme, rules, prizes</t>
  </si>
  <si>
    <t xml:space="preserve">Kids: launch the competition to schools by January</t>
  </si>
  <si>
    <t xml:space="preserve">By Jan</t>
  </si>
  <si>
    <t xml:space="preserve">Kids: plan the award ceremony with the wellness wheel animals</t>
  </si>
  <si>
    <t xml:space="preserve">Jan</t>
  </si>
  <si>
    <t xml:space="preserve">Check details with Charlotte</t>
  </si>
  <si>
    <t xml:space="preserve">Kids: back-to-school ideas for next term</t>
  </si>
  <si>
    <t xml:space="preserve">Kids: mail shots to schools</t>
  </si>
  <si>
    <t xml:space="preserve">Kids: social media pages and content</t>
  </si>
  <si>
    <t xml:space="preserve">Kids: blogs</t>
  </si>
  <si>
    <t xml:space="preserve">Kids: brochure / schools pack</t>
  </si>
  <si>
    <t xml:space="preserve">Kids: website wording</t>
  </si>
  <si>
    <t xml:space="preserve">Be-Zing Youth</t>
  </si>
  <si>
    <t xml:space="preserve">Youth: marketing plan – its own plan, targets and audience</t>
  </si>
  <si>
    <t xml:space="preserve">Separate from Kids</t>
  </si>
  <si>
    <t xml:space="preserve">Youth: market the DofE courses to schools and DofE centres</t>
  </si>
  <si>
    <t xml:space="preserve">Youth: market the creative courses</t>
  </si>
  <si>
    <t xml:space="preserve">Youth: start TikTok</t>
  </si>
  <si>
    <t xml:space="preserve">Youth: social media pages and content</t>
  </si>
  <si>
    <t xml:space="preserve">Youth: mail shots</t>
  </si>
  <si>
    <t xml:space="preserve">Youth: blogs</t>
  </si>
  <si>
    <t xml:space="preserve">Youth: course brochure</t>
  </si>
  <si>
    <t xml:space="preserve">Youth: website wording and course pages</t>
  </si>
  <si>
    <t xml:space="preserve">The Edit</t>
  </si>
  <si>
    <t xml:space="preserve">Define the concept and sections – luxury catering, Latino culture, wellness, styling, staffing, youth</t>
  </si>
  <si>
    <t xml:space="preserve">'You've seen it here first'</t>
  </si>
  <si>
    <t xml:space="preserve">Gather content and photos from every brand</t>
  </si>
  <si>
    <t xml:space="preserve">Write the copy</t>
  </si>
  <si>
    <t xml:space="preserve">Design it using the brand identities in Claude Design</t>
  </si>
  <si>
    <t xml:space="preserve">Plan distribution – print, digital, mail shot</t>
  </si>
  <si>
    <t xml:space="preserve">Team calendar</t>
  </si>
  <si>
    <t xml:space="preserve">Finance</t>
  </si>
  <si>
    <t xml:space="preserve">Connect Xero to Monday and Claude</t>
  </si>
  <si>
    <t xml:space="preserve">Integrate financial plans and targets</t>
  </si>
  <si>
    <t xml:space="preserve">Stock control</t>
  </si>
  <si>
    <t xml:space="preserve">Pull together the stock list</t>
  </si>
  <si>
    <t xml:space="preserve">Scope and build the stock control system (trial)</t>
  </si>
  <si>
    <t xml:space="preserve">Packing lists and processes</t>
  </si>
  <si>
    <t xml:space="preserve">2027</t>
  </si>
  <si>
    <t xml:space="preserve">Hygiene &amp; safety</t>
  </si>
  <si>
    <t xml:space="preserve">Review the hygiene and safety systems</t>
  </si>
  <si>
    <t xml:space="preserve">Bring hygiene and safety files into one place</t>
  </si>
  <si>
    <t xml:space="preserve">Staffing systems</t>
  </si>
  <si>
    <t xml:space="preserve">Database review of the Replit staff app</t>
  </si>
  <si>
    <t xml:space="preserve">Staff app – shifts, clocking in/out, pay, documents</t>
  </si>
  <si>
    <t xml:space="preserve">Timesheets feeding into payroll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</si>
</sst>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F6C00"/>
      <name val="Arial"/>
      <family val="0"/>
      <charset val="1"/>
    </font>
    <font>
      <b val="true"/>
      <sz val="10"/>
      <color rgb="FF607D8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DEDED"/>
        <bgColor rgb="FFECEFF1"/>
      </patternFill>
    </fill>
    <fill>
      <patternFill patternType="solid">
        <fgColor rgb="FFFFF4E5"/>
        <bgColor rgb="FFFFF0F5"/>
      </patternFill>
    </fill>
    <fill>
      <patternFill patternType="solid">
        <fgColor rgb="FFFFE0B2"/>
        <bgColor rgb="FFFDECEA"/>
      </patternFill>
    </fill>
    <fill>
      <patternFill patternType="solid">
        <fgColor rgb="FFE8F5E9"/>
        <bgColor rgb="FFECEFF1"/>
      </patternFill>
    </fill>
    <fill>
      <patternFill patternType="solid">
        <fgColor rgb="FFFFF0F5"/>
        <bgColor rgb="FFFDECEA"/>
      </patternFill>
    </fill>
    <fill>
      <patternFill patternType="solid">
        <fgColor rgb="FFFDECEA"/>
        <bgColor rgb="FFFFF0F5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DEDED"/>
      </patternFill>
    </fill>
    <fill>
      <patternFill patternType="solid">
        <fgColor rgb="FFFFFDE7"/>
        <bgColor rgb="FFFFF4E5"/>
      </patternFill>
    </fill>
    <fill>
      <patternFill patternType="solid">
        <fgColor rgb="FFE0F7FA"/>
        <bgColor rgb="FFE3F2FD"/>
      </patternFill>
    </fill>
    <fill>
      <patternFill patternType="solid">
        <fgColor rgb="FFECEFF1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1F1F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0F5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07D8B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F6C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0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607D8B"/>
      <rgbColor rgb="FF9999FF"/>
      <rgbColor rgb="FF993366"/>
      <rgbColor rgb="FFFFFDE7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4E5"/>
      <rgbColor rgb="FFEDEDED"/>
      <rgbColor rgb="FFFDECEA"/>
      <rgbColor rgb="FFECEFF1"/>
      <rgbColor rgb="FFFFE0B2"/>
      <rgbColor rgb="FF3366FF"/>
      <rgbColor rgb="FF33CCCC"/>
      <rgbColor rgb="FF99CC00"/>
      <rgbColor rgb="FFFFCC00"/>
      <rgbColor rgb="FFFF9900"/>
      <rgbColor rgb="FFEF6C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3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6" t="s">
        <v>10</v>
      </c>
      <c r="D5" s="6" t="s">
        <v>11</v>
      </c>
      <c r="E5" s="6"/>
      <c r="F5" s="4" t="s">
        <v>12</v>
      </c>
      <c r="G5" s="6" t="s">
        <v>13</v>
      </c>
    </row>
    <row r="6" customFormat="false" ht="15" hidden="false" customHeight="false" outlineLevel="0" collapsed="false">
      <c r="A6" s="4" t="n">
        <v>2</v>
      </c>
      <c r="B6" s="5" t="s">
        <v>9</v>
      </c>
      <c r="C6" s="6" t="s">
        <v>14</v>
      </c>
      <c r="D6" s="6" t="s">
        <v>11</v>
      </c>
      <c r="E6" s="6"/>
      <c r="F6" s="4" t="s">
        <v>12</v>
      </c>
      <c r="G6" s="6" t="s">
        <v>15</v>
      </c>
    </row>
    <row r="7" customFormat="false" ht="15" hidden="false" customHeight="false" outlineLevel="0" collapsed="false">
      <c r="A7" s="4" t="n">
        <v>3</v>
      </c>
      <c r="B7" s="5" t="s">
        <v>9</v>
      </c>
      <c r="C7" s="6" t="s">
        <v>16</v>
      </c>
      <c r="D7" s="6" t="s">
        <v>11</v>
      </c>
      <c r="E7" s="6"/>
      <c r="F7" s="4" t="s">
        <v>12</v>
      </c>
      <c r="G7" s="6" t="s">
        <v>17</v>
      </c>
    </row>
    <row r="8" customFormat="false" ht="15" hidden="false" customHeight="false" outlineLevel="0" collapsed="false">
      <c r="A8" s="4" t="n">
        <v>4</v>
      </c>
      <c r="B8" s="5" t="s">
        <v>9</v>
      </c>
      <c r="C8" s="6" t="s">
        <v>18</v>
      </c>
      <c r="D8" s="6" t="s">
        <v>11</v>
      </c>
      <c r="E8" s="6"/>
      <c r="F8" s="4" t="s">
        <v>12</v>
      </c>
      <c r="G8" s="6"/>
    </row>
    <row r="9" customFormat="false" ht="23.85" hidden="false" customHeight="false" outlineLevel="0" collapsed="false">
      <c r="A9" s="4" t="n">
        <v>5</v>
      </c>
      <c r="B9" s="5" t="s">
        <v>9</v>
      </c>
      <c r="C9" s="6" t="s">
        <v>19</v>
      </c>
      <c r="D9" s="6" t="s">
        <v>20</v>
      </c>
      <c r="E9" s="6"/>
      <c r="F9" s="4" t="s">
        <v>12</v>
      </c>
      <c r="G9" s="6" t="s">
        <v>21</v>
      </c>
    </row>
    <row r="10" customFormat="false" ht="15" hidden="false" customHeight="false" outlineLevel="0" collapsed="false">
      <c r="A10" s="4" t="n">
        <v>6</v>
      </c>
      <c r="B10" s="5" t="s">
        <v>9</v>
      </c>
      <c r="C10" s="6" t="s">
        <v>22</v>
      </c>
      <c r="D10" s="6" t="s">
        <v>23</v>
      </c>
      <c r="E10" s="6"/>
      <c r="F10" s="4" t="s">
        <v>12</v>
      </c>
      <c r="G10" s="6"/>
    </row>
    <row r="11" customFormat="false" ht="15" hidden="false" customHeight="false" outlineLevel="0" collapsed="false">
      <c r="A11" s="4" t="n">
        <v>7</v>
      </c>
      <c r="B11" s="5" t="s">
        <v>9</v>
      </c>
      <c r="C11" s="6" t="s">
        <v>24</v>
      </c>
      <c r="D11" s="6" t="s">
        <v>23</v>
      </c>
      <c r="E11" s="6"/>
      <c r="F11" s="4" t="s">
        <v>12</v>
      </c>
      <c r="G11" s="6" t="s">
        <v>25</v>
      </c>
    </row>
    <row r="12" customFormat="false" ht="15" hidden="false" customHeight="false" outlineLevel="0" collapsed="false">
      <c r="A12" s="4" t="n">
        <v>8</v>
      </c>
      <c r="B12" s="5" t="s">
        <v>9</v>
      </c>
      <c r="C12" s="6" t="s">
        <v>26</v>
      </c>
      <c r="D12" s="6" t="s">
        <v>23</v>
      </c>
      <c r="E12" s="6"/>
      <c r="F12" s="4" t="s">
        <v>12</v>
      </c>
      <c r="G12" s="6" t="s">
        <v>25</v>
      </c>
    </row>
    <row r="13" customFormat="false" ht="15" hidden="false" customHeight="false" outlineLevel="0" collapsed="false">
      <c r="A13" s="4" t="n">
        <v>9</v>
      </c>
      <c r="B13" s="5" t="s">
        <v>9</v>
      </c>
      <c r="C13" s="6" t="s">
        <v>27</v>
      </c>
      <c r="D13" s="6" t="s">
        <v>23</v>
      </c>
      <c r="E13" s="6"/>
      <c r="F13" s="4" t="s">
        <v>12</v>
      </c>
      <c r="G13" s="6" t="s">
        <v>25</v>
      </c>
    </row>
    <row r="14" customFormat="false" ht="15" hidden="false" customHeight="false" outlineLevel="0" collapsed="false">
      <c r="A14" s="4" t="n">
        <v>28</v>
      </c>
      <c r="B14" s="5" t="s">
        <v>28</v>
      </c>
      <c r="C14" s="6" t="s">
        <v>29</v>
      </c>
      <c r="D14" s="6" t="s">
        <v>30</v>
      </c>
      <c r="E14" s="6"/>
      <c r="F14" s="4" t="s">
        <v>12</v>
      </c>
      <c r="G14" s="6" t="s">
        <v>31</v>
      </c>
    </row>
    <row r="15" customFormat="false" ht="15" hidden="false" customHeight="false" outlineLevel="0" collapsed="false">
      <c r="A15" s="4" t="n">
        <v>30</v>
      </c>
      <c r="B15" s="5" t="s">
        <v>32</v>
      </c>
      <c r="C15" s="6" t="s">
        <v>33</v>
      </c>
      <c r="D15" s="6" t="s">
        <v>34</v>
      </c>
      <c r="E15" s="6"/>
      <c r="F15" s="4" t="s">
        <v>12</v>
      </c>
      <c r="G15" s="6" t="s">
        <v>35</v>
      </c>
    </row>
    <row r="16" customFormat="false" ht="23.85" hidden="false" customHeight="false" outlineLevel="0" collapsed="false">
      <c r="A16" s="4" t="n">
        <v>31</v>
      </c>
      <c r="B16" s="5" t="s">
        <v>32</v>
      </c>
      <c r="C16" s="6" t="s">
        <v>36</v>
      </c>
      <c r="D16" s="6" t="s">
        <v>34</v>
      </c>
      <c r="E16" s="6"/>
      <c r="F16" s="4" t="s">
        <v>12</v>
      </c>
      <c r="G16" s="6"/>
    </row>
    <row r="17" customFormat="false" ht="15" hidden="false" customHeight="false" outlineLevel="0" collapsed="false">
      <c r="A17" s="4" t="n">
        <v>32</v>
      </c>
      <c r="B17" s="5" t="s">
        <v>32</v>
      </c>
      <c r="C17" s="6" t="s">
        <v>37</v>
      </c>
      <c r="D17" s="6" t="s">
        <v>38</v>
      </c>
      <c r="E17" s="6"/>
      <c r="F17" s="4" t="s">
        <v>12</v>
      </c>
      <c r="G17" s="6"/>
    </row>
    <row r="18" customFormat="false" ht="15" hidden="false" customHeight="false" outlineLevel="0" collapsed="false">
      <c r="A18" s="4" t="n">
        <v>33</v>
      </c>
      <c r="B18" s="5" t="s">
        <v>32</v>
      </c>
      <c r="C18" s="6" t="s">
        <v>39</v>
      </c>
      <c r="D18" s="6" t="s">
        <v>38</v>
      </c>
      <c r="E18" s="6"/>
      <c r="F18" s="4" t="s">
        <v>12</v>
      </c>
      <c r="G18" s="6"/>
    </row>
    <row r="19" customFormat="false" ht="23.85" hidden="false" customHeight="false" outlineLevel="0" collapsed="false">
      <c r="A19" s="4" t="n">
        <v>43</v>
      </c>
      <c r="B19" s="5" t="s">
        <v>40</v>
      </c>
      <c r="C19" s="6" t="s">
        <v>41</v>
      </c>
      <c r="D19" s="6" t="s">
        <v>34</v>
      </c>
      <c r="E19" s="6"/>
      <c r="F19" s="4" t="s">
        <v>12</v>
      </c>
      <c r="G19" s="6" t="s">
        <v>42</v>
      </c>
    </row>
    <row r="20" customFormat="false" ht="15" hidden="false" customHeight="false" outlineLevel="0" collapsed="false">
      <c r="A20" s="4" t="n">
        <v>44</v>
      </c>
      <c r="B20" s="5" t="s">
        <v>40</v>
      </c>
      <c r="C20" s="6" t="s">
        <v>43</v>
      </c>
      <c r="D20" s="6" t="s">
        <v>34</v>
      </c>
      <c r="E20" s="6"/>
      <c r="F20" s="4" t="s">
        <v>12</v>
      </c>
      <c r="G20" s="6"/>
    </row>
    <row r="21" customFormat="false" ht="15" hidden="false" customHeight="false" outlineLevel="0" collapsed="false">
      <c r="A21" s="4" t="n">
        <v>45</v>
      </c>
      <c r="B21" s="5" t="s">
        <v>40</v>
      </c>
      <c r="C21" s="6" t="s">
        <v>44</v>
      </c>
      <c r="D21" s="6" t="s">
        <v>34</v>
      </c>
      <c r="E21" s="6"/>
      <c r="F21" s="4" t="s">
        <v>12</v>
      </c>
      <c r="G21" s="6"/>
    </row>
    <row r="22" customFormat="false" ht="23.85" hidden="false" customHeight="false" outlineLevel="0" collapsed="false">
      <c r="A22" s="4" t="n">
        <v>48</v>
      </c>
      <c r="B22" s="5" t="s">
        <v>40</v>
      </c>
      <c r="C22" s="6" t="s">
        <v>45</v>
      </c>
      <c r="D22" s="6" t="s">
        <v>34</v>
      </c>
      <c r="E22" s="6"/>
      <c r="F22" s="4" t="s">
        <v>12</v>
      </c>
      <c r="G22" s="6" t="s">
        <v>46</v>
      </c>
    </row>
    <row r="23" customFormat="false" ht="23.85" hidden="false" customHeight="false" outlineLevel="0" collapsed="false">
      <c r="A23" s="4" t="n">
        <v>55</v>
      </c>
      <c r="B23" s="5" t="s">
        <v>40</v>
      </c>
      <c r="C23" s="6" t="s">
        <v>47</v>
      </c>
      <c r="D23" s="6" t="s">
        <v>23</v>
      </c>
      <c r="E23" s="6"/>
      <c r="F23" s="4" t="s">
        <v>12</v>
      </c>
      <c r="G23" s="6" t="s">
        <v>48</v>
      </c>
    </row>
    <row r="24" customFormat="false" ht="23.85" hidden="false" customHeight="false" outlineLevel="0" collapsed="false">
      <c r="A24" s="4" t="n">
        <v>57</v>
      </c>
      <c r="B24" s="5" t="s">
        <v>49</v>
      </c>
      <c r="C24" s="6" t="s">
        <v>50</v>
      </c>
      <c r="D24" s="6" t="s">
        <v>51</v>
      </c>
      <c r="E24" s="6"/>
      <c r="F24" s="4" t="s">
        <v>12</v>
      </c>
      <c r="G24" s="6" t="s">
        <v>52</v>
      </c>
    </row>
    <row r="25" customFormat="false" ht="23.85" hidden="false" customHeight="false" outlineLevel="0" collapsed="false">
      <c r="A25" s="4" t="n">
        <v>59</v>
      </c>
      <c r="B25" s="5" t="s">
        <v>49</v>
      </c>
      <c r="C25" s="6" t="s">
        <v>53</v>
      </c>
      <c r="D25" s="6" t="s">
        <v>38</v>
      </c>
      <c r="E25" s="6"/>
      <c r="F25" s="4" t="s">
        <v>12</v>
      </c>
      <c r="G25" s="6"/>
    </row>
    <row r="26" customFormat="false" ht="23.85" hidden="false" customHeight="false" outlineLevel="0" collapsed="false">
      <c r="A26" s="4" t="n">
        <v>68</v>
      </c>
      <c r="B26" s="5" t="s">
        <v>54</v>
      </c>
      <c r="C26" s="6" t="s">
        <v>55</v>
      </c>
      <c r="D26" s="6" t="s">
        <v>34</v>
      </c>
      <c r="E26" s="6"/>
      <c r="F26" s="4" t="s">
        <v>12</v>
      </c>
      <c r="G26" s="6" t="s">
        <v>56</v>
      </c>
    </row>
    <row r="27" customFormat="false" ht="23.85" hidden="false" customHeight="false" outlineLevel="0" collapsed="false">
      <c r="A27" s="4" t="n">
        <v>69</v>
      </c>
      <c r="B27" s="5" t="s">
        <v>54</v>
      </c>
      <c r="C27" s="6" t="s">
        <v>57</v>
      </c>
      <c r="D27" s="6" t="s">
        <v>58</v>
      </c>
      <c r="E27" s="6"/>
      <c r="F27" s="4" t="s">
        <v>12</v>
      </c>
      <c r="G27" s="6" t="s">
        <v>59</v>
      </c>
    </row>
    <row r="28" customFormat="false" ht="15" hidden="false" customHeight="false" outlineLevel="0" collapsed="false">
      <c r="A28" s="4" t="n">
        <v>70</v>
      </c>
      <c r="B28" s="5" t="s">
        <v>54</v>
      </c>
      <c r="C28" s="6" t="s">
        <v>60</v>
      </c>
      <c r="D28" s="6" t="s">
        <v>58</v>
      </c>
      <c r="E28" s="6"/>
      <c r="F28" s="4" t="s">
        <v>12</v>
      </c>
      <c r="G28" s="6" t="s">
        <v>61</v>
      </c>
    </row>
    <row r="29" customFormat="false" ht="23.85" hidden="false" customHeight="false" outlineLevel="0" collapsed="false">
      <c r="A29" s="4" t="n">
        <v>80</v>
      </c>
      <c r="B29" s="5" t="s">
        <v>62</v>
      </c>
      <c r="C29" s="6" t="s">
        <v>63</v>
      </c>
      <c r="D29" s="6" t="s">
        <v>23</v>
      </c>
      <c r="E29" s="6"/>
      <c r="F29" s="4" t="s">
        <v>12</v>
      </c>
      <c r="G29" s="6" t="s">
        <v>64</v>
      </c>
    </row>
    <row r="30" customFormat="false" ht="15" hidden="false" customHeight="false" outlineLevel="0" collapsed="false">
      <c r="A30" s="4" t="n">
        <v>128</v>
      </c>
      <c r="B30" s="5" t="s">
        <v>65</v>
      </c>
      <c r="C30" s="6" t="s">
        <v>66</v>
      </c>
      <c r="D30" s="6" t="s">
        <v>38</v>
      </c>
      <c r="E30" s="6"/>
      <c r="F30" s="4" t="s">
        <v>12</v>
      </c>
      <c r="G30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9.7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3" t="s">
        <v>3</v>
      </c>
      <c r="B4" s="3" t="s">
        <v>34</v>
      </c>
      <c r="C4" s="3" t="s">
        <v>70</v>
      </c>
      <c r="D4" s="3" t="s">
        <v>71</v>
      </c>
      <c r="E4" s="3" t="s">
        <v>72</v>
      </c>
      <c r="F4" s="3" t="s">
        <v>73</v>
      </c>
    </row>
    <row r="5" customFormat="false" ht="15" hidden="false" customHeight="false" outlineLevel="0" collapsed="false">
      <c r="A5" s="7" t="s">
        <v>9</v>
      </c>
      <c r="B5" s="8" t="n">
        <f aca="false">COUNTIFS('Task List'!$B$5:$B$142,$A5,'Task List'!$F$5:$F$142,"Now")</f>
        <v>9</v>
      </c>
      <c r="C5" s="8" t="n">
        <f aca="false">COUNTIFS('Task List'!$B$5:$B$142,$A5,'Task List'!$F$5:$F$142,"Next")</f>
        <v>4</v>
      </c>
      <c r="D5" s="8" t="n">
        <f aca="false">COUNTIFS('Task List'!$B$5:$B$142,$A5,'Task List'!$F$5:$F$142,"Later")</f>
        <v>0</v>
      </c>
      <c r="E5" s="8" t="n">
        <f aca="false">SUM(B5:D5)</f>
        <v>13</v>
      </c>
      <c r="F5" s="8" t="n">
        <f aca="false">COUNTIFS('Task List'!$B$5:$B$142,$A5,'Task List'!$I$5:$I$142,"Done")</f>
        <v>0</v>
      </c>
    </row>
    <row r="6" customFormat="false" ht="15" hidden="false" customHeight="false" outlineLevel="0" collapsed="false">
      <c r="A6" s="7" t="s">
        <v>28</v>
      </c>
      <c r="B6" s="8" t="n">
        <f aca="false">COUNTIFS('Task List'!$B$5:$B$142,$A6,'Task List'!$F$5:$F$142,"Now")</f>
        <v>1</v>
      </c>
      <c r="C6" s="8" t="n">
        <f aca="false">COUNTIFS('Task List'!$B$5:$B$142,$A6,'Task List'!$F$5:$F$142,"Next")</f>
        <v>12</v>
      </c>
      <c r="D6" s="8" t="n">
        <f aca="false">COUNTIFS('Task List'!$B$5:$B$142,$A6,'Task List'!$F$5:$F$142,"Later")</f>
        <v>3</v>
      </c>
      <c r="E6" s="8" t="n">
        <f aca="false">SUM(B6:D6)</f>
        <v>16</v>
      </c>
      <c r="F6" s="8" t="n">
        <f aca="false">COUNTIFS('Task List'!$B$5:$B$142,$A6,'Task List'!$I$5:$I$142,"Done")</f>
        <v>0</v>
      </c>
    </row>
    <row r="7" customFormat="false" ht="15" hidden="false" customHeight="false" outlineLevel="0" collapsed="false">
      <c r="A7" s="7" t="s">
        <v>32</v>
      </c>
      <c r="B7" s="8" t="n">
        <f aca="false">COUNTIFS('Task List'!$B$5:$B$142,$A7,'Task List'!$F$5:$F$142,"Now")</f>
        <v>4</v>
      </c>
      <c r="C7" s="8" t="n">
        <f aca="false">COUNTIFS('Task List'!$B$5:$B$142,$A7,'Task List'!$F$5:$F$142,"Next")</f>
        <v>9</v>
      </c>
      <c r="D7" s="8" t="n">
        <f aca="false">COUNTIFS('Task List'!$B$5:$B$142,$A7,'Task List'!$F$5:$F$142,"Later")</f>
        <v>0</v>
      </c>
      <c r="E7" s="8" t="n">
        <f aca="false">SUM(B7:D7)</f>
        <v>13</v>
      </c>
      <c r="F7" s="8" t="n">
        <f aca="false">COUNTIFS('Task List'!$B$5:$B$142,$A7,'Task List'!$I$5:$I$142,"Done")</f>
        <v>0</v>
      </c>
    </row>
    <row r="8" customFormat="false" ht="15" hidden="false" customHeight="false" outlineLevel="0" collapsed="false">
      <c r="A8" s="7" t="s">
        <v>40</v>
      </c>
      <c r="B8" s="8" t="n">
        <f aca="false">COUNTIFS('Task List'!$B$5:$B$142,$A8,'Task List'!$F$5:$F$142,"Now")</f>
        <v>5</v>
      </c>
      <c r="C8" s="8" t="n">
        <f aca="false">COUNTIFS('Task List'!$B$5:$B$142,$A8,'Task List'!$F$5:$F$142,"Next")</f>
        <v>9</v>
      </c>
      <c r="D8" s="8" t="n">
        <f aca="false">COUNTIFS('Task List'!$B$5:$B$142,$A8,'Task List'!$F$5:$F$142,"Later")</f>
        <v>0</v>
      </c>
      <c r="E8" s="8" t="n">
        <f aca="false">SUM(B8:D8)</f>
        <v>14</v>
      </c>
      <c r="F8" s="8" t="n">
        <f aca="false">COUNTIFS('Task List'!$B$5:$B$142,$A8,'Task List'!$I$5:$I$142,"Done")</f>
        <v>0</v>
      </c>
    </row>
    <row r="9" customFormat="false" ht="15" hidden="false" customHeight="false" outlineLevel="0" collapsed="false">
      <c r="A9" s="7" t="s">
        <v>49</v>
      </c>
      <c r="B9" s="8" t="n">
        <f aca="false">COUNTIFS('Task List'!$B$5:$B$142,$A9,'Task List'!$F$5:$F$142,"Now")</f>
        <v>2</v>
      </c>
      <c r="C9" s="8" t="n">
        <f aca="false">COUNTIFS('Task List'!$B$5:$B$142,$A9,'Task List'!$F$5:$F$142,"Next")</f>
        <v>8</v>
      </c>
      <c r="D9" s="8" t="n">
        <f aca="false">COUNTIFS('Task List'!$B$5:$B$142,$A9,'Task List'!$F$5:$F$142,"Later")</f>
        <v>1</v>
      </c>
      <c r="E9" s="8" t="n">
        <f aca="false">SUM(B9:D9)</f>
        <v>11</v>
      </c>
      <c r="F9" s="8" t="n">
        <f aca="false">COUNTIFS('Task List'!$B$5:$B$142,$A9,'Task List'!$I$5:$I$142,"Done")</f>
        <v>0</v>
      </c>
    </row>
    <row r="10" customFormat="false" ht="15" hidden="false" customHeight="false" outlineLevel="0" collapsed="false">
      <c r="A10" s="7" t="s">
        <v>54</v>
      </c>
      <c r="B10" s="8" t="n">
        <f aca="false">COUNTIFS('Task List'!$B$5:$B$142,$A10,'Task List'!$F$5:$F$142,"Now")</f>
        <v>3</v>
      </c>
      <c r="C10" s="8" t="n">
        <f aca="false">COUNTIFS('Task List'!$B$5:$B$142,$A10,'Task List'!$F$5:$F$142,"Next")</f>
        <v>7</v>
      </c>
      <c r="D10" s="8" t="n">
        <f aca="false">COUNTIFS('Task List'!$B$5:$B$142,$A10,'Task List'!$F$5:$F$142,"Later")</f>
        <v>2</v>
      </c>
      <c r="E10" s="8" t="n">
        <f aca="false">SUM(B10:D10)</f>
        <v>12</v>
      </c>
      <c r="F10" s="8" t="n">
        <f aca="false">COUNTIFS('Task List'!$B$5:$B$142,$A10,'Task List'!$I$5:$I$142,"Done")</f>
        <v>0</v>
      </c>
    </row>
    <row r="11" customFormat="false" ht="15" hidden="false" customHeight="false" outlineLevel="0" collapsed="false">
      <c r="A11" s="7" t="s">
        <v>62</v>
      </c>
      <c r="B11" s="8" t="n">
        <f aca="false">COUNTIFS('Task List'!$B$5:$B$142,$A11,'Task List'!$F$5:$F$142,"Now")</f>
        <v>1</v>
      </c>
      <c r="C11" s="8" t="n">
        <f aca="false">COUNTIFS('Task List'!$B$5:$B$142,$A11,'Task List'!$F$5:$F$142,"Next")</f>
        <v>1</v>
      </c>
      <c r="D11" s="8" t="n">
        <f aca="false">COUNTIFS('Task List'!$B$5:$B$142,$A11,'Task List'!$F$5:$F$142,"Later")</f>
        <v>7</v>
      </c>
      <c r="E11" s="8" t="n">
        <f aca="false">SUM(B11:D11)</f>
        <v>9</v>
      </c>
      <c r="F11" s="8" t="n">
        <f aca="false">COUNTIFS('Task List'!$B$5:$B$142,$A11,'Task List'!$I$5:$I$142,"Done")</f>
        <v>0</v>
      </c>
    </row>
    <row r="12" customFormat="false" ht="15" hidden="false" customHeight="false" outlineLevel="0" collapsed="false">
      <c r="A12" s="7" t="s">
        <v>74</v>
      </c>
      <c r="B12" s="8" t="n">
        <f aca="false">COUNTIFS('Task List'!$B$5:$B$142,$A12,'Task List'!$F$5:$F$142,"Now")</f>
        <v>0</v>
      </c>
      <c r="C12" s="8" t="n">
        <f aca="false">COUNTIFS('Task List'!$B$5:$B$142,$A12,'Task List'!$F$5:$F$142,"Next")</f>
        <v>7</v>
      </c>
      <c r="D12" s="8" t="n">
        <f aca="false">COUNTIFS('Task List'!$B$5:$B$142,$A12,'Task List'!$F$5:$F$142,"Later")</f>
        <v>0</v>
      </c>
      <c r="E12" s="8" t="n">
        <f aca="false">SUM(B12:D12)</f>
        <v>7</v>
      </c>
      <c r="F12" s="8" t="n">
        <f aca="false">COUNTIFS('Task List'!$B$5:$B$142,$A12,'Task List'!$I$5:$I$142,"Done")</f>
        <v>0</v>
      </c>
    </row>
    <row r="13" customFormat="false" ht="15" hidden="false" customHeight="false" outlineLevel="0" collapsed="false">
      <c r="A13" s="7" t="s">
        <v>75</v>
      </c>
      <c r="B13" s="8" t="n">
        <f aca="false">COUNTIFS('Task List'!$B$5:$B$142,$A13,'Task List'!$F$5:$F$142,"Now")</f>
        <v>0</v>
      </c>
      <c r="C13" s="8" t="n">
        <f aca="false">COUNTIFS('Task List'!$B$5:$B$142,$A13,'Task List'!$F$5:$F$142,"Next")</f>
        <v>0</v>
      </c>
      <c r="D13" s="8" t="n">
        <f aca="false">COUNTIFS('Task List'!$B$5:$B$142,$A13,'Task List'!$F$5:$F$142,"Later")</f>
        <v>4</v>
      </c>
      <c r="E13" s="8" t="n">
        <f aca="false">SUM(B13:D13)</f>
        <v>4</v>
      </c>
      <c r="F13" s="8" t="n">
        <f aca="false">COUNTIFS('Task List'!$B$5:$B$142,$A13,'Task List'!$I$5:$I$142,"Done")</f>
        <v>0</v>
      </c>
    </row>
    <row r="14" customFormat="false" ht="15" hidden="false" customHeight="false" outlineLevel="0" collapsed="false">
      <c r="A14" s="7" t="s">
        <v>76</v>
      </c>
      <c r="B14" s="8" t="n">
        <f aca="false">COUNTIFS('Task List'!$B$5:$B$142,$A14,'Task List'!$F$5:$F$142,"Now")</f>
        <v>0</v>
      </c>
      <c r="C14" s="8" t="n">
        <f aca="false">COUNTIFS('Task List'!$B$5:$B$142,$A14,'Task List'!$F$5:$F$142,"Next")</f>
        <v>9</v>
      </c>
      <c r="D14" s="8" t="n">
        <f aca="false">COUNTIFS('Task List'!$B$5:$B$142,$A14,'Task List'!$F$5:$F$142,"Later")</f>
        <v>14</v>
      </c>
      <c r="E14" s="8" t="n">
        <f aca="false">SUM(B14:D14)</f>
        <v>23</v>
      </c>
      <c r="F14" s="8" t="n">
        <f aca="false">COUNTIFS('Task List'!$B$5:$B$142,$A14,'Task List'!$I$5:$I$142,"Done")</f>
        <v>0</v>
      </c>
    </row>
    <row r="15" customFormat="false" ht="15" hidden="false" customHeight="false" outlineLevel="0" collapsed="false">
      <c r="A15" s="7" t="s">
        <v>77</v>
      </c>
      <c r="B15" s="8" t="n">
        <f aca="false">COUNTIFS('Task List'!$B$5:$B$142,$A15,'Task List'!$F$5:$F$142,"Now")</f>
        <v>0</v>
      </c>
      <c r="C15" s="8" t="n">
        <f aca="false">COUNTIFS('Task List'!$B$5:$B$142,$A15,'Task List'!$F$5:$F$142,"Next")</f>
        <v>0</v>
      </c>
      <c r="D15" s="8" t="n">
        <f aca="false">COUNTIFS('Task List'!$B$5:$B$142,$A15,'Task List'!$F$5:$F$142,"Later")</f>
        <v>5</v>
      </c>
      <c r="E15" s="8" t="n">
        <f aca="false">SUM(B15:D15)</f>
        <v>5</v>
      </c>
      <c r="F15" s="8" t="n">
        <f aca="false">COUNTIFS('Task List'!$B$5:$B$142,$A15,'Task List'!$I$5:$I$142,"Done")</f>
        <v>0</v>
      </c>
    </row>
    <row r="16" customFormat="false" ht="15" hidden="false" customHeight="false" outlineLevel="0" collapsed="false">
      <c r="A16" s="7" t="s">
        <v>65</v>
      </c>
      <c r="B16" s="8" t="n">
        <f aca="false">COUNTIFS('Task List'!$B$5:$B$142,$A16,'Task List'!$F$5:$F$142,"Now")</f>
        <v>1</v>
      </c>
      <c r="C16" s="8" t="n">
        <f aca="false">COUNTIFS('Task List'!$B$5:$B$142,$A16,'Task List'!$F$5:$F$142,"Next")</f>
        <v>0</v>
      </c>
      <c r="D16" s="8" t="n">
        <f aca="false">COUNTIFS('Task List'!$B$5:$B$142,$A16,'Task List'!$F$5:$F$142,"Later")</f>
        <v>10</v>
      </c>
      <c r="E16" s="8" t="n">
        <f aca="false">SUM(B16:D16)</f>
        <v>11</v>
      </c>
      <c r="F16" s="8" t="n">
        <f aca="false">COUNTIFS('Task List'!$B$5:$B$142,$A16,'Task List'!$I$5:$I$142,"Done")</f>
        <v>0</v>
      </c>
    </row>
    <row r="17" customFormat="false" ht="15" hidden="false" customHeight="false" outlineLevel="0" collapsed="false">
      <c r="A17" s="7" t="s">
        <v>72</v>
      </c>
      <c r="B17" s="9" t="n">
        <f aca="false">SUM(B5:B16)</f>
        <v>26</v>
      </c>
      <c r="C17" s="9" t="n">
        <f aca="false">SUM(C5:C16)</f>
        <v>66</v>
      </c>
      <c r="D17" s="9" t="n">
        <f aca="false">SUM(D5:D16)</f>
        <v>46</v>
      </c>
      <c r="E17" s="9" t="n">
        <f aca="false">SUM(E5:E16)</f>
        <v>138</v>
      </c>
      <c r="F17" s="9" t="n">
        <f aca="false">SUM(F5:F16)</f>
        <v>0</v>
      </c>
    </row>
    <row r="19" customFormat="false" ht="15" hidden="false" customHeight="false" outlineLevel="0" collapsed="false">
      <c r="A19" s="10" t="s">
        <v>78</v>
      </c>
    </row>
    <row r="20" customFormat="false" ht="15" hidden="false" customHeight="false" outlineLevel="0" collapsed="false">
      <c r="A20" s="11" t="s">
        <v>79</v>
      </c>
    </row>
    <row r="21" customFormat="false" ht="15" hidden="false" customHeight="false" outlineLevel="0" collapsed="false">
      <c r="A21" s="11" t="s">
        <v>80</v>
      </c>
    </row>
    <row r="22" customFormat="false" ht="15" hidden="false" customHeight="false" outlineLevel="0" collapsed="false">
      <c r="A22" s="11" t="s">
        <v>81</v>
      </c>
    </row>
    <row r="23" customFormat="false" ht="15" hidden="false" customHeight="false" outlineLevel="0" collapsed="false">
      <c r="A23" s="11" t="s">
        <v>82</v>
      </c>
    </row>
    <row r="24" customFormat="false" ht="15" hidden="false" customHeight="false" outlineLevel="0" collapsed="false">
      <c r="A24" s="11" t="s">
        <v>83</v>
      </c>
    </row>
    <row r="25" customFormat="false" ht="15" hidden="false" customHeight="false" outlineLevel="0" collapsed="false">
      <c r="A25" s="11" t="s">
        <v>84</v>
      </c>
    </row>
    <row r="26" customFormat="false" ht="15" hidden="false" customHeight="false" outlineLevel="0" collapsed="false">
      <c r="A26" s="1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5" hidden="false" customHeight="false" outlineLevel="0" collapsed="false">
      <c r="A5" s="5" t="s">
        <v>96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34</v>
      </c>
      <c r="G5" s="6" t="s">
        <v>101</v>
      </c>
      <c r="H5" s="6" t="s">
        <v>102</v>
      </c>
    </row>
    <row r="6" customFormat="false" ht="35.05" hidden="false" customHeight="false" outlineLevel="0" collapsed="false">
      <c r="A6" s="5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34</v>
      </c>
      <c r="G6" s="6" t="s">
        <v>108</v>
      </c>
      <c r="H6" s="6" t="s">
        <v>102</v>
      </c>
    </row>
    <row r="7" customFormat="false" ht="23.85" hidden="false" customHeight="false" outlineLevel="0" collapsed="false">
      <c r="A7" s="5" t="s">
        <v>109</v>
      </c>
      <c r="B7" s="6" t="s">
        <v>110</v>
      </c>
      <c r="C7" s="6" t="s">
        <v>111</v>
      </c>
      <c r="D7" s="6" t="s">
        <v>112</v>
      </c>
      <c r="E7" s="6" t="s">
        <v>113</v>
      </c>
      <c r="F7" s="6" t="s">
        <v>114</v>
      </c>
      <c r="G7" s="6" t="s">
        <v>101</v>
      </c>
      <c r="H7" s="6" t="s">
        <v>115</v>
      </c>
    </row>
    <row r="8" customFormat="false" ht="35.05" hidden="false" customHeight="false" outlineLevel="0" collapsed="false">
      <c r="A8" s="5" t="s">
        <v>116</v>
      </c>
      <c r="B8" s="6" t="s">
        <v>117</v>
      </c>
      <c r="C8" s="6" t="s">
        <v>118</v>
      </c>
      <c r="D8" s="6" t="s">
        <v>119</v>
      </c>
      <c r="E8" s="6" t="s">
        <v>120</v>
      </c>
      <c r="F8" s="6" t="s">
        <v>121</v>
      </c>
      <c r="G8" s="6" t="s">
        <v>101</v>
      </c>
      <c r="H8" s="6" t="s">
        <v>122</v>
      </c>
    </row>
    <row r="9" customFormat="false" ht="15" hidden="false" customHeight="false" outlineLevel="0" collapsed="false">
      <c r="A9" s="5" t="s">
        <v>123</v>
      </c>
      <c r="B9" s="6" t="s">
        <v>124</v>
      </c>
      <c r="C9" s="6" t="s">
        <v>125</v>
      </c>
      <c r="D9" s="6" t="s">
        <v>126</v>
      </c>
      <c r="E9" s="6" t="s">
        <v>127</v>
      </c>
      <c r="F9" s="6" t="s">
        <v>34</v>
      </c>
      <c r="G9" s="6" t="s">
        <v>101</v>
      </c>
      <c r="H9" s="6" t="s">
        <v>115</v>
      </c>
    </row>
    <row r="10" customFormat="false" ht="23.85" hidden="false" customHeight="false" outlineLevel="0" collapsed="false">
      <c r="A10" s="5" t="s">
        <v>127</v>
      </c>
      <c r="B10" s="6" t="s">
        <v>128</v>
      </c>
      <c r="C10" s="6" t="s">
        <v>129</v>
      </c>
      <c r="D10" s="6" t="s">
        <v>130</v>
      </c>
      <c r="E10" s="6" t="s">
        <v>131</v>
      </c>
      <c r="F10" s="6" t="s">
        <v>34</v>
      </c>
      <c r="G10" s="6" t="s">
        <v>101</v>
      </c>
      <c r="H10" s="6" t="s">
        <v>132</v>
      </c>
    </row>
    <row r="11" customFormat="false" ht="23.85" hidden="false" customHeight="false" outlineLevel="0" collapsed="false">
      <c r="A11" s="5" t="s">
        <v>133</v>
      </c>
      <c r="B11" s="6" t="s">
        <v>134</v>
      </c>
      <c r="C11" s="6" t="s">
        <v>135</v>
      </c>
      <c r="D11" s="6" t="s">
        <v>136</v>
      </c>
      <c r="E11" s="6" t="s">
        <v>137</v>
      </c>
      <c r="F11" s="6" t="s">
        <v>138</v>
      </c>
      <c r="G11" s="6" t="s">
        <v>122</v>
      </c>
      <c r="H11" s="6" t="s">
        <v>139</v>
      </c>
    </row>
    <row r="12" customFormat="false" ht="23.85" hidden="false" customHeight="false" outlineLevel="0" collapsed="false">
      <c r="A12" s="5" t="s">
        <v>140</v>
      </c>
      <c r="B12" s="6" t="s">
        <v>141</v>
      </c>
      <c r="C12" s="6" t="s">
        <v>142</v>
      </c>
      <c r="D12" s="6" t="s">
        <v>143</v>
      </c>
      <c r="E12" s="6" t="s">
        <v>144</v>
      </c>
      <c r="F12" s="6" t="s">
        <v>34</v>
      </c>
      <c r="G12" s="6" t="s">
        <v>145</v>
      </c>
      <c r="H12" s="6" t="s">
        <v>139</v>
      </c>
    </row>
    <row r="13" customFormat="false" ht="15" hidden="false" customHeight="false" outlineLevel="0" collapsed="false">
      <c r="A13" s="5" t="s">
        <v>146</v>
      </c>
      <c r="B13" s="6" t="s">
        <v>147</v>
      </c>
      <c r="C13" s="6" t="s">
        <v>148</v>
      </c>
      <c r="D13" s="6" t="s">
        <v>149</v>
      </c>
      <c r="E13" s="6" t="s">
        <v>150</v>
      </c>
      <c r="F13" s="6" t="s">
        <v>23</v>
      </c>
      <c r="G13" s="6" t="s">
        <v>151</v>
      </c>
      <c r="H13" s="6" t="s">
        <v>152</v>
      </c>
    </row>
    <row r="14" customFormat="false" ht="15" hidden="false" customHeight="false" outlineLevel="0" collapsed="false">
      <c r="A14" s="5" t="s">
        <v>153</v>
      </c>
      <c r="B14" s="6" t="s">
        <v>154</v>
      </c>
      <c r="C14" s="6" t="s">
        <v>155</v>
      </c>
      <c r="D14" s="6" t="s">
        <v>156</v>
      </c>
      <c r="E14" s="6" t="s">
        <v>96</v>
      </c>
      <c r="F14" s="6" t="s">
        <v>157</v>
      </c>
      <c r="G14" s="6" t="s">
        <v>139</v>
      </c>
      <c r="H14" s="6" t="s">
        <v>157</v>
      </c>
    </row>
    <row r="15" customFormat="false" ht="15" hidden="false" customHeight="false" outlineLevel="0" collapsed="false">
      <c r="A15" s="5" t="s">
        <v>158</v>
      </c>
      <c r="B15" s="6" t="s">
        <v>159</v>
      </c>
      <c r="C15" s="6" t="s">
        <v>160</v>
      </c>
      <c r="D15" s="6" t="s">
        <v>161</v>
      </c>
      <c r="E15" s="6" t="s">
        <v>162</v>
      </c>
      <c r="F15" s="6" t="s">
        <v>157</v>
      </c>
      <c r="G15" s="6" t="s">
        <v>139</v>
      </c>
      <c r="H15" s="6" t="s">
        <v>157</v>
      </c>
    </row>
    <row r="17" customFormat="false" ht="15" hidden="false" customHeight="false" outlineLevel="0" collapsed="false">
      <c r="A17" s="10" t="s">
        <v>163</v>
      </c>
    </row>
    <row r="18" customFormat="false" ht="15" hidden="false" customHeight="false" outlineLevel="0" collapsed="false">
      <c r="A18" s="11" t="s">
        <v>164</v>
      </c>
    </row>
    <row r="19" customFormat="false" ht="15" hidden="false" customHeight="false" outlineLevel="0" collapsed="false">
      <c r="A19" s="11" t="s">
        <v>165</v>
      </c>
    </row>
    <row r="20" customFormat="false" ht="15" hidden="false" customHeight="false" outlineLevel="0" collapsed="false">
      <c r="A20" s="11" t="s">
        <v>166</v>
      </c>
    </row>
    <row r="21" customFormat="false" ht="15" hidden="false" customHeight="false" outlineLevel="0" collapsed="false">
      <c r="A21" s="11" t="s">
        <v>167</v>
      </c>
    </row>
    <row r="22" customFormat="false" ht="15" hidden="false" customHeight="false" outlineLevel="0" collapsed="false">
      <c r="A22" s="11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62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171</v>
      </c>
      <c r="D4" s="3" t="s">
        <v>4</v>
      </c>
      <c r="E4" s="3" t="s">
        <v>172</v>
      </c>
      <c r="F4" s="3" t="s">
        <v>173</v>
      </c>
      <c r="G4" s="3" t="s">
        <v>5</v>
      </c>
      <c r="H4" s="3" t="s">
        <v>6</v>
      </c>
      <c r="I4" s="3" t="s">
        <v>174</v>
      </c>
      <c r="J4" s="3" t="s">
        <v>8</v>
      </c>
    </row>
    <row r="5" customFormat="false" ht="15" hidden="false" customHeight="false" outlineLevel="0" collapsed="false">
      <c r="A5" s="12" t="n">
        <v>1</v>
      </c>
      <c r="B5" s="13" t="s">
        <v>9</v>
      </c>
      <c r="C5" s="14" t="s">
        <v>175</v>
      </c>
      <c r="D5" s="14" t="s">
        <v>10</v>
      </c>
      <c r="E5" s="12" t="n">
        <v>1</v>
      </c>
      <c r="F5" s="15" t="s">
        <v>34</v>
      </c>
      <c r="G5" s="14" t="s">
        <v>11</v>
      </c>
      <c r="H5" s="14"/>
      <c r="I5" s="14" t="s">
        <v>176</v>
      </c>
      <c r="J5" s="14" t="s">
        <v>13</v>
      </c>
    </row>
    <row r="6" customFormat="false" ht="15" hidden="false" customHeight="false" outlineLevel="0" collapsed="false">
      <c r="A6" s="12" t="n">
        <v>2</v>
      </c>
      <c r="B6" s="13" t="s">
        <v>9</v>
      </c>
      <c r="C6" s="14" t="s">
        <v>175</v>
      </c>
      <c r="D6" s="14" t="s">
        <v>14</v>
      </c>
      <c r="E6" s="12" t="n">
        <v>1</v>
      </c>
      <c r="F6" s="15" t="s">
        <v>34</v>
      </c>
      <c r="G6" s="14" t="s">
        <v>11</v>
      </c>
      <c r="H6" s="14"/>
      <c r="I6" s="14" t="s">
        <v>176</v>
      </c>
      <c r="J6" s="14" t="s">
        <v>15</v>
      </c>
    </row>
    <row r="7" customFormat="false" ht="15" hidden="false" customHeight="false" outlineLevel="0" collapsed="false">
      <c r="A7" s="12" t="n">
        <v>3</v>
      </c>
      <c r="B7" s="13" t="s">
        <v>9</v>
      </c>
      <c r="C7" s="14" t="s">
        <v>175</v>
      </c>
      <c r="D7" s="14" t="s">
        <v>16</v>
      </c>
      <c r="E7" s="12" t="n">
        <v>1</v>
      </c>
      <c r="F7" s="15" t="s">
        <v>34</v>
      </c>
      <c r="G7" s="14" t="s">
        <v>11</v>
      </c>
      <c r="H7" s="14"/>
      <c r="I7" s="14" t="s">
        <v>176</v>
      </c>
      <c r="J7" s="14" t="s">
        <v>17</v>
      </c>
    </row>
    <row r="8" customFormat="false" ht="15" hidden="false" customHeight="false" outlineLevel="0" collapsed="false">
      <c r="A8" s="12" t="n">
        <v>4</v>
      </c>
      <c r="B8" s="13" t="s">
        <v>9</v>
      </c>
      <c r="C8" s="14" t="s">
        <v>175</v>
      </c>
      <c r="D8" s="14" t="s">
        <v>18</v>
      </c>
      <c r="E8" s="12" t="n">
        <v>1</v>
      </c>
      <c r="F8" s="15" t="s">
        <v>34</v>
      </c>
      <c r="G8" s="14" t="s">
        <v>11</v>
      </c>
      <c r="H8" s="14"/>
      <c r="I8" s="14" t="s">
        <v>176</v>
      </c>
      <c r="J8" s="14"/>
    </row>
    <row r="9" customFormat="false" ht="23.85" hidden="false" customHeight="false" outlineLevel="0" collapsed="false">
      <c r="A9" s="12" t="n">
        <v>5</v>
      </c>
      <c r="B9" s="13" t="s">
        <v>9</v>
      </c>
      <c r="C9" s="14" t="s">
        <v>175</v>
      </c>
      <c r="D9" s="14" t="s">
        <v>19</v>
      </c>
      <c r="E9" s="12" t="n">
        <v>1</v>
      </c>
      <c r="F9" s="15" t="s">
        <v>34</v>
      </c>
      <c r="G9" s="14" t="s">
        <v>20</v>
      </c>
      <c r="H9" s="14"/>
      <c r="I9" s="14" t="s">
        <v>176</v>
      </c>
      <c r="J9" s="14" t="s">
        <v>21</v>
      </c>
    </row>
    <row r="10" customFormat="false" ht="15" hidden="false" customHeight="false" outlineLevel="0" collapsed="false">
      <c r="A10" s="12" t="n">
        <v>6</v>
      </c>
      <c r="B10" s="13" t="s">
        <v>9</v>
      </c>
      <c r="C10" s="14" t="s">
        <v>175</v>
      </c>
      <c r="D10" s="14" t="s">
        <v>22</v>
      </c>
      <c r="E10" s="12" t="n">
        <v>1</v>
      </c>
      <c r="F10" s="15" t="s">
        <v>34</v>
      </c>
      <c r="G10" s="14" t="s">
        <v>23</v>
      </c>
      <c r="H10" s="14"/>
      <c r="I10" s="14" t="s">
        <v>176</v>
      </c>
      <c r="J10" s="14"/>
    </row>
    <row r="11" customFormat="false" ht="15" hidden="false" customHeight="false" outlineLevel="0" collapsed="false">
      <c r="A11" s="12" t="n">
        <v>7</v>
      </c>
      <c r="B11" s="13" t="s">
        <v>9</v>
      </c>
      <c r="C11" s="14" t="s">
        <v>175</v>
      </c>
      <c r="D11" s="14" t="s">
        <v>24</v>
      </c>
      <c r="E11" s="12" t="n">
        <v>1</v>
      </c>
      <c r="F11" s="15" t="s">
        <v>34</v>
      </c>
      <c r="G11" s="14" t="s">
        <v>23</v>
      </c>
      <c r="H11" s="14"/>
      <c r="I11" s="14" t="s">
        <v>176</v>
      </c>
      <c r="J11" s="14" t="s">
        <v>25</v>
      </c>
    </row>
    <row r="12" customFormat="false" ht="15" hidden="false" customHeight="false" outlineLevel="0" collapsed="false">
      <c r="A12" s="12" t="n">
        <v>8</v>
      </c>
      <c r="B12" s="13" t="s">
        <v>9</v>
      </c>
      <c r="C12" s="14" t="s">
        <v>175</v>
      </c>
      <c r="D12" s="14" t="s">
        <v>26</v>
      </c>
      <c r="E12" s="12" t="n">
        <v>1</v>
      </c>
      <c r="F12" s="15" t="s">
        <v>34</v>
      </c>
      <c r="G12" s="14" t="s">
        <v>23</v>
      </c>
      <c r="H12" s="14"/>
      <c r="I12" s="14" t="s">
        <v>176</v>
      </c>
      <c r="J12" s="14" t="s">
        <v>25</v>
      </c>
    </row>
    <row r="13" customFormat="false" ht="15" hidden="false" customHeight="false" outlineLevel="0" collapsed="false">
      <c r="A13" s="12" t="n">
        <v>9</v>
      </c>
      <c r="B13" s="13" t="s">
        <v>9</v>
      </c>
      <c r="C13" s="14" t="s">
        <v>175</v>
      </c>
      <c r="D13" s="14" t="s">
        <v>27</v>
      </c>
      <c r="E13" s="12" t="n">
        <v>1</v>
      </c>
      <c r="F13" s="15" t="s">
        <v>34</v>
      </c>
      <c r="G13" s="14" t="s">
        <v>23</v>
      </c>
      <c r="H13" s="14"/>
      <c r="I13" s="14" t="s">
        <v>176</v>
      </c>
      <c r="J13" s="14" t="s">
        <v>25</v>
      </c>
    </row>
    <row r="14" customFormat="false" ht="15" hidden="false" customHeight="false" outlineLevel="0" collapsed="false">
      <c r="A14" s="12" t="n">
        <v>10</v>
      </c>
      <c r="B14" s="13" t="s">
        <v>9</v>
      </c>
      <c r="C14" s="14" t="s">
        <v>175</v>
      </c>
      <c r="D14" s="14" t="s">
        <v>177</v>
      </c>
      <c r="E14" s="12" t="n">
        <v>1</v>
      </c>
      <c r="F14" s="16" t="s">
        <v>70</v>
      </c>
      <c r="G14" s="14" t="s">
        <v>38</v>
      </c>
      <c r="H14" s="14"/>
      <c r="I14" s="14" t="s">
        <v>176</v>
      </c>
      <c r="J14" s="14" t="s">
        <v>25</v>
      </c>
    </row>
    <row r="15" customFormat="false" ht="15" hidden="false" customHeight="false" outlineLevel="0" collapsed="false">
      <c r="A15" s="12" t="n">
        <v>11</v>
      </c>
      <c r="B15" s="13" t="s">
        <v>9</v>
      </c>
      <c r="C15" s="14" t="s">
        <v>175</v>
      </c>
      <c r="D15" s="14" t="s">
        <v>178</v>
      </c>
      <c r="E15" s="12" t="n">
        <v>1</v>
      </c>
      <c r="F15" s="16" t="s">
        <v>70</v>
      </c>
      <c r="G15" s="14" t="s">
        <v>38</v>
      </c>
      <c r="H15" s="14"/>
      <c r="I15" s="14" t="s">
        <v>176</v>
      </c>
      <c r="J15" s="14"/>
    </row>
    <row r="16" customFormat="false" ht="15" hidden="false" customHeight="false" outlineLevel="0" collapsed="false">
      <c r="A16" s="12" t="n">
        <v>12</v>
      </c>
      <c r="B16" s="13" t="s">
        <v>9</v>
      </c>
      <c r="C16" s="14" t="s">
        <v>175</v>
      </c>
      <c r="D16" s="14" t="s">
        <v>179</v>
      </c>
      <c r="E16" s="12" t="n">
        <v>1</v>
      </c>
      <c r="F16" s="16" t="s">
        <v>70</v>
      </c>
      <c r="G16" s="14" t="s">
        <v>180</v>
      </c>
      <c r="H16" s="14"/>
      <c r="I16" s="14" t="s">
        <v>176</v>
      </c>
      <c r="J16" s="14"/>
    </row>
    <row r="17" customFormat="false" ht="15" hidden="false" customHeight="false" outlineLevel="0" collapsed="false">
      <c r="A17" s="12" t="n">
        <v>13</v>
      </c>
      <c r="B17" s="13" t="s">
        <v>9</v>
      </c>
      <c r="C17" s="14" t="s">
        <v>175</v>
      </c>
      <c r="D17" s="14" t="s">
        <v>181</v>
      </c>
      <c r="E17" s="12" t="n">
        <v>1</v>
      </c>
      <c r="F17" s="16" t="s">
        <v>70</v>
      </c>
      <c r="G17" s="14" t="s">
        <v>182</v>
      </c>
      <c r="H17" s="14"/>
      <c r="I17" s="14" t="s">
        <v>176</v>
      </c>
      <c r="J17" s="14"/>
    </row>
    <row r="18" customFormat="false" ht="23.85" hidden="false" customHeight="false" outlineLevel="0" collapsed="false">
      <c r="A18" s="17" t="n">
        <v>14</v>
      </c>
      <c r="B18" s="18" t="s">
        <v>28</v>
      </c>
      <c r="C18" s="19" t="s">
        <v>183</v>
      </c>
      <c r="D18" s="19" t="s">
        <v>184</v>
      </c>
      <c r="E18" s="17" t="n">
        <v>1</v>
      </c>
      <c r="F18" s="20" t="s">
        <v>70</v>
      </c>
      <c r="G18" s="19" t="s">
        <v>38</v>
      </c>
      <c r="H18" s="19"/>
      <c r="I18" s="19" t="s">
        <v>176</v>
      </c>
      <c r="J18" s="19"/>
    </row>
    <row r="19" customFormat="false" ht="15" hidden="false" customHeight="false" outlineLevel="0" collapsed="false">
      <c r="A19" s="17" t="n">
        <v>15</v>
      </c>
      <c r="B19" s="18" t="s">
        <v>28</v>
      </c>
      <c r="C19" s="19" t="s">
        <v>183</v>
      </c>
      <c r="D19" s="19" t="s">
        <v>185</v>
      </c>
      <c r="E19" s="17" t="n">
        <v>1</v>
      </c>
      <c r="F19" s="20" t="s">
        <v>70</v>
      </c>
      <c r="G19" s="19" t="s">
        <v>38</v>
      </c>
      <c r="H19" s="19"/>
      <c r="I19" s="19" t="s">
        <v>176</v>
      </c>
      <c r="J19" s="19"/>
    </row>
    <row r="20" customFormat="false" ht="15" hidden="false" customHeight="false" outlineLevel="0" collapsed="false">
      <c r="A20" s="17" t="n">
        <v>16</v>
      </c>
      <c r="B20" s="18" t="s">
        <v>28</v>
      </c>
      <c r="C20" s="19" t="s">
        <v>183</v>
      </c>
      <c r="D20" s="19" t="s">
        <v>186</v>
      </c>
      <c r="E20" s="17" t="n">
        <v>1</v>
      </c>
      <c r="F20" s="20" t="s">
        <v>70</v>
      </c>
      <c r="G20" s="19" t="s">
        <v>187</v>
      </c>
      <c r="H20" s="19"/>
      <c r="I20" s="19" t="s">
        <v>176</v>
      </c>
      <c r="J20" s="19"/>
    </row>
    <row r="21" customFormat="false" ht="15" hidden="false" customHeight="false" outlineLevel="0" collapsed="false">
      <c r="A21" s="17" t="n">
        <v>17</v>
      </c>
      <c r="B21" s="18" t="s">
        <v>28</v>
      </c>
      <c r="C21" s="19" t="s">
        <v>183</v>
      </c>
      <c r="D21" s="19" t="s">
        <v>188</v>
      </c>
      <c r="E21" s="17" t="n">
        <v>1</v>
      </c>
      <c r="F21" s="20" t="s">
        <v>70</v>
      </c>
      <c r="G21" s="19" t="s">
        <v>38</v>
      </c>
      <c r="H21" s="19"/>
      <c r="I21" s="19" t="s">
        <v>176</v>
      </c>
      <c r="J21" s="19"/>
    </row>
    <row r="22" customFormat="false" ht="15" hidden="false" customHeight="false" outlineLevel="0" collapsed="false">
      <c r="A22" s="17" t="n">
        <v>18</v>
      </c>
      <c r="B22" s="18" t="s">
        <v>28</v>
      </c>
      <c r="C22" s="19" t="s">
        <v>189</v>
      </c>
      <c r="D22" s="19" t="s">
        <v>190</v>
      </c>
      <c r="E22" s="17" t="n">
        <v>1</v>
      </c>
      <c r="F22" s="20" t="s">
        <v>70</v>
      </c>
      <c r="G22" s="19" t="s">
        <v>191</v>
      </c>
      <c r="H22" s="19"/>
      <c r="I22" s="19" t="s">
        <v>176</v>
      </c>
      <c r="J22" s="19" t="s">
        <v>192</v>
      </c>
    </row>
    <row r="23" customFormat="false" ht="15" hidden="false" customHeight="false" outlineLevel="0" collapsed="false">
      <c r="A23" s="17" t="n">
        <v>19</v>
      </c>
      <c r="B23" s="18" t="s">
        <v>28</v>
      </c>
      <c r="C23" s="19" t="s">
        <v>189</v>
      </c>
      <c r="D23" s="19" t="s">
        <v>193</v>
      </c>
      <c r="E23" s="17" t="n">
        <v>1</v>
      </c>
      <c r="F23" s="20" t="s">
        <v>70</v>
      </c>
      <c r="G23" s="19" t="s">
        <v>191</v>
      </c>
      <c r="H23" s="19"/>
      <c r="I23" s="19" t="s">
        <v>176</v>
      </c>
      <c r="J23" s="19"/>
    </row>
    <row r="24" customFormat="false" ht="15" hidden="false" customHeight="false" outlineLevel="0" collapsed="false">
      <c r="A24" s="17" t="n">
        <v>20</v>
      </c>
      <c r="B24" s="18" t="s">
        <v>28</v>
      </c>
      <c r="C24" s="19" t="s">
        <v>189</v>
      </c>
      <c r="D24" s="19" t="s">
        <v>194</v>
      </c>
      <c r="E24" s="17" t="n">
        <v>2</v>
      </c>
      <c r="F24" s="21" t="s">
        <v>71</v>
      </c>
      <c r="G24" s="19" t="s">
        <v>195</v>
      </c>
      <c r="H24" s="19"/>
      <c r="I24" s="19" t="s">
        <v>176</v>
      </c>
      <c r="J24" s="19"/>
    </row>
    <row r="25" customFormat="false" ht="15" hidden="false" customHeight="false" outlineLevel="0" collapsed="false">
      <c r="A25" s="17" t="n">
        <v>21</v>
      </c>
      <c r="B25" s="18" t="s">
        <v>28</v>
      </c>
      <c r="C25" s="19" t="s">
        <v>189</v>
      </c>
      <c r="D25" s="19" t="s">
        <v>196</v>
      </c>
      <c r="E25" s="17" t="n">
        <v>1</v>
      </c>
      <c r="F25" s="20" t="s">
        <v>70</v>
      </c>
      <c r="G25" s="19" t="s">
        <v>191</v>
      </c>
      <c r="H25" s="19"/>
      <c r="I25" s="19" t="s">
        <v>176</v>
      </c>
      <c r="J25" s="19"/>
    </row>
    <row r="26" customFormat="false" ht="15" hidden="false" customHeight="false" outlineLevel="0" collapsed="false">
      <c r="A26" s="17" t="n">
        <v>22</v>
      </c>
      <c r="B26" s="18" t="s">
        <v>28</v>
      </c>
      <c r="C26" s="19" t="s">
        <v>197</v>
      </c>
      <c r="D26" s="19" t="s">
        <v>198</v>
      </c>
      <c r="E26" s="17" t="n">
        <v>1</v>
      </c>
      <c r="F26" s="20" t="s">
        <v>70</v>
      </c>
      <c r="G26" s="19" t="s">
        <v>191</v>
      </c>
      <c r="H26" s="19"/>
      <c r="I26" s="19" t="s">
        <v>176</v>
      </c>
      <c r="J26" s="19"/>
    </row>
    <row r="27" customFormat="false" ht="15" hidden="false" customHeight="false" outlineLevel="0" collapsed="false">
      <c r="A27" s="17" t="n">
        <v>23</v>
      </c>
      <c r="B27" s="18" t="s">
        <v>28</v>
      </c>
      <c r="C27" s="19" t="s">
        <v>197</v>
      </c>
      <c r="D27" s="19" t="s">
        <v>199</v>
      </c>
      <c r="E27" s="17" t="n">
        <v>2</v>
      </c>
      <c r="F27" s="21" t="s">
        <v>71</v>
      </c>
      <c r="G27" s="19" t="s">
        <v>200</v>
      </c>
      <c r="H27" s="19"/>
      <c r="I27" s="19" t="s">
        <v>176</v>
      </c>
      <c r="J27" s="19"/>
    </row>
    <row r="28" customFormat="false" ht="15" hidden="false" customHeight="false" outlineLevel="0" collapsed="false">
      <c r="A28" s="17" t="n">
        <v>24</v>
      </c>
      <c r="B28" s="18" t="s">
        <v>28</v>
      </c>
      <c r="C28" s="19" t="s">
        <v>201</v>
      </c>
      <c r="D28" s="19" t="s">
        <v>202</v>
      </c>
      <c r="E28" s="17" t="n">
        <v>2</v>
      </c>
      <c r="F28" s="21" t="s">
        <v>71</v>
      </c>
      <c r="G28" s="19" t="s">
        <v>200</v>
      </c>
      <c r="H28" s="19"/>
      <c r="I28" s="19" t="s">
        <v>176</v>
      </c>
      <c r="J28" s="19" t="s">
        <v>203</v>
      </c>
    </row>
    <row r="29" customFormat="false" ht="15" hidden="false" customHeight="false" outlineLevel="0" collapsed="false">
      <c r="A29" s="17" t="n">
        <v>25</v>
      </c>
      <c r="B29" s="18" t="s">
        <v>28</v>
      </c>
      <c r="C29" s="19" t="s">
        <v>201</v>
      </c>
      <c r="D29" s="19" t="s">
        <v>204</v>
      </c>
      <c r="E29" s="17" t="n">
        <v>1</v>
      </c>
      <c r="F29" s="20" t="s">
        <v>70</v>
      </c>
      <c r="G29" s="19" t="s">
        <v>38</v>
      </c>
      <c r="H29" s="19"/>
      <c r="I29" s="19" t="s">
        <v>176</v>
      </c>
      <c r="J29" s="19"/>
    </row>
    <row r="30" customFormat="false" ht="15" hidden="false" customHeight="false" outlineLevel="0" collapsed="false">
      <c r="A30" s="17" t="n">
        <v>26</v>
      </c>
      <c r="B30" s="18" t="s">
        <v>28</v>
      </c>
      <c r="C30" s="19" t="s">
        <v>205</v>
      </c>
      <c r="D30" s="19" t="s">
        <v>206</v>
      </c>
      <c r="E30" s="17" t="n">
        <v>1</v>
      </c>
      <c r="F30" s="20" t="s">
        <v>70</v>
      </c>
      <c r="G30" s="19" t="s">
        <v>38</v>
      </c>
      <c r="H30" s="19"/>
      <c r="I30" s="19" t="s">
        <v>176</v>
      </c>
      <c r="J30" s="19"/>
    </row>
    <row r="31" customFormat="false" ht="15" hidden="false" customHeight="false" outlineLevel="0" collapsed="false">
      <c r="A31" s="17" t="n">
        <v>27</v>
      </c>
      <c r="B31" s="18" t="s">
        <v>28</v>
      </c>
      <c r="C31" s="19" t="s">
        <v>207</v>
      </c>
      <c r="D31" s="19" t="s">
        <v>208</v>
      </c>
      <c r="E31" s="17" t="n">
        <v>1</v>
      </c>
      <c r="F31" s="20" t="s">
        <v>70</v>
      </c>
      <c r="G31" s="19" t="s">
        <v>209</v>
      </c>
      <c r="H31" s="19"/>
      <c r="I31" s="19" t="s">
        <v>176</v>
      </c>
      <c r="J31" s="19"/>
    </row>
    <row r="32" customFormat="false" ht="15" hidden="false" customHeight="false" outlineLevel="0" collapsed="false">
      <c r="A32" s="17" t="n">
        <v>28</v>
      </c>
      <c r="B32" s="18" t="s">
        <v>28</v>
      </c>
      <c r="C32" s="19" t="s">
        <v>210</v>
      </c>
      <c r="D32" s="19" t="s">
        <v>29</v>
      </c>
      <c r="E32" s="17" t="n">
        <v>1</v>
      </c>
      <c r="F32" s="22" t="s">
        <v>34</v>
      </c>
      <c r="G32" s="19" t="s">
        <v>30</v>
      </c>
      <c r="H32" s="19"/>
      <c r="I32" s="19" t="s">
        <v>176</v>
      </c>
      <c r="J32" s="19" t="s">
        <v>31</v>
      </c>
    </row>
    <row r="33" customFormat="false" ht="15" hidden="false" customHeight="false" outlineLevel="0" collapsed="false">
      <c r="A33" s="17" t="n">
        <v>29</v>
      </c>
      <c r="B33" s="18" t="s">
        <v>28</v>
      </c>
      <c r="C33" s="19" t="s">
        <v>210</v>
      </c>
      <c r="D33" s="19" t="s">
        <v>211</v>
      </c>
      <c r="E33" s="17" t="n">
        <v>1</v>
      </c>
      <c r="F33" s="20" t="s">
        <v>70</v>
      </c>
      <c r="G33" s="19" t="s">
        <v>209</v>
      </c>
      <c r="H33" s="19"/>
      <c r="I33" s="19" t="s">
        <v>176</v>
      </c>
      <c r="J33" s="19"/>
    </row>
    <row r="34" customFormat="false" ht="15" hidden="false" customHeight="false" outlineLevel="0" collapsed="false">
      <c r="A34" s="23" t="n">
        <v>30</v>
      </c>
      <c r="B34" s="24" t="s">
        <v>32</v>
      </c>
      <c r="C34" s="25" t="s">
        <v>212</v>
      </c>
      <c r="D34" s="25" t="s">
        <v>33</v>
      </c>
      <c r="E34" s="23" t="n">
        <v>1</v>
      </c>
      <c r="F34" s="26" t="s">
        <v>34</v>
      </c>
      <c r="G34" s="25" t="s">
        <v>34</v>
      </c>
      <c r="H34" s="25"/>
      <c r="I34" s="25" t="s">
        <v>176</v>
      </c>
      <c r="J34" s="25" t="s">
        <v>35</v>
      </c>
    </row>
    <row r="35" customFormat="false" ht="23.85" hidden="false" customHeight="false" outlineLevel="0" collapsed="false">
      <c r="A35" s="23" t="n">
        <v>31</v>
      </c>
      <c r="B35" s="24" t="s">
        <v>32</v>
      </c>
      <c r="C35" s="25" t="s">
        <v>212</v>
      </c>
      <c r="D35" s="25" t="s">
        <v>36</v>
      </c>
      <c r="E35" s="23" t="n">
        <v>1</v>
      </c>
      <c r="F35" s="26" t="s">
        <v>34</v>
      </c>
      <c r="G35" s="25" t="s">
        <v>34</v>
      </c>
      <c r="H35" s="25"/>
      <c r="I35" s="25" t="s">
        <v>176</v>
      </c>
      <c r="J35" s="25"/>
    </row>
    <row r="36" customFormat="false" ht="15" hidden="false" customHeight="false" outlineLevel="0" collapsed="false">
      <c r="A36" s="23" t="n">
        <v>32</v>
      </c>
      <c r="B36" s="24" t="s">
        <v>32</v>
      </c>
      <c r="C36" s="25" t="s">
        <v>212</v>
      </c>
      <c r="D36" s="25" t="s">
        <v>37</v>
      </c>
      <c r="E36" s="23" t="n">
        <v>1</v>
      </c>
      <c r="F36" s="26" t="s">
        <v>34</v>
      </c>
      <c r="G36" s="25" t="s">
        <v>38</v>
      </c>
      <c r="H36" s="25"/>
      <c r="I36" s="25" t="s">
        <v>176</v>
      </c>
      <c r="J36" s="25"/>
    </row>
    <row r="37" customFormat="false" ht="15" hidden="false" customHeight="false" outlineLevel="0" collapsed="false">
      <c r="A37" s="23" t="n">
        <v>33</v>
      </c>
      <c r="B37" s="24" t="s">
        <v>32</v>
      </c>
      <c r="C37" s="25" t="s">
        <v>212</v>
      </c>
      <c r="D37" s="25" t="s">
        <v>39</v>
      </c>
      <c r="E37" s="23" t="n">
        <v>1</v>
      </c>
      <c r="F37" s="26" t="s">
        <v>34</v>
      </c>
      <c r="G37" s="25" t="s">
        <v>38</v>
      </c>
      <c r="H37" s="25"/>
      <c r="I37" s="25" t="s">
        <v>176</v>
      </c>
      <c r="J37" s="25"/>
    </row>
    <row r="38" customFormat="false" ht="15" hidden="false" customHeight="false" outlineLevel="0" collapsed="false">
      <c r="A38" s="23" t="n">
        <v>34</v>
      </c>
      <c r="B38" s="24" t="s">
        <v>32</v>
      </c>
      <c r="C38" s="25" t="s">
        <v>212</v>
      </c>
      <c r="D38" s="25" t="s">
        <v>213</v>
      </c>
      <c r="E38" s="23" t="n">
        <v>1</v>
      </c>
      <c r="F38" s="27" t="s">
        <v>70</v>
      </c>
      <c r="G38" s="25" t="s">
        <v>38</v>
      </c>
      <c r="H38" s="25"/>
      <c r="I38" s="25" t="s">
        <v>176</v>
      </c>
      <c r="J38" s="25"/>
    </row>
    <row r="39" customFormat="false" ht="15" hidden="false" customHeight="false" outlineLevel="0" collapsed="false">
      <c r="A39" s="23" t="n">
        <v>35</v>
      </c>
      <c r="B39" s="24" t="s">
        <v>32</v>
      </c>
      <c r="C39" s="25" t="s">
        <v>212</v>
      </c>
      <c r="D39" s="25" t="s">
        <v>214</v>
      </c>
      <c r="E39" s="23" t="n">
        <v>1</v>
      </c>
      <c r="F39" s="27" t="s">
        <v>70</v>
      </c>
      <c r="G39" s="25" t="s">
        <v>38</v>
      </c>
      <c r="H39" s="25"/>
      <c r="I39" s="25" t="s">
        <v>176</v>
      </c>
      <c r="J39" s="25"/>
    </row>
    <row r="40" customFormat="false" ht="15" hidden="false" customHeight="false" outlineLevel="0" collapsed="false">
      <c r="A40" s="23" t="n">
        <v>36</v>
      </c>
      <c r="B40" s="24" t="s">
        <v>32</v>
      </c>
      <c r="C40" s="25" t="s">
        <v>212</v>
      </c>
      <c r="D40" s="25" t="s">
        <v>215</v>
      </c>
      <c r="E40" s="23" t="n">
        <v>1</v>
      </c>
      <c r="F40" s="27" t="s">
        <v>70</v>
      </c>
      <c r="G40" s="25" t="s">
        <v>38</v>
      </c>
      <c r="H40" s="25"/>
      <c r="I40" s="25" t="s">
        <v>176</v>
      </c>
      <c r="J40" s="25"/>
    </row>
    <row r="41" customFormat="false" ht="15" hidden="false" customHeight="false" outlineLevel="0" collapsed="false">
      <c r="A41" s="23" t="n">
        <v>37</v>
      </c>
      <c r="B41" s="24" t="s">
        <v>32</v>
      </c>
      <c r="C41" s="25" t="s">
        <v>212</v>
      </c>
      <c r="D41" s="25" t="s">
        <v>216</v>
      </c>
      <c r="E41" s="23" t="n">
        <v>1</v>
      </c>
      <c r="F41" s="27" t="s">
        <v>70</v>
      </c>
      <c r="G41" s="25" t="s">
        <v>38</v>
      </c>
      <c r="H41" s="25"/>
      <c r="I41" s="25" t="s">
        <v>176</v>
      </c>
      <c r="J41" s="25"/>
    </row>
    <row r="42" customFormat="false" ht="15" hidden="false" customHeight="false" outlineLevel="0" collapsed="false">
      <c r="A42" s="23" t="n">
        <v>38</v>
      </c>
      <c r="B42" s="24" t="s">
        <v>32</v>
      </c>
      <c r="C42" s="25" t="s">
        <v>212</v>
      </c>
      <c r="D42" s="25" t="s">
        <v>217</v>
      </c>
      <c r="E42" s="23" t="n">
        <v>1</v>
      </c>
      <c r="F42" s="27" t="s">
        <v>70</v>
      </c>
      <c r="G42" s="25" t="s">
        <v>38</v>
      </c>
      <c r="H42" s="25"/>
      <c r="I42" s="25" t="s">
        <v>176</v>
      </c>
      <c r="J42" s="25"/>
    </row>
    <row r="43" customFormat="false" ht="15" hidden="false" customHeight="false" outlineLevel="0" collapsed="false">
      <c r="A43" s="23" t="n">
        <v>39</v>
      </c>
      <c r="B43" s="24" t="s">
        <v>32</v>
      </c>
      <c r="C43" s="25" t="s">
        <v>212</v>
      </c>
      <c r="D43" s="25" t="s">
        <v>218</v>
      </c>
      <c r="E43" s="23" t="n">
        <v>1</v>
      </c>
      <c r="F43" s="27" t="s">
        <v>70</v>
      </c>
      <c r="G43" s="25" t="s">
        <v>38</v>
      </c>
      <c r="H43" s="25"/>
      <c r="I43" s="25" t="s">
        <v>176</v>
      </c>
      <c r="J43" s="25"/>
    </row>
    <row r="44" customFormat="false" ht="15" hidden="false" customHeight="false" outlineLevel="0" collapsed="false">
      <c r="A44" s="23" t="n">
        <v>40</v>
      </c>
      <c r="B44" s="24" t="s">
        <v>32</v>
      </c>
      <c r="C44" s="25" t="s">
        <v>212</v>
      </c>
      <c r="D44" s="25" t="s">
        <v>219</v>
      </c>
      <c r="E44" s="23" t="n">
        <v>1</v>
      </c>
      <c r="F44" s="27" t="s">
        <v>70</v>
      </c>
      <c r="G44" s="25" t="s">
        <v>220</v>
      </c>
      <c r="H44" s="25"/>
      <c r="I44" s="25" t="s">
        <v>176</v>
      </c>
      <c r="J44" s="25"/>
    </row>
    <row r="45" customFormat="false" ht="15" hidden="false" customHeight="false" outlineLevel="0" collapsed="false">
      <c r="A45" s="23" t="n">
        <v>41</v>
      </c>
      <c r="B45" s="24" t="s">
        <v>32</v>
      </c>
      <c r="C45" s="25" t="s">
        <v>212</v>
      </c>
      <c r="D45" s="25" t="s">
        <v>221</v>
      </c>
      <c r="E45" s="23" t="n">
        <v>1</v>
      </c>
      <c r="F45" s="27" t="s">
        <v>70</v>
      </c>
      <c r="G45" s="25" t="s">
        <v>220</v>
      </c>
      <c r="H45" s="25"/>
      <c r="I45" s="25" t="s">
        <v>176</v>
      </c>
      <c r="J45" s="25"/>
    </row>
    <row r="46" customFormat="false" ht="15" hidden="false" customHeight="false" outlineLevel="0" collapsed="false">
      <c r="A46" s="23" t="n">
        <v>42</v>
      </c>
      <c r="B46" s="24" t="s">
        <v>32</v>
      </c>
      <c r="C46" s="25" t="s">
        <v>212</v>
      </c>
      <c r="D46" s="25" t="s">
        <v>222</v>
      </c>
      <c r="E46" s="23" t="n">
        <v>1</v>
      </c>
      <c r="F46" s="27" t="s">
        <v>70</v>
      </c>
      <c r="G46" s="25" t="s">
        <v>223</v>
      </c>
      <c r="H46" s="25"/>
      <c r="I46" s="25" t="s">
        <v>176</v>
      </c>
      <c r="J46" s="25"/>
    </row>
    <row r="47" customFormat="false" ht="35.05" hidden="false" customHeight="false" outlineLevel="0" collapsed="false">
      <c r="A47" s="28" t="n">
        <v>43</v>
      </c>
      <c r="B47" s="29" t="s">
        <v>40</v>
      </c>
      <c r="C47" s="30" t="s">
        <v>224</v>
      </c>
      <c r="D47" s="30" t="s">
        <v>41</v>
      </c>
      <c r="E47" s="28" t="n">
        <v>1</v>
      </c>
      <c r="F47" s="31" t="s">
        <v>34</v>
      </c>
      <c r="G47" s="30" t="s">
        <v>34</v>
      </c>
      <c r="H47" s="30"/>
      <c r="I47" s="30" t="s">
        <v>176</v>
      </c>
      <c r="J47" s="30" t="s">
        <v>42</v>
      </c>
    </row>
    <row r="48" customFormat="false" ht="15" hidden="false" customHeight="false" outlineLevel="0" collapsed="false">
      <c r="A48" s="28" t="n">
        <v>44</v>
      </c>
      <c r="B48" s="29" t="s">
        <v>40</v>
      </c>
      <c r="C48" s="30" t="s">
        <v>224</v>
      </c>
      <c r="D48" s="30" t="s">
        <v>43</v>
      </c>
      <c r="E48" s="28" t="n">
        <v>1</v>
      </c>
      <c r="F48" s="31" t="s">
        <v>34</v>
      </c>
      <c r="G48" s="30" t="s">
        <v>34</v>
      </c>
      <c r="H48" s="30"/>
      <c r="I48" s="30" t="s">
        <v>176</v>
      </c>
      <c r="J48" s="30"/>
    </row>
    <row r="49" customFormat="false" ht="15" hidden="false" customHeight="false" outlineLevel="0" collapsed="false">
      <c r="A49" s="28" t="n">
        <v>45</v>
      </c>
      <c r="B49" s="29" t="s">
        <v>40</v>
      </c>
      <c r="C49" s="30" t="s">
        <v>224</v>
      </c>
      <c r="D49" s="30" t="s">
        <v>44</v>
      </c>
      <c r="E49" s="28" t="n">
        <v>1</v>
      </c>
      <c r="F49" s="31" t="s">
        <v>34</v>
      </c>
      <c r="G49" s="30" t="s">
        <v>34</v>
      </c>
      <c r="H49" s="30"/>
      <c r="I49" s="30" t="s">
        <v>176</v>
      </c>
      <c r="J49" s="30"/>
    </row>
    <row r="50" customFormat="false" ht="15" hidden="false" customHeight="false" outlineLevel="0" collapsed="false">
      <c r="A50" s="28" t="n">
        <v>46</v>
      </c>
      <c r="B50" s="29" t="s">
        <v>40</v>
      </c>
      <c r="C50" s="30" t="s">
        <v>224</v>
      </c>
      <c r="D50" s="30" t="s">
        <v>225</v>
      </c>
      <c r="E50" s="28" t="n">
        <v>1</v>
      </c>
      <c r="F50" s="32" t="s">
        <v>70</v>
      </c>
      <c r="G50" s="30" t="s">
        <v>38</v>
      </c>
      <c r="H50" s="30"/>
      <c r="I50" s="30" t="s">
        <v>176</v>
      </c>
      <c r="J50" s="30"/>
    </row>
    <row r="51" customFormat="false" ht="23.85" hidden="false" customHeight="false" outlineLevel="0" collapsed="false">
      <c r="A51" s="28" t="n">
        <v>47</v>
      </c>
      <c r="B51" s="29" t="s">
        <v>40</v>
      </c>
      <c r="C51" s="30" t="s">
        <v>224</v>
      </c>
      <c r="D51" s="30" t="s">
        <v>226</v>
      </c>
      <c r="E51" s="28" t="n">
        <v>1</v>
      </c>
      <c r="F51" s="32" t="s">
        <v>70</v>
      </c>
      <c r="G51" s="30" t="s">
        <v>38</v>
      </c>
      <c r="H51" s="30"/>
      <c r="I51" s="30" t="s">
        <v>176</v>
      </c>
      <c r="J51" s="30"/>
    </row>
    <row r="52" customFormat="false" ht="23.85" hidden="false" customHeight="false" outlineLevel="0" collapsed="false">
      <c r="A52" s="28" t="n">
        <v>48</v>
      </c>
      <c r="B52" s="29" t="s">
        <v>40</v>
      </c>
      <c r="C52" s="30" t="s">
        <v>224</v>
      </c>
      <c r="D52" s="30" t="s">
        <v>45</v>
      </c>
      <c r="E52" s="28" t="n">
        <v>1</v>
      </c>
      <c r="F52" s="31" t="s">
        <v>34</v>
      </c>
      <c r="G52" s="30" t="s">
        <v>34</v>
      </c>
      <c r="H52" s="30"/>
      <c r="I52" s="30" t="s">
        <v>176</v>
      </c>
      <c r="J52" s="30" t="s">
        <v>46</v>
      </c>
    </row>
    <row r="53" customFormat="false" ht="15" hidden="false" customHeight="false" outlineLevel="0" collapsed="false">
      <c r="A53" s="28" t="n">
        <v>49</v>
      </c>
      <c r="B53" s="29" t="s">
        <v>40</v>
      </c>
      <c r="C53" s="30" t="s">
        <v>224</v>
      </c>
      <c r="D53" s="30" t="s">
        <v>227</v>
      </c>
      <c r="E53" s="28" t="n">
        <v>1</v>
      </c>
      <c r="F53" s="32" t="s">
        <v>70</v>
      </c>
      <c r="G53" s="30" t="s">
        <v>38</v>
      </c>
      <c r="H53" s="30"/>
      <c r="I53" s="30" t="s">
        <v>176</v>
      </c>
      <c r="J53" s="30"/>
    </row>
    <row r="54" customFormat="false" ht="15" hidden="false" customHeight="false" outlineLevel="0" collapsed="false">
      <c r="A54" s="28" t="n">
        <v>50</v>
      </c>
      <c r="B54" s="29" t="s">
        <v>40</v>
      </c>
      <c r="C54" s="30" t="s">
        <v>224</v>
      </c>
      <c r="D54" s="30" t="s">
        <v>228</v>
      </c>
      <c r="E54" s="28" t="n">
        <v>1</v>
      </c>
      <c r="F54" s="32" t="s">
        <v>70</v>
      </c>
      <c r="G54" s="30" t="s">
        <v>209</v>
      </c>
      <c r="H54" s="30"/>
      <c r="I54" s="30" t="s">
        <v>176</v>
      </c>
      <c r="J54" s="30"/>
    </row>
    <row r="55" customFormat="false" ht="15" hidden="false" customHeight="false" outlineLevel="0" collapsed="false">
      <c r="A55" s="28" t="n">
        <v>51</v>
      </c>
      <c r="B55" s="29" t="s">
        <v>40</v>
      </c>
      <c r="C55" s="30" t="s">
        <v>224</v>
      </c>
      <c r="D55" s="30" t="s">
        <v>229</v>
      </c>
      <c r="E55" s="28" t="n">
        <v>1</v>
      </c>
      <c r="F55" s="32" t="s">
        <v>70</v>
      </c>
      <c r="G55" s="30" t="s">
        <v>38</v>
      </c>
      <c r="H55" s="30"/>
      <c r="I55" s="30" t="s">
        <v>176</v>
      </c>
      <c r="J55" s="30"/>
    </row>
    <row r="56" customFormat="false" ht="23.85" hidden="false" customHeight="false" outlineLevel="0" collapsed="false">
      <c r="A56" s="28" t="n">
        <v>52</v>
      </c>
      <c r="B56" s="29" t="s">
        <v>40</v>
      </c>
      <c r="C56" s="30" t="s">
        <v>224</v>
      </c>
      <c r="D56" s="30" t="s">
        <v>230</v>
      </c>
      <c r="E56" s="28" t="n">
        <v>1</v>
      </c>
      <c r="F56" s="32" t="s">
        <v>70</v>
      </c>
      <c r="G56" s="30" t="s">
        <v>209</v>
      </c>
      <c r="H56" s="30"/>
      <c r="I56" s="30" t="s">
        <v>176</v>
      </c>
      <c r="J56" s="30" t="s">
        <v>231</v>
      </c>
    </row>
    <row r="57" customFormat="false" ht="15" hidden="false" customHeight="false" outlineLevel="0" collapsed="false">
      <c r="A57" s="28" t="n">
        <v>53</v>
      </c>
      <c r="B57" s="29" t="s">
        <v>40</v>
      </c>
      <c r="C57" s="30" t="s">
        <v>224</v>
      </c>
      <c r="D57" s="30" t="s">
        <v>232</v>
      </c>
      <c r="E57" s="28" t="n">
        <v>1</v>
      </c>
      <c r="F57" s="32" t="s">
        <v>70</v>
      </c>
      <c r="G57" s="30" t="s">
        <v>38</v>
      </c>
      <c r="H57" s="30"/>
      <c r="I57" s="30" t="s">
        <v>176</v>
      </c>
      <c r="J57" s="30"/>
    </row>
    <row r="58" customFormat="false" ht="15" hidden="false" customHeight="false" outlineLevel="0" collapsed="false">
      <c r="A58" s="28" t="n">
        <v>54</v>
      </c>
      <c r="B58" s="29" t="s">
        <v>40</v>
      </c>
      <c r="C58" s="30" t="s">
        <v>224</v>
      </c>
      <c r="D58" s="30" t="s">
        <v>233</v>
      </c>
      <c r="E58" s="28" t="n">
        <v>1</v>
      </c>
      <c r="F58" s="32" t="s">
        <v>70</v>
      </c>
      <c r="G58" s="30" t="s">
        <v>209</v>
      </c>
      <c r="H58" s="30"/>
      <c r="I58" s="30" t="s">
        <v>176</v>
      </c>
      <c r="J58" s="30"/>
    </row>
    <row r="59" customFormat="false" ht="15" hidden="false" customHeight="false" outlineLevel="0" collapsed="false">
      <c r="A59" s="28" t="n">
        <v>55</v>
      </c>
      <c r="B59" s="29" t="s">
        <v>40</v>
      </c>
      <c r="C59" s="30" t="s">
        <v>224</v>
      </c>
      <c r="D59" s="30" t="s">
        <v>47</v>
      </c>
      <c r="E59" s="28" t="n">
        <v>1</v>
      </c>
      <c r="F59" s="31" t="s">
        <v>34</v>
      </c>
      <c r="G59" s="30" t="s">
        <v>23</v>
      </c>
      <c r="H59" s="30"/>
      <c r="I59" s="30" t="s">
        <v>176</v>
      </c>
      <c r="J59" s="30" t="s">
        <v>48</v>
      </c>
    </row>
    <row r="60" customFormat="false" ht="15" hidden="false" customHeight="false" outlineLevel="0" collapsed="false">
      <c r="A60" s="28" t="n">
        <v>56</v>
      </c>
      <c r="B60" s="29" t="s">
        <v>40</v>
      </c>
      <c r="C60" s="30" t="s">
        <v>224</v>
      </c>
      <c r="D60" s="30" t="s">
        <v>234</v>
      </c>
      <c r="E60" s="28" t="n">
        <v>1</v>
      </c>
      <c r="F60" s="32" t="s">
        <v>70</v>
      </c>
      <c r="G60" s="30" t="s">
        <v>195</v>
      </c>
      <c r="H60" s="30"/>
      <c r="I60" s="30" t="s">
        <v>176</v>
      </c>
      <c r="J60" s="30"/>
    </row>
    <row r="61" customFormat="false" ht="23.85" hidden="false" customHeight="false" outlineLevel="0" collapsed="false">
      <c r="A61" s="33" t="n">
        <v>57</v>
      </c>
      <c r="B61" s="34" t="s">
        <v>49</v>
      </c>
      <c r="C61" s="35" t="s">
        <v>235</v>
      </c>
      <c r="D61" s="35" t="s">
        <v>50</v>
      </c>
      <c r="E61" s="33" t="n">
        <v>1</v>
      </c>
      <c r="F61" s="36" t="s">
        <v>34</v>
      </c>
      <c r="G61" s="35" t="s">
        <v>51</v>
      </c>
      <c r="H61" s="35"/>
      <c r="I61" s="35" t="s">
        <v>176</v>
      </c>
      <c r="J61" s="35" t="s">
        <v>52</v>
      </c>
    </row>
    <row r="62" customFormat="false" ht="23.85" hidden="false" customHeight="false" outlineLevel="0" collapsed="false">
      <c r="A62" s="33" t="n">
        <v>58</v>
      </c>
      <c r="B62" s="34" t="s">
        <v>49</v>
      </c>
      <c r="C62" s="35" t="s">
        <v>235</v>
      </c>
      <c r="D62" s="35" t="s">
        <v>236</v>
      </c>
      <c r="E62" s="33" t="n">
        <v>1</v>
      </c>
      <c r="F62" s="37" t="s">
        <v>70</v>
      </c>
      <c r="G62" s="35" t="s">
        <v>38</v>
      </c>
      <c r="H62" s="35"/>
      <c r="I62" s="35" t="s">
        <v>176</v>
      </c>
      <c r="J62" s="35"/>
    </row>
    <row r="63" customFormat="false" ht="23.85" hidden="false" customHeight="false" outlineLevel="0" collapsed="false">
      <c r="A63" s="33" t="n">
        <v>59</v>
      </c>
      <c r="B63" s="34" t="s">
        <v>49</v>
      </c>
      <c r="C63" s="35" t="s">
        <v>235</v>
      </c>
      <c r="D63" s="35" t="s">
        <v>53</v>
      </c>
      <c r="E63" s="33" t="n">
        <v>1</v>
      </c>
      <c r="F63" s="36" t="s">
        <v>34</v>
      </c>
      <c r="G63" s="35" t="s">
        <v>38</v>
      </c>
      <c r="H63" s="35"/>
      <c r="I63" s="35" t="s">
        <v>176</v>
      </c>
      <c r="J63" s="35"/>
    </row>
    <row r="64" customFormat="false" ht="23.85" hidden="false" customHeight="false" outlineLevel="0" collapsed="false">
      <c r="A64" s="33" t="n">
        <v>60</v>
      </c>
      <c r="B64" s="34" t="s">
        <v>49</v>
      </c>
      <c r="C64" s="35" t="s">
        <v>235</v>
      </c>
      <c r="D64" s="35" t="s">
        <v>237</v>
      </c>
      <c r="E64" s="33" t="n">
        <v>1</v>
      </c>
      <c r="F64" s="37" t="s">
        <v>70</v>
      </c>
      <c r="G64" s="35" t="s">
        <v>38</v>
      </c>
      <c r="H64" s="35"/>
      <c r="I64" s="35" t="s">
        <v>176</v>
      </c>
      <c r="J64" s="35"/>
    </row>
    <row r="65" customFormat="false" ht="23.85" hidden="false" customHeight="false" outlineLevel="0" collapsed="false">
      <c r="A65" s="33" t="n">
        <v>61</v>
      </c>
      <c r="B65" s="34" t="s">
        <v>49</v>
      </c>
      <c r="C65" s="35" t="s">
        <v>235</v>
      </c>
      <c r="D65" s="35" t="s">
        <v>238</v>
      </c>
      <c r="E65" s="33" t="n">
        <v>1</v>
      </c>
      <c r="F65" s="37" t="s">
        <v>70</v>
      </c>
      <c r="G65" s="35" t="s">
        <v>51</v>
      </c>
      <c r="H65" s="35"/>
      <c r="I65" s="35" t="s">
        <v>176</v>
      </c>
      <c r="J65" s="35" t="s">
        <v>239</v>
      </c>
    </row>
    <row r="66" customFormat="false" ht="23.85" hidden="false" customHeight="false" outlineLevel="0" collapsed="false">
      <c r="A66" s="33" t="n">
        <v>62</v>
      </c>
      <c r="B66" s="34" t="s">
        <v>49</v>
      </c>
      <c r="C66" s="35" t="s">
        <v>240</v>
      </c>
      <c r="D66" s="35" t="s">
        <v>241</v>
      </c>
      <c r="E66" s="33" t="n">
        <v>1</v>
      </c>
      <c r="F66" s="37" t="s">
        <v>70</v>
      </c>
      <c r="G66" s="35" t="s">
        <v>38</v>
      </c>
      <c r="H66" s="35"/>
      <c r="I66" s="35" t="s">
        <v>176</v>
      </c>
      <c r="J66" s="35"/>
    </row>
    <row r="67" customFormat="false" ht="23.85" hidden="false" customHeight="false" outlineLevel="0" collapsed="false">
      <c r="A67" s="33" t="n">
        <v>63</v>
      </c>
      <c r="B67" s="34" t="s">
        <v>49</v>
      </c>
      <c r="C67" s="35" t="s">
        <v>240</v>
      </c>
      <c r="D67" s="35" t="s">
        <v>242</v>
      </c>
      <c r="E67" s="33" t="n">
        <v>1</v>
      </c>
      <c r="F67" s="37" t="s">
        <v>70</v>
      </c>
      <c r="G67" s="35" t="s">
        <v>38</v>
      </c>
      <c r="H67" s="35"/>
      <c r="I67" s="35" t="s">
        <v>176</v>
      </c>
      <c r="J67" s="35"/>
    </row>
    <row r="68" customFormat="false" ht="23.85" hidden="false" customHeight="false" outlineLevel="0" collapsed="false">
      <c r="A68" s="33" t="n">
        <v>64</v>
      </c>
      <c r="B68" s="34" t="s">
        <v>49</v>
      </c>
      <c r="C68" s="35" t="s">
        <v>240</v>
      </c>
      <c r="D68" s="35" t="s">
        <v>243</v>
      </c>
      <c r="E68" s="33" t="n">
        <v>1</v>
      </c>
      <c r="F68" s="37" t="s">
        <v>70</v>
      </c>
      <c r="G68" s="35" t="s">
        <v>38</v>
      </c>
      <c r="H68" s="35"/>
      <c r="I68" s="35" t="s">
        <v>176</v>
      </c>
      <c r="J68" s="35"/>
    </row>
    <row r="69" customFormat="false" ht="23.85" hidden="false" customHeight="false" outlineLevel="0" collapsed="false">
      <c r="A69" s="33" t="n">
        <v>65</v>
      </c>
      <c r="B69" s="34" t="s">
        <v>49</v>
      </c>
      <c r="C69" s="35" t="s">
        <v>240</v>
      </c>
      <c r="D69" s="35" t="s">
        <v>244</v>
      </c>
      <c r="E69" s="33" t="n">
        <v>1</v>
      </c>
      <c r="F69" s="37" t="s">
        <v>70</v>
      </c>
      <c r="G69" s="35" t="s">
        <v>209</v>
      </c>
      <c r="H69" s="35"/>
      <c r="I69" s="35" t="s">
        <v>176</v>
      </c>
      <c r="J69" s="35"/>
    </row>
    <row r="70" customFormat="false" ht="23.85" hidden="false" customHeight="false" outlineLevel="0" collapsed="false">
      <c r="A70" s="33" t="n">
        <v>66</v>
      </c>
      <c r="B70" s="34" t="s">
        <v>49</v>
      </c>
      <c r="C70" s="35" t="s">
        <v>245</v>
      </c>
      <c r="D70" s="35" t="s">
        <v>246</v>
      </c>
      <c r="E70" s="33" t="n">
        <v>1</v>
      </c>
      <c r="F70" s="37" t="s">
        <v>70</v>
      </c>
      <c r="G70" s="35" t="s">
        <v>38</v>
      </c>
      <c r="H70" s="35"/>
      <c r="I70" s="35" t="s">
        <v>176</v>
      </c>
      <c r="J70" s="35"/>
    </row>
    <row r="71" customFormat="false" ht="23.85" hidden="false" customHeight="false" outlineLevel="0" collapsed="false">
      <c r="A71" s="33" t="n">
        <v>67</v>
      </c>
      <c r="B71" s="34" t="s">
        <v>49</v>
      </c>
      <c r="C71" s="35" t="s">
        <v>245</v>
      </c>
      <c r="D71" s="35" t="s">
        <v>247</v>
      </c>
      <c r="E71" s="33" t="n">
        <v>2</v>
      </c>
      <c r="F71" s="38" t="s">
        <v>71</v>
      </c>
      <c r="G71" s="35" t="s">
        <v>248</v>
      </c>
      <c r="H71" s="35"/>
      <c r="I71" s="35" t="s">
        <v>176</v>
      </c>
      <c r="J71" s="35"/>
    </row>
    <row r="72" customFormat="false" ht="23.85" hidden="false" customHeight="false" outlineLevel="0" collapsed="false">
      <c r="A72" s="39" t="n">
        <v>68</v>
      </c>
      <c r="B72" s="40" t="s">
        <v>54</v>
      </c>
      <c r="C72" s="41" t="s">
        <v>249</v>
      </c>
      <c r="D72" s="41" t="s">
        <v>55</v>
      </c>
      <c r="E72" s="39" t="n">
        <v>1</v>
      </c>
      <c r="F72" s="42" t="s">
        <v>34</v>
      </c>
      <c r="G72" s="41" t="s">
        <v>34</v>
      </c>
      <c r="H72" s="41"/>
      <c r="I72" s="41" t="s">
        <v>176</v>
      </c>
      <c r="J72" s="41" t="s">
        <v>56</v>
      </c>
    </row>
    <row r="73" customFormat="false" ht="23.85" hidden="false" customHeight="false" outlineLevel="0" collapsed="false">
      <c r="A73" s="39" t="n">
        <v>69</v>
      </c>
      <c r="B73" s="40" t="s">
        <v>54</v>
      </c>
      <c r="C73" s="41" t="s">
        <v>249</v>
      </c>
      <c r="D73" s="41" t="s">
        <v>57</v>
      </c>
      <c r="E73" s="39" t="n">
        <v>1</v>
      </c>
      <c r="F73" s="42" t="s">
        <v>34</v>
      </c>
      <c r="G73" s="41" t="s">
        <v>58</v>
      </c>
      <c r="H73" s="41"/>
      <c r="I73" s="41" t="s">
        <v>176</v>
      </c>
      <c r="J73" s="41" t="s">
        <v>59</v>
      </c>
    </row>
    <row r="74" customFormat="false" ht="15" hidden="false" customHeight="false" outlineLevel="0" collapsed="false">
      <c r="A74" s="39" t="n">
        <v>70</v>
      </c>
      <c r="B74" s="40" t="s">
        <v>54</v>
      </c>
      <c r="C74" s="41" t="s">
        <v>249</v>
      </c>
      <c r="D74" s="41" t="s">
        <v>60</v>
      </c>
      <c r="E74" s="39" t="n">
        <v>1</v>
      </c>
      <c r="F74" s="42" t="s">
        <v>34</v>
      </c>
      <c r="G74" s="41" t="s">
        <v>58</v>
      </c>
      <c r="H74" s="41"/>
      <c r="I74" s="41" t="s">
        <v>176</v>
      </c>
      <c r="J74" s="41" t="s">
        <v>61</v>
      </c>
    </row>
    <row r="75" customFormat="false" ht="15" hidden="false" customHeight="false" outlineLevel="0" collapsed="false">
      <c r="A75" s="39" t="n">
        <v>71</v>
      </c>
      <c r="B75" s="40" t="s">
        <v>54</v>
      </c>
      <c r="C75" s="41" t="s">
        <v>249</v>
      </c>
      <c r="D75" s="41" t="s">
        <v>250</v>
      </c>
      <c r="E75" s="39" t="n">
        <v>1</v>
      </c>
      <c r="F75" s="43" t="s">
        <v>70</v>
      </c>
      <c r="G75" s="41" t="s">
        <v>38</v>
      </c>
      <c r="H75" s="41"/>
      <c r="I75" s="41" t="s">
        <v>176</v>
      </c>
      <c r="J75" s="41"/>
    </row>
    <row r="76" customFormat="false" ht="15" hidden="false" customHeight="false" outlineLevel="0" collapsed="false">
      <c r="A76" s="39" t="n">
        <v>72</v>
      </c>
      <c r="B76" s="40" t="s">
        <v>54</v>
      </c>
      <c r="C76" s="41" t="s">
        <v>249</v>
      </c>
      <c r="D76" s="41" t="s">
        <v>251</v>
      </c>
      <c r="E76" s="39" t="n">
        <v>1</v>
      </c>
      <c r="F76" s="43" t="s">
        <v>70</v>
      </c>
      <c r="G76" s="41" t="s">
        <v>38</v>
      </c>
      <c r="H76" s="41"/>
      <c r="I76" s="41" t="s">
        <v>176</v>
      </c>
      <c r="J76" s="41" t="s">
        <v>252</v>
      </c>
    </row>
    <row r="77" customFormat="false" ht="23.85" hidden="false" customHeight="false" outlineLevel="0" collapsed="false">
      <c r="A77" s="39" t="n">
        <v>73</v>
      </c>
      <c r="B77" s="40" t="s">
        <v>54</v>
      </c>
      <c r="C77" s="41" t="s">
        <v>249</v>
      </c>
      <c r="D77" s="41" t="s">
        <v>253</v>
      </c>
      <c r="E77" s="39" t="n">
        <v>1</v>
      </c>
      <c r="F77" s="43" t="s">
        <v>70</v>
      </c>
      <c r="G77" s="41" t="s">
        <v>38</v>
      </c>
      <c r="H77" s="41"/>
      <c r="I77" s="41" t="s">
        <v>176</v>
      </c>
      <c r="J77" s="41"/>
    </row>
    <row r="78" customFormat="false" ht="15" hidden="false" customHeight="false" outlineLevel="0" collapsed="false">
      <c r="A78" s="39" t="n">
        <v>74</v>
      </c>
      <c r="B78" s="40" t="s">
        <v>54</v>
      </c>
      <c r="C78" s="41" t="s">
        <v>249</v>
      </c>
      <c r="D78" s="41" t="s">
        <v>254</v>
      </c>
      <c r="E78" s="39" t="n">
        <v>1</v>
      </c>
      <c r="F78" s="43" t="s">
        <v>70</v>
      </c>
      <c r="G78" s="41" t="s">
        <v>220</v>
      </c>
      <c r="H78" s="41"/>
      <c r="I78" s="41" t="s">
        <v>176</v>
      </c>
      <c r="J78" s="41"/>
    </row>
    <row r="79" customFormat="false" ht="15" hidden="false" customHeight="false" outlineLevel="0" collapsed="false">
      <c r="A79" s="39" t="n">
        <v>75</v>
      </c>
      <c r="B79" s="40" t="s">
        <v>54</v>
      </c>
      <c r="C79" s="41" t="s">
        <v>255</v>
      </c>
      <c r="D79" s="41" t="s">
        <v>256</v>
      </c>
      <c r="E79" s="39" t="n">
        <v>1</v>
      </c>
      <c r="F79" s="43" t="s">
        <v>70</v>
      </c>
      <c r="G79" s="41" t="s">
        <v>257</v>
      </c>
      <c r="H79" s="41"/>
      <c r="I79" s="41" t="s">
        <v>176</v>
      </c>
      <c r="J79" s="41"/>
    </row>
    <row r="80" customFormat="false" ht="15" hidden="false" customHeight="false" outlineLevel="0" collapsed="false">
      <c r="A80" s="39" t="n">
        <v>76</v>
      </c>
      <c r="B80" s="40" t="s">
        <v>54</v>
      </c>
      <c r="C80" s="41" t="s">
        <v>255</v>
      </c>
      <c r="D80" s="41" t="s">
        <v>258</v>
      </c>
      <c r="E80" s="39" t="n">
        <v>1</v>
      </c>
      <c r="F80" s="43" t="s">
        <v>70</v>
      </c>
      <c r="G80" s="41" t="s">
        <v>257</v>
      </c>
      <c r="H80" s="41"/>
      <c r="I80" s="41" t="s">
        <v>176</v>
      </c>
      <c r="J80" s="41"/>
    </row>
    <row r="81" customFormat="false" ht="15" hidden="false" customHeight="false" outlineLevel="0" collapsed="false">
      <c r="A81" s="39" t="n">
        <v>77</v>
      </c>
      <c r="B81" s="40" t="s">
        <v>54</v>
      </c>
      <c r="C81" s="41" t="s">
        <v>255</v>
      </c>
      <c r="D81" s="41" t="s">
        <v>259</v>
      </c>
      <c r="E81" s="39" t="n">
        <v>1</v>
      </c>
      <c r="F81" s="43" t="s">
        <v>70</v>
      </c>
      <c r="G81" s="41" t="s">
        <v>257</v>
      </c>
      <c r="H81" s="41"/>
      <c r="I81" s="41" t="s">
        <v>176</v>
      </c>
      <c r="J81" s="41"/>
    </row>
    <row r="82" customFormat="false" ht="15" hidden="false" customHeight="false" outlineLevel="0" collapsed="false">
      <c r="A82" s="39" t="n">
        <v>78</v>
      </c>
      <c r="B82" s="40" t="s">
        <v>54</v>
      </c>
      <c r="C82" s="41" t="s">
        <v>255</v>
      </c>
      <c r="D82" s="41" t="s">
        <v>260</v>
      </c>
      <c r="E82" s="39" t="n">
        <v>2</v>
      </c>
      <c r="F82" s="44" t="s">
        <v>71</v>
      </c>
      <c r="G82" s="41" t="s">
        <v>200</v>
      </c>
      <c r="H82" s="41"/>
      <c r="I82" s="41" t="s">
        <v>176</v>
      </c>
      <c r="J82" s="41"/>
    </row>
    <row r="83" customFormat="false" ht="15" hidden="false" customHeight="false" outlineLevel="0" collapsed="false">
      <c r="A83" s="39" t="n">
        <v>79</v>
      </c>
      <c r="B83" s="40" t="s">
        <v>54</v>
      </c>
      <c r="C83" s="41" t="s">
        <v>261</v>
      </c>
      <c r="D83" s="41" t="s">
        <v>262</v>
      </c>
      <c r="E83" s="39" t="n">
        <v>2</v>
      </c>
      <c r="F83" s="44" t="s">
        <v>71</v>
      </c>
      <c r="G83" s="41" t="s">
        <v>200</v>
      </c>
      <c r="H83" s="41"/>
      <c r="I83" s="41" t="s">
        <v>176</v>
      </c>
      <c r="J83" s="41"/>
    </row>
    <row r="84" customFormat="false" ht="23.85" hidden="false" customHeight="false" outlineLevel="0" collapsed="false">
      <c r="A84" s="45" t="n">
        <v>80</v>
      </c>
      <c r="B84" s="46" t="s">
        <v>62</v>
      </c>
      <c r="C84" s="47" t="s">
        <v>263</v>
      </c>
      <c r="D84" s="47" t="s">
        <v>63</v>
      </c>
      <c r="E84" s="45" t="n">
        <v>1</v>
      </c>
      <c r="F84" s="48" t="s">
        <v>34</v>
      </c>
      <c r="G84" s="47" t="s">
        <v>23</v>
      </c>
      <c r="H84" s="47"/>
      <c r="I84" s="47" t="s">
        <v>176</v>
      </c>
      <c r="J84" s="47" t="s">
        <v>64</v>
      </c>
    </row>
    <row r="85" customFormat="false" ht="15" hidden="false" customHeight="false" outlineLevel="0" collapsed="false">
      <c r="A85" s="45" t="n">
        <v>81</v>
      </c>
      <c r="B85" s="46" t="s">
        <v>62</v>
      </c>
      <c r="C85" s="47" t="s">
        <v>263</v>
      </c>
      <c r="D85" s="47" t="s">
        <v>264</v>
      </c>
      <c r="E85" s="45" t="n">
        <v>1</v>
      </c>
      <c r="F85" s="49" t="s">
        <v>70</v>
      </c>
      <c r="G85" s="47" t="s">
        <v>38</v>
      </c>
      <c r="H85" s="47"/>
      <c r="I85" s="47" t="s">
        <v>176</v>
      </c>
      <c r="J85" s="47" t="s">
        <v>265</v>
      </c>
    </row>
    <row r="86" customFormat="false" ht="15" hidden="false" customHeight="false" outlineLevel="0" collapsed="false">
      <c r="A86" s="45" t="n">
        <v>82</v>
      </c>
      <c r="B86" s="46" t="s">
        <v>62</v>
      </c>
      <c r="C86" s="47" t="s">
        <v>266</v>
      </c>
      <c r="D86" s="47" t="s">
        <v>267</v>
      </c>
      <c r="E86" s="45" t="n">
        <v>2</v>
      </c>
      <c r="F86" s="50" t="s">
        <v>71</v>
      </c>
      <c r="G86" s="47" t="s">
        <v>209</v>
      </c>
      <c r="H86" s="47"/>
      <c r="I86" s="47" t="s">
        <v>176</v>
      </c>
      <c r="J86" s="47"/>
    </row>
    <row r="87" customFormat="false" ht="15" hidden="false" customHeight="false" outlineLevel="0" collapsed="false">
      <c r="A87" s="45" t="n">
        <v>83</v>
      </c>
      <c r="B87" s="46" t="s">
        <v>62</v>
      </c>
      <c r="C87" s="47" t="s">
        <v>266</v>
      </c>
      <c r="D87" s="47" t="s">
        <v>268</v>
      </c>
      <c r="E87" s="45" t="n">
        <v>2</v>
      </c>
      <c r="F87" s="50" t="s">
        <v>71</v>
      </c>
      <c r="G87" s="47" t="s">
        <v>200</v>
      </c>
      <c r="H87" s="47"/>
      <c r="I87" s="47" t="s">
        <v>176</v>
      </c>
      <c r="J87" s="47"/>
    </row>
    <row r="88" customFormat="false" ht="15" hidden="false" customHeight="false" outlineLevel="0" collapsed="false">
      <c r="A88" s="45" t="n">
        <v>84</v>
      </c>
      <c r="B88" s="46" t="s">
        <v>62</v>
      </c>
      <c r="C88" s="47" t="s">
        <v>189</v>
      </c>
      <c r="D88" s="47" t="s">
        <v>269</v>
      </c>
      <c r="E88" s="45" t="n">
        <v>2</v>
      </c>
      <c r="F88" s="50" t="s">
        <v>71</v>
      </c>
      <c r="G88" s="47" t="s">
        <v>200</v>
      </c>
      <c r="H88" s="47"/>
      <c r="I88" s="47" t="s">
        <v>176</v>
      </c>
      <c r="J88" s="47"/>
    </row>
    <row r="89" customFormat="false" ht="15" hidden="false" customHeight="false" outlineLevel="0" collapsed="false">
      <c r="A89" s="45" t="n">
        <v>85</v>
      </c>
      <c r="B89" s="46" t="s">
        <v>62</v>
      </c>
      <c r="C89" s="47" t="s">
        <v>189</v>
      </c>
      <c r="D89" s="47" t="s">
        <v>270</v>
      </c>
      <c r="E89" s="45" t="n">
        <v>2</v>
      </c>
      <c r="F89" s="50" t="s">
        <v>71</v>
      </c>
      <c r="G89" s="47" t="s">
        <v>195</v>
      </c>
      <c r="H89" s="47"/>
      <c r="I89" s="47" t="s">
        <v>176</v>
      </c>
      <c r="J89" s="47"/>
    </row>
    <row r="90" customFormat="false" ht="15" hidden="false" customHeight="false" outlineLevel="0" collapsed="false">
      <c r="A90" s="45" t="n">
        <v>86</v>
      </c>
      <c r="B90" s="46" t="s">
        <v>62</v>
      </c>
      <c r="C90" s="47" t="s">
        <v>189</v>
      </c>
      <c r="D90" s="47" t="s">
        <v>271</v>
      </c>
      <c r="E90" s="45" t="n">
        <v>2</v>
      </c>
      <c r="F90" s="50" t="s">
        <v>71</v>
      </c>
      <c r="G90" s="47" t="s">
        <v>272</v>
      </c>
      <c r="H90" s="47"/>
      <c r="I90" s="47" t="s">
        <v>176</v>
      </c>
      <c r="J90" s="47"/>
    </row>
    <row r="91" customFormat="false" ht="15" hidden="false" customHeight="false" outlineLevel="0" collapsed="false">
      <c r="A91" s="45" t="n">
        <v>87</v>
      </c>
      <c r="B91" s="46" t="s">
        <v>62</v>
      </c>
      <c r="C91" s="47" t="s">
        <v>273</v>
      </c>
      <c r="D91" s="47" t="s">
        <v>274</v>
      </c>
      <c r="E91" s="45" t="n">
        <v>2</v>
      </c>
      <c r="F91" s="50" t="s">
        <v>71</v>
      </c>
      <c r="G91" s="47" t="s">
        <v>200</v>
      </c>
      <c r="H91" s="47"/>
      <c r="I91" s="47" t="s">
        <v>176</v>
      </c>
      <c r="J91" s="47"/>
    </row>
    <row r="92" customFormat="false" ht="15" hidden="false" customHeight="false" outlineLevel="0" collapsed="false">
      <c r="A92" s="45" t="n">
        <v>88</v>
      </c>
      <c r="B92" s="46" t="s">
        <v>62</v>
      </c>
      <c r="C92" s="47" t="s">
        <v>273</v>
      </c>
      <c r="D92" s="47" t="s">
        <v>275</v>
      </c>
      <c r="E92" s="45" t="n">
        <v>2</v>
      </c>
      <c r="F92" s="50" t="s">
        <v>71</v>
      </c>
      <c r="G92" s="47" t="s">
        <v>200</v>
      </c>
      <c r="H92" s="47"/>
      <c r="I92" s="47" t="s">
        <v>176</v>
      </c>
      <c r="J92" s="47"/>
    </row>
    <row r="93" customFormat="false" ht="15" hidden="false" customHeight="false" outlineLevel="0" collapsed="false">
      <c r="A93" s="51" t="n">
        <v>89</v>
      </c>
      <c r="B93" s="52" t="s">
        <v>74</v>
      </c>
      <c r="C93" s="53" t="s">
        <v>276</v>
      </c>
      <c r="D93" s="53" t="s">
        <v>277</v>
      </c>
      <c r="E93" s="51" t="n">
        <v>1</v>
      </c>
      <c r="F93" s="54" t="s">
        <v>70</v>
      </c>
      <c r="G93" s="53" t="s">
        <v>38</v>
      </c>
      <c r="H93" s="53"/>
      <c r="I93" s="53" t="s">
        <v>176</v>
      </c>
      <c r="J93" s="53"/>
    </row>
    <row r="94" customFormat="false" ht="15" hidden="false" customHeight="false" outlineLevel="0" collapsed="false">
      <c r="A94" s="51" t="n">
        <v>90</v>
      </c>
      <c r="B94" s="52" t="s">
        <v>74</v>
      </c>
      <c r="C94" s="53" t="s">
        <v>278</v>
      </c>
      <c r="D94" s="53" t="s">
        <v>279</v>
      </c>
      <c r="E94" s="51" t="n">
        <v>1</v>
      </c>
      <c r="F94" s="54" t="s">
        <v>70</v>
      </c>
      <c r="G94" s="53" t="s">
        <v>38</v>
      </c>
      <c r="H94" s="53"/>
      <c r="I94" s="53" t="s">
        <v>176</v>
      </c>
      <c r="J94" s="53"/>
    </row>
    <row r="95" customFormat="false" ht="15" hidden="false" customHeight="false" outlineLevel="0" collapsed="false">
      <c r="A95" s="51" t="n">
        <v>91</v>
      </c>
      <c r="B95" s="52" t="s">
        <v>74</v>
      </c>
      <c r="C95" s="53" t="s">
        <v>278</v>
      </c>
      <c r="D95" s="53" t="s">
        <v>280</v>
      </c>
      <c r="E95" s="51" t="n">
        <v>1</v>
      </c>
      <c r="F95" s="54" t="s">
        <v>70</v>
      </c>
      <c r="G95" s="53" t="s">
        <v>51</v>
      </c>
      <c r="H95" s="53"/>
      <c r="I95" s="53" t="s">
        <v>176</v>
      </c>
      <c r="J95" s="53"/>
    </row>
    <row r="96" customFormat="false" ht="15" hidden="false" customHeight="false" outlineLevel="0" collapsed="false">
      <c r="A96" s="51" t="n">
        <v>92</v>
      </c>
      <c r="B96" s="52" t="s">
        <v>74</v>
      </c>
      <c r="C96" s="53" t="s">
        <v>281</v>
      </c>
      <c r="D96" s="53" t="s">
        <v>282</v>
      </c>
      <c r="E96" s="51" t="n">
        <v>1</v>
      </c>
      <c r="F96" s="54" t="s">
        <v>70</v>
      </c>
      <c r="G96" s="53" t="s">
        <v>38</v>
      </c>
      <c r="H96" s="53"/>
      <c r="I96" s="53" t="s">
        <v>176</v>
      </c>
      <c r="J96" s="53"/>
    </row>
    <row r="97" customFormat="false" ht="15" hidden="false" customHeight="false" outlineLevel="0" collapsed="false">
      <c r="A97" s="51" t="n">
        <v>93</v>
      </c>
      <c r="B97" s="52" t="s">
        <v>74</v>
      </c>
      <c r="C97" s="53" t="s">
        <v>281</v>
      </c>
      <c r="D97" s="53" t="s">
        <v>283</v>
      </c>
      <c r="E97" s="51" t="n">
        <v>1</v>
      </c>
      <c r="F97" s="54" t="s">
        <v>70</v>
      </c>
      <c r="G97" s="53" t="s">
        <v>38</v>
      </c>
      <c r="H97" s="53"/>
      <c r="I97" s="53" t="s">
        <v>176</v>
      </c>
      <c r="J97" s="53"/>
    </row>
    <row r="98" customFormat="false" ht="15" hidden="false" customHeight="false" outlineLevel="0" collapsed="false">
      <c r="A98" s="51" t="n">
        <v>94</v>
      </c>
      <c r="B98" s="52" t="s">
        <v>74</v>
      </c>
      <c r="C98" s="53" t="s">
        <v>281</v>
      </c>
      <c r="D98" s="53" t="s">
        <v>284</v>
      </c>
      <c r="E98" s="51" t="n">
        <v>1</v>
      </c>
      <c r="F98" s="54" t="s">
        <v>70</v>
      </c>
      <c r="G98" s="53" t="s">
        <v>209</v>
      </c>
      <c r="H98" s="53"/>
      <c r="I98" s="53" t="s">
        <v>176</v>
      </c>
      <c r="J98" s="53"/>
    </row>
    <row r="99" customFormat="false" ht="15" hidden="false" customHeight="false" outlineLevel="0" collapsed="false">
      <c r="A99" s="51" t="n">
        <v>95</v>
      </c>
      <c r="B99" s="52" t="s">
        <v>74</v>
      </c>
      <c r="C99" s="53" t="s">
        <v>281</v>
      </c>
      <c r="D99" s="53" t="s">
        <v>285</v>
      </c>
      <c r="E99" s="51" t="n">
        <v>1</v>
      </c>
      <c r="F99" s="54" t="s">
        <v>70</v>
      </c>
      <c r="G99" s="53" t="s">
        <v>30</v>
      </c>
      <c r="H99" s="53"/>
      <c r="I99" s="53" t="s">
        <v>176</v>
      </c>
      <c r="J99" s="53"/>
    </row>
    <row r="100" customFormat="false" ht="15" hidden="false" customHeight="false" outlineLevel="0" collapsed="false">
      <c r="A100" s="55" t="n">
        <v>96</v>
      </c>
      <c r="B100" s="56" t="s">
        <v>75</v>
      </c>
      <c r="C100" s="57" t="s">
        <v>286</v>
      </c>
      <c r="D100" s="57" t="s">
        <v>287</v>
      </c>
      <c r="E100" s="55" t="n">
        <v>2</v>
      </c>
      <c r="F100" s="58" t="s">
        <v>71</v>
      </c>
      <c r="G100" s="57" t="s">
        <v>200</v>
      </c>
      <c r="H100" s="57"/>
      <c r="I100" s="57" t="s">
        <v>176</v>
      </c>
      <c r="J100" s="57"/>
    </row>
    <row r="101" customFormat="false" ht="15" hidden="false" customHeight="false" outlineLevel="0" collapsed="false">
      <c r="A101" s="55" t="n">
        <v>97</v>
      </c>
      <c r="B101" s="56" t="s">
        <v>75</v>
      </c>
      <c r="C101" s="57" t="s">
        <v>286</v>
      </c>
      <c r="D101" s="57" t="s">
        <v>288</v>
      </c>
      <c r="E101" s="55" t="n">
        <v>2</v>
      </c>
      <c r="F101" s="58" t="s">
        <v>71</v>
      </c>
      <c r="G101" s="57" t="s">
        <v>195</v>
      </c>
      <c r="H101" s="57"/>
      <c r="I101" s="57" t="s">
        <v>176</v>
      </c>
      <c r="J101" s="57"/>
    </row>
    <row r="102" customFormat="false" ht="15" hidden="false" customHeight="false" outlineLevel="0" collapsed="false">
      <c r="A102" s="55" t="n">
        <v>98</v>
      </c>
      <c r="B102" s="56" t="s">
        <v>75</v>
      </c>
      <c r="C102" s="57" t="s">
        <v>286</v>
      </c>
      <c r="D102" s="57" t="s">
        <v>289</v>
      </c>
      <c r="E102" s="55" t="n">
        <v>2</v>
      </c>
      <c r="F102" s="58" t="s">
        <v>71</v>
      </c>
      <c r="G102" s="57" t="s">
        <v>195</v>
      </c>
      <c r="H102" s="57"/>
      <c r="I102" s="57" t="s">
        <v>176</v>
      </c>
      <c r="J102" s="57"/>
    </row>
    <row r="103" customFormat="false" ht="15" hidden="false" customHeight="false" outlineLevel="0" collapsed="false">
      <c r="A103" s="55" t="n">
        <v>99</v>
      </c>
      <c r="B103" s="56" t="s">
        <v>75</v>
      </c>
      <c r="C103" s="57" t="s">
        <v>281</v>
      </c>
      <c r="D103" s="57" t="s">
        <v>290</v>
      </c>
      <c r="E103" s="55" t="n">
        <v>2</v>
      </c>
      <c r="F103" s="58" t="s">
        <v>71</v>
      </c>
      <c r="G103" s="57" t="s">
        <v>291</v>
      </c>
      <c r="H103" s="57"/>
      <c r="I103" s="57" t="s">
        <v>176</v>
      </c>
      <c r="J103" s="57"/>
    </row>
    <row r="104" customFormat="false" ht="15" hidden="false" customHeight="false" outlineLevel="0" collapsed="false">
      <c r="A104" s="59" t="n">
        <v>100</v>
      </c>
      <c r="B104" s="60" t="s">
        <v>76</v>
      </c>
      <c r="C104" s="61" t="s">
        <v>292</v>
      </c>
      <c r="D104" s="61" t="s">
        <v>293</v>
      </c>
      <c r="E104" s="59" t="n">
        <v>1</v>
      </c>
      <c r="F104" s="62" t="s">
        <v>70</v>
      </c>
      <c r="G104" s="61" t="s">
        <v>38</v>
      </c>
      <c r="H104" s="61"/>
      <c r="I104" s="61" t="s">
        <v>176</v>
      </c>
      <c r="J104" s="61" t="s">
        <v>294</v>
      </c>
    </row>
    <row r="105" customFormat="false" ht="15" hidden="false" customHeight="false" outlineLevel="0" collapsed="false">
      <c r="A105" s="59" t="n">
        <v>101</v>
      </c>
      <c r="B105" s="60" t="s">
        <v>76</v>
      </c>
      <c r="C105" s="61" t="s">
        <v>292</v>
      </c>
      <c r="D105" s="61" t="s">
        <v>295</v>
      </c>
      <c r="E105" s="59" t="n">
        <v>1</v>
      </c>
      <c r="F105" s="62" t="s">
        <v>70</v>
      </c>
      <c r="G105" s="61" t="s">
        <v>209</v>
      </c>
      <c r="H105" s="61"/>
      <c r="I105" s="61" t="s">
        <v>176</v>
      </c>
      <c r="J105" s="61"/>
    </row>
    <row r="106" customFormat="false" ht="15" hidden="false" customHeight="false" outlineLevel="0" collapsed="false">
      <c r="A106" s="59" t="n">
        <v>102</v>
      </c>
      <c r="B106" s="60" t="s">
        <v>76</v>
      </c>
      <c r="C106" s="61" t="s">
        <v>292</v>
      </c>
      <c r="D106" s="61" t="s">
        <v>296</v>
      </c>
      <c r="E106" s="59" t="n">
        <v>1</v>
      </c>
      <c r="F106" s="62" t="s">
        <v>70</v>
      </c>
      <c r="G106" s="61" t="s">
        <v>209</v>
      </c>
      <c r="H106" s="61"/>
      <c r="I106" s="61" t="s">
        <v>176</v>
      </c>
      <c r="J106" s="61"/>
    </row>
    <row r="107" customFormat="false" ht="15" hidden="false" customHeight="false" outlineLevel="0" collapsed="false">
      <c r="A107" s="59" t="n">
        <v>103</v>
      </c>
      <c r="B107" s="60" t="s">
        <v>76</v>
      </c>
      <c r="C107" s="61" t="s">
        <v>292</v>
      </c>
      <c r="D107" s="61" t="s">
        <v>297</v>
      </c>
      <c r="E107" s="59" t="n">
        <v>1</v>
      </c>
      <c r="F107" s="62" t="s">
        <v>70</v>
      </c>
      <c r="G107" s="61" t="s">
        <v>38</v>
      </c>
      <c r="H107" s="61"/>
      <c r="I107" s="61" t="s">
        <v>176</v>
      </c>
      <c r="J107" s="61"/>
    </row>
    <row r="108" customFormat="false" ht="15" hidden="false" customHeight="false" outlineLevel="0" collapsed="false">
      <c r="A108" s="59" t="n">
        <v>104</v>
      </c>
      <c r="B108" s="60" t="s">
        <v>76</v>
      </c>
      <c r="C108" s="61" t="s">
        <v>292</v>
      </c>
      <c r="D108" s="61" t="s">
        <v>298</v>
      </c>
      <c r="E108" s="59" t="n">
        <v>1</v>
      </c>
      <c r="F108" s="62" t="s">
        <v>70</v>
      </c>
      <c r="G108" s="61" t="s">
        <v>38</v>
      </c>
      <c r="H108" s="61"/>
      <c r="I108" s="61" t="s">
        <v>176</v>
      </c>
      <c r="J108" s="61"/>
    </row>
    <row r="109" customFormat="false" ht="15" hidden="false" customHeight="false" outlineLevel="0" collapsed="false">
      <c r="A109" s="59" t="n">
        <v>105</v>
      </c>
      <c r="B109" s="60" t="s">
        <v>76</v>
      </c>
      <c r="C109" s="61" t="s">
        <v>292</v>
      </c>
      <c r="D109" s="61" t="s">
        <v>299</v>
      </c>
      <c r="E109" s="59" t="n">
        <v>1</v>
      </c>
      <c r="F109" s="62" t="s">
        <v>70</v>
      </c>
      <c r="G109" s="61" t="s">
        <v>209</v>
      </c>
      <c r="H109" s="61"/>
      <c r="I109" s="61" t="s">
        <v>176</v>
      </c>
      <c r="J109" s="61"/>
    </row>
    <row r="110" customFormat="false" ht="15" hidden="false" customHeight="false" outlineLevel="0" collapsed="false">
      <c r="A110" s="59" t="n">
        <v>106</v>
      </c>
      <c r="B110" s="60" t="s">
        <v>76</v>
      </c>
      <c r="C110" s="61" t="s">
        <v>292</v>
      </c>
      <c r="D110" s="61" t="s">
        <v>300</v>
      </c>
      <c r="E110" s="59" t="n">
        <v>1</v>
      </c>
      <c r="F110" s="62" t="s">
        <v>70</v>
      </c>
      <c r="G110" s="61" t="s">
        <v>301</v>
      </c>
      <c r="H110" s="61"/>
      <c r="I110" s="61" t="s">
        <v>176</v>
      </c>
      <c r="J110" s="61"/>
    </row>
    <row r="111" customFormat="false" ht="15" hidden="false" customHeight="false" outlineLevel="0" collapsed="false">
      <c r="A111" s="59" t="n">
        <v>107</v>
      </c>
      <c r="B111" s="60" t="s">
        <v>76</v>
      </c>
      <c r="C111" s="61" t="s">
        <v>292</v>
      </c>
      <c r="D111" s="61" t="s">
        <v>302</v>
      </c>
      <c r="E111" s="59" t="n">
        <v>2</v>
      </c>
      <c r="F111" s="63" t="s">
        <v>71</v>
      </c>
      <c r="G111" s="61" t="s">
        <v>303</v>
      </c>
      <c r="H111" s="61"/>
      <c r="I111" s="61" t="s">
        <v>176</v>
      </c>
      <c r="J111" s="61" t="s">
        <v>304</v>
      </c>
    </row>
    <row r="112" customFormat="false" ht="15" hidden="false" customHeight="false" outlineLevel="0" collapsed="false">
      <c r="A112" s="59" t="n">
        <v>108</v>
      </c>
      <c r="B112" s="60" t="s">
        <v>76</v>
      </c>
      <c r="C112" s="61" t="s">
        <v>292</v>
      </c>
      <c r="D112" s="61" t="s">
        <v>305</v>
      </c>
      <c r="E112" s="59" t="n">
        <v>2</v>
      </c>
      <c r="F112" s="63" t="s">
        <v>71</v>
      </c>
      <c r="G112" s="61" t="s">
        <v>291</v>
      </c>
      <c r="H112" s="61"/>
      <c r="I112" s="61" t="s">
        <v>176</v>
      </c>
      <c r="J112" s="61"/>
    </row>
    <row r="113" customFormat="false" ht="15" hidden="false" customHeight="false" outlineLevel="0" collapsed="false">
      <c r="A113" s="59" t="n">
        <v>109</v>
      </c>
      <c r="B113" s="60" t="s">
        <v>76</v>
      </c>
      <c r="C113" s="61" t="s">
        <v>292</v>
      </c>
      <c r="D113" s="61" t="s">
        <v>306</v>
      </c>
      <c r="E113" s="59" t="n">
        <v>1</v>
      </c>
      <c r="F113" s="62" t="s">
        <v>70</v>
      </c>
      <c r="G113" s="61" t="s">
        <v>248</v>
      </c>
      <c r="H113" s="61"/>
      <c r="I113" s="61" t="s">
        <v>176</v>
      </c>
      <c r="J113" s="61"/>
    </row>
    <row r="114" customFormat="false" ht="15" hidden="false" customHeight="false" outlineLevel="0" collapsed="false">
      <c r="A114" s="59" t="n">
        <v>110</v>
      </c>
      <c r="B114" s="60" t="s">
        <v>76</v>
      </c>
      <c r="C114" s="61" t="s">
        <v>292</v>
      </c>
      <c r="D114" s="61" t="s">
        <v>307</v>
      </c>
      <c r="E114" s="59" t="n">
        <v>2</v>
      </c>
      <c r="F114" s="63" t="s">
        <v>71</v>
      </c>
      <c r="G114" s="61" t="s">
        <v>200</v>
      </c>
      <c r="H114" s="61"/>
      <c r="I114" s="61" t="s">
        <v>176</v>
      </c>
      <c r="J114" s="61"/>
    </row>
    <row r="115" customFormat="false" ht="15" hidden="false" customHeight="false" outlineLevel="0" collapsed="false">
      <c r="A115" s="59" t="n">
        <v>111</v>
      </c>
      <c r="B115" s="60" t="s">
        <v>76</v>
      </c>
      <c r="C115" s="61" t="s">
        <v>292</v>
      </c>
      <c r="D115" s="61" t="s">
        <v>308</v>
      </c>
      <c r="E115" s="59" t="n">
        <v>2</v>
      </c>
      <c r="F115" s="63" t="s">
        <v>71</v>
      </c>
      <c r="G115" s="61" t="s">
        <v>248</v>
      </c>
      <c r="H115" s="61"/>
      <c r="I115" s="61" t="s">
        <v>176</v>
      </c>
      <c r="J115" s="61"/>
    </row>
    <row r="116" customFormat="false" ht="15" hidden="false" customHeight="false" outlineLevel="0" collapsed="false">
      <c r="A116" s="59" t="n">
        <v>112</v>
      </c>
      <c r="B116" s="60" t="s">
        <v>76</v>
      </c>
      <c r="C116" s="61" t="s">
        <v>292</v>
      </c>
      <c r="D116" s="61" t="s">
        <v>309</v>
      </c>
      <c r="E116" s="59" t="n">
        <v>1</v>
      </c>
      <c r="F116" s="62" t="s">
        <v>70</v>
      </c>
      <c r="G116" s="61" t="s">
        <v>200</v>
      </c>
      <c r="H116" s="61"/>
      <c r="I116" s="61" t="s">
        <v>176</v>
      </c>
      <c r="J116" s="61"/>
    </row>
    <row r="117" customFormat="false" ht="15" hidden="false" customHeight="false" outlineLevel="0" collapsed="false">
      <c r="A117" s="59" t="n">
        <v>113</v>
      </c>
      <c r="B117" s="60" t="s">
        <v>76</v>
      </c>
      <c r="C117" s="61" t="s">
        <v>292</v>
      </c>
      <c r="D117" s="61" t="s">
        <v>310</v>
      </c>
      <c r="E117" s="59" t="n">
        <v>2</v>
      </c>
      <c r="F117" s="63" t="s">
        <v>71</v>
      </c>
      <c r="G117" s="61" t="s">
        <v>195</v>
      </c>
      <c r="H117" s="61"/>
      <c r="I117" s="61" t="s">
        <v>176</v>
      </c>
      <c r="J117" s="61"/>
    </row>
    <row r="118" customFormat="false" ht="15" hidden="false" customHeight="false" outlineLevel="0" collapsed="false">
      <c r="A118" s="59" t="n">
        <v>114</v>
      </c>
      <c r="B118" s="60" t="s">
        <v>76</v>
      </c>
      <c r="C118" s="61" t="s">
        <v>311</v>
      </c>
      <c r="D118" s="61" t="s">
        <v>312</v>
      </c>
      <c r="E118" s="59" t="n">
        <v>2</v>
      </c>
      <c r="F118" s="63" t="s">
        <v>71</v>
      </c>
      <c r="G118" s="61" t="s">
        <v>200</v>
      </c>
      <c r="H118" s="61"/>
      <c r="I118" s="61" t="s">
        <v>176</v>
      </c>
      <c r="J118" s="61" t="s">
        <v>313</v>
      </c>
    </row>
    <row r="119" customFormat="false" ht="15" hidden="false" customHeight="false" outlineLevel="0" collapsed="false">
      <c r="A119" s="59" t="n">
        <v>115</v>
      </c>
      <c r="B119" s="60" t="s">
        <v>76</v>
      </c>
      <c r="C119" s="61" t="s">
        <v>311</v>
      </c>
      <c r="D119" s="61" t="s">
        <v>314</v>
      </c>
      <c r="E119" s="59" t="n">
        <v>2</v>
      </c>
      <c r="F119" s="63" t="s">
        <v>71</v>
      </c>
      <c r="G119" s="61" t="s">
        <v>248</v>
      </c>
      <c r="H119" s="61"/>
      <c r="I119" s="61" t="s">
        <v>176</v>
      </c>
      <c r="J119" s="61"/>
    </row>
    <row r="120" customFormat="false" ht="15" hidden="false" customHeight="false" outlineLevel="0" collapsed="false">
      <c r="A120" s="59" t="n">
        <v>116</v>
      </c>
      <c r="B120" s="60" t="s">
        <v>76</v>
      </c>
      <c r="C120" s="61" t="s">
        <v>311</v>
      </c>
      <c r="D120" s="61" t="s">
        <v>315</v>
      </c>
      <c r="E120" s="59" t="n">
        <v>2</v>
      </c>
      <c r="F120" s="63" t="s">
        <v>71</v>
      </c>
      <c r="G120" s="61" t="s">
        <v>248</v>
      </c>
      <c r="H120" s="61"/>
      <c r="I120" s="61" t="s">
        <v>176</v>
      </c>
      <c r="J120" s="61"/>
    </row>
    <row r="121" customFormat="false" ht="15" hidden="false" customHeight="false" outlineLevel="0" collapsed="false">
      <c r="A121" s="59" t="n">
        <v>117</v>
      </c>
      <c r="B121" s="60" t="s">
        <v>76</v>
      </c>
      <c r="C121" s="61" t="s">
        <v>311</v>
      </c>
      <c r="D121" s="61" t="s">
        <v>316</v>
      </c>
      <c r="E121" s="59" t="n">
        <v>2</v>
      </c>
      <c r="F121" s="63" t="s">
        <v>71</v>
      </c>
      <c r="G121" s="61" t="s">
        <v>200</v>
      </c>
      <c r="H121" s="61"/>
      <c r="I121" s="61" t="s">
        <v>176</v>
      </c>
      <c r="J121" s="61"/>
    </row>
    <row r="122" customFormat="false" ht="15" hidden="false" customHeight="false" outlineLevel="0" collapsed="false">
      <c r="A122" s="59" t="n">
        <v>118</v>
      </c>
      <c r="B122" s="60" t="s">
        <v>76</v>
      </c>
      <c r="C122" s="61" t="s">
        <v>311</v>
      </c>
      <c r="D122" s="61" t="s">
        <v>317</v>
      </c>
      <c r="E122" s="59" t="n">
        <v>2</v>
      </c>
      <c r="F122" s="63" t="s">
        <v>71</v>
      </c>
      <c r="G122" s="61" t="s">
        <v>200</v>
      </c>
      <c r="H122" s="61"/>
      <c r="I122" s="61" t="s">
        <v>176</v>
      </c>
      <c r="J122" s="61"/>
    </row>
    <row r="123" customFormat="false" ht="15" hidden="false" customHeight="false" outlineLevel="0" collapsed="false">
      <c r="A123" s="59" t="n">
        <v>119</v>
      </c>
      <c r="B123" s="60" t="s">
        <v>76</v>
      </c>
      <c r="C123" s="61" t="s">
        <v>311</v>
      </c>
      <c r="D123" s="61" t="s">
        <v>318</v>
      </c>
      <c r="E123" s="59" t="n">
        <v>2</v>
      </c>
      <c r="F123" s="63" t="s">
        <v>71</v>
      </c>
      <c r="G123" s="61" t="s">
        <v>248</v>
      </c>
      <c r="H123" s="61"/>
      <c r="I123" s="61" t="s">
        <v>176</v>
      </c>
      <c r="J123" s="61"/>
    </row>
    <row r="124" customFormat="false" ht="15" hidden="false" customHeight="false" outlineLevel="0" collapsed="false">
      <c r="A124" s="59" t="n">
        <v>120</v>
      </c>
      <c r="B124" s="60" t="s">
        <v>76</v>
      </c>
      <c r="C124" s="61" t="s">
        <v>311</v>
      </c>
      <c r="D124" s="61" t="s">
        <v>319</v>
      </c>
      <c r="E124" s="59" t="n">
        <v>2</v>
      </c>
      <c r="F124" s="63" t="s">
        <v>71</v>
      </c>
      <c r="G124" s="61" t="s">
        <v>248</v>
      </c>
      <c r="H124" s="61"/>
      <c r="I124" s="61" t="s">
        <v>176</v>
      </c>
      <c r="J124" s="61"/>
    </row>
    <row r="125" customFormat="false" ht="15" hidden="false" customHeight="false" outlineLevel="0" collapsed="false">
      <c r="A125" s="59" t="n">
        <v>121</v>
      </c>
      <c r="B125" s="60" t="s">
        <v>76</v>
      </c>
      <c r="C125" s="61" t="s">
        <v>311</v>
      </c>
      <c r="D125" s="61" t="s">
        <v>320</v>
      </c>
      <c r="E125" s="59" t="n">
        <v>2</v>
      </c>
      <c r="F125" s="63" t="s">
        <v>71</v>
      </c>
      <c r="G125" s="61" t="s">
        <v>200</v>
      </c>
      <c r="H125" s="61"/>
      <c r="I125" s="61" t="s">
        <v>176</v>
      </c>
      <c r="J125" s="61"/>
    </row>
    <row r="126" customFormat="false" ht="15" hidden="false" customHeight="false" outlineLevel="0" collapsed="false">
      <c r="A126" s="59" t="n">
        <v>122</v>
      </c>
      <c r="B126" s="60" t="s">
        <v>76</v>
      </c>
      <c r="C126" s="61" t="s">
        <v>311</v>
      </c>
      <c r="D126" s="61" t="s">
        <v>321</v>
      </c>
      <c r="E126" s="59" t="n">
        <v>2</v>
      </c>
      <c r="F126" s="63" t="s">
        <v>71</v>
      </c>
      <c r="G126" s="61" t="s">
        <v>195</v>
      </c>
      <c r="H126" s="61"/>
      <c r="I126" s="61" t="s">
        <v>176</v>
      </c>
      <c r="J126" s="61"/>
    </row>
    <row r="127" customFormat="false" ht="23.85" hidden="false" customHeight="false" outlineLevel="0" collapsed="false">
      <c r="A127" s="64" t="n">
        <v>123</v>
      </c>
      <c r="B127" s="65" t="s">
        <v>77</v>
      </c>
      <c r="C127" s="66" t="s">
        <v>322</v>
      </c>
      <c r="D127" s="66" t="s">
        <v>323</v>
      </c>
      <c r="E127" s="64" t="n">
        <v>2</v>
      </c>
      <c r="F127" s="67" t="s">
        <v>71</v>
      </c>
      <c r="G127" s="66" t="s">
        <v>200</v>
      </c>
      <c r="H127" s="66"/>
      <c r="I127" s="66" t="s">
        <v>176</v>
      </c>
      <c r="J127" s="66" t="s">
        <v>324</v>
      </c>
    </row>
    <row r="128" customFormat="false" ht="15" hidden="false" customHeight="false" outlineLevel="0" collapsed="false">
      <c r="A128" s="64" t="n">
        <v>124</v>
      </c>
      <c r="B128" s="65" t="s">
        <v>77</v>
      </c>
      <c r="C128" s="66" t="s">
        <v>322</v>
      </c>
      <c r="D128" s="66" t="s">
        <v>325</v>
      </c>
      <c r="E128" s="64" t="n">
        <v>2</v>
      </c>
      <c r="F128" s="67" t="s">
        <v>71</v>
      </c>
      <c r="G128" s="66" t="s">
        <v>200</v>
      </c>
      <c r="H128" s="66"/>
      <c r="I128" s="66" t="s">
        <v>176</v>
      </c>
      <c r="J128" s="66"/>
    </row>
    <row r="129" customFormat="false" ht="15" hidden="false" customHeight="false" outlineLevel="0" collapsed="false">
      <c r="A129" s="64" t="n">
        <v>125</v>
      </c>
      <c r="B129" s="65" t="s">
        <v>77</v>
      </c>
      <c r="C129" s="66" t="s">
        <v>322</v>
      </c>
      <c r="D129" s="66" t="s">
        <v>326</v>
      </c>
      <c r="E129" s="64" t="n">
        <v>2</v>
      </c>
      <c r="F129" s="67" t="s">
        <v>71</v>
      </c>
      <c r="G129" s="66" t="s">
        <v>195</v>
      </c>
      <c r="H129" s="66"/>
      <c r="I129" s="66" t="s">
        <v>176</v>
      </c>
      <c r="J129" s="66"/>
    </row>
    <row r="130" customFormat="false" ht="15" hidden="false" customHeight="false" outlineLevel="0" collapsed="false">
      <c r="A130" s="64" t="n">
        <v>126</v>
      </c>
      <c r="B130" s="65" t="s">
        <v>77</v>
      </c>
      <c r="C130" s="66" t="s">
        <v>322</v>
      </c>
      <c r="D130" s="66" t="s">
        <v>327</v>
      </c>
      <c r="E130" s="64" t="n">
        <v>2</v>
      </c>
      <c r="F130" s="67" t="s">
        <v>71</v>
      </c>
      <c r="G130" s="66" t="s">
        <v>291</v>
      </c>
      <c r="H130" s="66"/>
      <c r="I130" s="66" t="s">
        <v>176</v>
      </c>
      <c r="J130" s="66"/>
    </row>
    <row r="131" customFormat="false" ht="15" hidden="false" customHeight="false" outlineLevel="0" collapsed="false">
      <c r="A131" s="64" t="n">
        <v>127</v>
      </c>
      <c r="B131" s="65" t="s">
        <v>77</v>
      </c>
      <c r="C131" s="66" t="s">
        <v>322</v>
      </c>
      <c r="D131" s="66" t="s">
        <v>328</v>
      </c>
      <c r="E131" s="64" t="n">
        <v>2</v>
      </c>
      <c r="F131" s="67" t="s">
        <v>71</v>
      </c>
      <c r="G131" s="66" t="s">
        <v>272</v>
      </c>
      <c r="H131" s="66"/>
      <c r="I131" s="66" t="s">
        <v>176</v>
      </c>
      <c r="J131" s="66"/>
    </row>
    <row r="132" customFormat="false" ht="15" hidden="false" customHeight="false" outlineLevel="0" collapsed="false">
      <c r="A132" s="12" t="n">
        <v>128</v>
      </c>
      <c r="B132" s="13" t="s">
        <v>65</v>
      </c>
      <c r="C132" s="14" t="s">
        <v>329</v>
      </c>
      <c r="D132" s="14" t="s">
        <v>66</v>
      </c>
      <c r="E132" s="12" t="n">
        <v>1</v>
      </c>
      <c r="F132" s="15" t="s">
        <v>34</v>
      </c>
      <c r="G132" s="14" t="s">
        <v>38</v>
      </c>
      <c r="H132" s="14"/>
      <c r="I132" s="14" t="s">
        <v>176</v>
      </c>
      <c r="J132" s="14" t="s">
        <v>67</v>
      </c>
    </row>
    <row r="133" customFormat="false" ht="15" hidden="false" customHeight="false" outlineLevel="0" collapsed="false">
      <c r="A133" s="12" t="n">
        <v>129</v>
      </c>
      <c r="B133" s="13" t="s">
        <v>65</v>
      </c>
      <c r="C133" s="14" t="s">
        <v>330</v>
      </c>
      <c r="D133" s="14" t="s">
        <v>331</v>
      </c>
      <c r="E133" s="12" t="n">
        <v>2</v>
      </c>
      <c r="F133" s="68" t="s">
        <v>71</v>
      </c>
      <c r="G133" s="14" t="s">
        <v>200</v>
      </c>
      <c r="H133" s="14"/>
      <c r="I133" s="14" t="s">
        <v>176</v>
      </c>
      <c r="J133" s="14" t="s">
        <v>25</v>
      </c>
    </row>
    <row r="134" customFormat="false" ht="15" hidden="false" customHeight="false" outlineLevel="0" collapsed="false">
      <c r="A134" s="12" t="n">
        <v>130</v>
      </c>
      <c r="B134" s="13" t="s">
        <v>65</v>
      </c>
      <c r="C134" s="14" t="s">
        <v>330</v>
      </c>
      <c r="D134" s="14" t="s">
        <v>332</v>
      </c>
      <c r="E134" s="12" t="n">
        <v>2</v>
      </c>
      <c r="F134" s="68" t="s">
        <v>71</v>
      </c>
      <c r="G134" s="14" t="s">
        <v>195</v>
      </c>
      <c r="H134" s="14"/>
      <c r="I134" s="14" t="s">
        <v>176</v>
      </c>
      <c r="J134" s="14"/>
    </row>
    <row r="135" customFormat="false" ht="15" hidden="false" customHeight="false" outlineLevel="0" collapsed="false">
      <c r="A135" s="12" t="n">
        <v>131</v>
      </c>
      <c r="B135" s="13" t="s">
        <v>65</v>
      </c>
      <c r="C135" s="14" t="s">
        <v>333</v>
      </c>
      <c r="D135" s="14" t="s">
        <v>334</v>
      </c>
      <c r="E135" s="12" t="n">
        <v>2</v>
      </c>
      <c r="F135" s="68" t="s">
        <v>71</v>
      </c>
      <c r="G135" s="14" t="s">
        <v>200</v>
      </c>
      <c r="H135" s="14"/>
      <c r="I135" s="14" t="s">
        <v>176</v>
      </c>
      <c r="J135" s="14"/>
    </row>
    <row r="136" customFormat="false" ht="15" hidden="false" customHeight="false" outlineLevel="0" collapsed="false">
      <c r="A136" s="12" t="n">
        <v>132</v>
      </c>
      <c r="B136" s="13" t="s">
        <v>65</v>
      </c>
      <c r="C136" s="14" t="s">
        <v>333</v>
      </c>
      <c r="D136" s="14" t="s">
        <v>335</v>
      </c>
      <c r="E136" s="12" t="n">
        <v>2</v>
      </c>
      <c r="F136" s="68" t="s">
        <v>71</v>
      </c>
      <c r="G136" s="14" t="s">
        <v>248</v>
      </c>
      <c r="H136" s="14"/>
      <c r="I136" s="14" t="s">
        <v>176</v>
      </c>
      <c r="J136" s="14" t="s">
        <v>133</v>
      </c>
    </row>
    <row r="137" customFormat="false" ht="15" hidden="false" customHeight="false" outlineLevel="0" collapsed="false">
      <c r="A137" s="12" t="n">
        <v>133</v>
      </c>
      <c r="B137" s="13" t="s">
        <v>65</v>
      </c>
      <c r="C137" s="14" t="s">
        <v>333</v>
      </c>
      <c r="D137" s="14" t="s">
        <v>336</v>
      </c>
      <c r="E137" s="12" t="n">
        <v>3</v>
      </c>
      <c r="F137" s="68" t="s">
        <v>71</v>
      </c>
      <c r="G137" s="14" t="s">
        <v>337</v>
      </c>
      <c r="H137" s="14"/>
      <c r="I137" s="14" t="s">
        <v>176</v>
      </c>
      <c r="J137" s="14"/>
    </row>
    <row r="138" customFormat="false" ht="15" hidden="false" customHeight="false" outlineLevel="0" collapsed="false">
      <c r="A138" s="12" t="n">
        <v>134</v>
      </c>
      <c r="B138" s="13" t="s">
        <v>65</v>
      </c>
      <c r="C138" s="14" t="s">
        <v>338</v>
      </c>
      <c r="D138" s="14" t="s">
        <v>339</v>
      </c>
      <c r="E138" s="12" t="n">
        <v>3</v>
      </c>
      <c r="F138" s="68" t="s">
        <v>71</v>
      </c>
      <c r="G138" s="14" t="s">
        <v>337</v>
      </c>
      <c r="H138" s="14"/>
      <c r="I138" s="14" t="s">
        <v>176</v>
      </c>
      <c r="J138" s="14"/>
    </row>
    <row r="139" customFormat="false" ht="15" hidden="false" customHeight="false" outlineLevel="0" collapsed="false">
      <c r="A139" s="12" t="n">
        <v>135</v>
      </c>
      <c r="B139" s="13" t="s">
        <v>65</v>
      </c>
      <c r="C139" s="14" t="s">
        <v>338</v>
      </c>
      <c r="D139" s="14" t="s">
        <v>340</v>
      </c>
      <c r="E139" s="12" t="n">
        <v>3</v>
      </c>
      <c r="F139" s="68" t="s">
        <v>71</v>
      </c>
      <c r="G139" s="14" t="s">
        <v>337</v>
      </c>
      <c r="H139" s="14"/>
      <c r="I139" s="14" t="s">
        <v>176</v>
      </c>
      <c r="J139" s="14"/>
    </row>
    <row r="140" customFormat="false" ht="15" hidden="false" customHeight="false" outlineLevel="0" collapsed="false">
      <c r="A140" s="12" t="n">
        <v>136</v>
      </c>
      <c r="B140" s="13" t="s">
        <v>65</v>
      </c>
      <c r="C140" s="14" t="s">
        <v>341</v>
      </c>
      <c r="D140" s="14" t="s">
        <v>342</v>
      </c>
      <c r="E140" s="12" t="n">
        <v>3</v>
      </c>
      <c r="F140" s="68" t="s">
        <v>71</v>
      </c>
      <c r="G140" s="14" t="s">
        <v>337</v>
      </c>
      <c r="H140" s="14"/>
      <c r="I140" s="14" t="s">
        <v>176</v>
      </c>
      <c r="J140" s="14" t="s">
        <v>25</v>
      </c>
    </row>
    <row r="141" customFormat="false" ht="15" hidden="false" customHeight="false" outlineLevel="0" collapsed="false">
      <c r="A141" s="12" t="n">
        <v>137</v>
      </c>
      <c r="B141" s="13" t="s">
        <v>65</v>
      </c>
      <c r="C141" s="14" t="s">
        <v>341</v>
      </c>
      <c r="D141" s="14" t="s">
        <v>343</v>
      </c>
      <c r="E141" s="12" t="n">
        <v>3</v>
      </c>
      <c r="F141" s="68" t="s">
        <v>71</v>
      </c>
      <c r="G141" s="14" t="s">
        <v>337</v>
      </c>
      <c r="H141" s="14"/>
      <c r="I141" s="14" t="s">
        <v>176</v>
      </c>
      <c r="J141" s="14"/>
    </row>
    <row r="142" customFormat="false" ht="15" hidden="false" customHeight="false" outlineLevel="0" collapsed="false">
      <c r="A142" s="12" t="n">
        <v>138</v>
      </c>
      <c r="B142" s="13" t="s">
        <v>65</v>
      </c>
      <c r="C142" s="14" t="s">
        <v>341</v>
      </c>
      <c r="D142" s="14" t="s">
        <v>344</v>
      </c>
      <c r="E142" s="12" t="n">
        <v>3</v>
      </c>
      <c r="F142" s="68" t="s">
        <v>71</v>
      </c>
      <c r="G142" s="14" t="s">
        <v>337</v>
      </c>
      <c r="H142" s="14"/>
      <c r="I142" s="14" t="s">
        <v>176</v>
      </c>
      <c r="J142" s="14"/>
    </row>
  </sheetData>
  <autoFilter ref="A4:J142"/>
  <dataValidations count="3">
    <dataValidation allowBlank="true" errorStyle="stop" operator="between" showDropDown="false" showErrorMessage="false" showInputMessage="false" sqref="H5:H142" type="list">
      <formula1>"Cat,Lois,Jessica,Danelle,Ana,Alex,Charlotte,Yahya,Raquel"</formula1>
      <formula2>0</formula2>
    </dataValidation>
    <dataValidation allowBlank="true" errorStyle="stop" operator="between" showDropDown="false" showErrorMessage="false" showInputMessage="false" sqref="I5:I142" type="list">
      <formula1>"Not started,Working on it,Stuck,Done"</formula1>
      <formula2>0</formula2>
    </dataValidation>
    <dataValidation allowBlank="false" errorStyle="stop" operator="between" showDropDown="false" showErrorMessage="false" showInputMessage="false" sqref="F5:F142" type="list">
      <formula1>"Now,Next,Later"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2026-10-01T19:34:08Z</dcterms:created>
  <dc:creator>openpyxl</dc:creator>
  <dc:description/>
  <dc:language>en-US</dc:language>
  <cp:lastModifiedBy/>
  <dcterms:modified xsi:type="dcterms:W3CDTF">2026-10-01T19:34:08Z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